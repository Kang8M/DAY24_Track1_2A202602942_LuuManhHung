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APTOP\Documents\Projects\AiInAction\DAY24_Track1_2A202602942_LuuManhHung\"/>
    </mc:Choice>
  </mc:AlternateContent>
  <xr:revisionPtr revIDLastSave="0" documentId="13_ncr:1_{9F1543F2-B9BC-4C2C-976C-9F737E3E3097}" xr6:coauthVersionLast="47" xr6:coauthVersionMax="47" xr10:uidLastSave="{00000000-0000-0000-0000-000000000000}"/>
  <bookViews>
    <workbookView xWindow="2730" yWindow="2730" windowWidth="28800" windowHeight="15240" xr2:uid="{00000000-000D-0000-FFFF-FFFF00000000}"/>
  </bookViews>
  <sheets>
    <sheet name="0_Hướng dẫn" sheetId="1" r:id="rId1"/>
    <sheet name="0_Đầu vào" sheetId="2" r:id="rId2"/>
    <sheet name="A_Tài chính căn bản" sheetId="3" r:id="rId3"/>
    <sheet name="1_Chi phí mỗi việc" sheetId="4" r:id="rId4"/>
    <sheet name="2_Định giá" sheetId="5" r:id="rId5"/>
    <sheet name="3_Giả định" sheetId="6" r:id="rId6"/>
    <sheet name="4_Chỉ số mỗi khách" sheetId="7" r:id="rId7"/>
    <sheet name="5_Dòng tiền &amp; hiệu quả" sheetId="8" r:id="rId8"/>
    <sheet name="6_Hiệu quả nội bộ" sheetId="9" r:id="rId9"/>
    <sheet name="7_Quyết định" sheetId="10" r:id="rId10"/>
    <sheet name="8_Thang điểm" sheetId="11" r:id="rId11"/>
    <sheet name="9_Số tham khảo"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QU8ZZ6O54lli5dbV7qO+V149eShq5rHUskx5xov4Vk0="/>
    </ext>
  </extLst>
</workbook>
</file>

<file path=xl/calcChain.xml><?xml version="1.0" encoding="utf-8"?>
<calcChain xmlns="http://schemas.openxmlformats.org/spreadsheetml/2006/main">
  <c r="D11" i="11" l="1"/>
  <c r="B11" i="11"/>
  <c r="D22" i="9"/>
  <c r="C22" i="9"/>
  <c r="B22" i="9"/>
  <c r="D19" i="9"/>
  <c r="C19" i="9"/>
  <c r="B19" i="9"/>
  <c r="D18" i="9"/>
  <c r="C18" i="9"/>
  <c r="B18" i="9"/>
  <c r="B20" i="9" s="1"/>
  <c r="D16" i="9"/>
  <c r="D17" i="9" s="1"/>
  <c r="C16" i="9"/>
  <c r="C17" i="9" s="1"/>
  <c r="B16" i="9"/>
  <c r="B17" i="9" s="1"/>
  <c r="B136" i="8"/>
  <c r="B138" i="8" s="1"/>
  <c r="T134" i="8"/>
  <c r="S134" i="8"/>
  <c r="R134" i="8"/>
  <c r="L128" i="8"/>
  <c r="Z116" i="8"/>
  <c r="J116" i="8"/>
  <c r="K110" i="8"/>
  <c r="K88" i="8"/>
  <c r="J88" i="8"/>
  <c r="I88" i="8"/>
  <c r="B142" i="8" s="1"/>
  <c r="B144" i="8" s="1"/>
  <c r="H88" i="8"/>
  <c r="G88" i="8"/>
  <c r="F88" i="8"/>
  <c r="E88" i="8"/>
  <c r="J140" i="8" s="1"/>
  <c r="D88" i="8"/>
  <c r="K87" i="8"/>
  <c r="J87" i="8"/>
  <c r="I87" i="8"/>
  <c r="H87" i="8"/>
  <c r="C64" i="8" s="1"/>
  <c r="G87" i="8"/>
  <c r="F87" i="8"/>
  <c r="E87" i="8"/>
  <c r="D87" i="8"/>
  <c r="Q134" i="8" s="1"/>
  <c r="K86" i="8"/>
  <c r="J86" i="8"/>
  <c r="I86" i="8"/>
  <c r="B130" i="8" s="1"/>
  <c r="H86" i="8"/>
  <c r="G86" i="8"/>
  <c r="F86" i="8"/>
  <c r="E86" i="8"/>
  <c r="C63" i="8" s="1"/>
  <c r="D86" i="8"/>
  <c r="M128" i="8" s="1"/>
  <c r="K85" i="8"/>
  <c r="J85" i="8"/>
  <c r="I85" i="8"/>
  <c r="B124" i="8" s="1"/>
  <c r="B126" i="8" s="1"/>
  <c r="H85" i="8"/>
  <c r="G85" i="8"/>
  <c r="F85" i="8"/>
  <c r="E85" i="8"/>
  <c r="D85" i="8"/>
  <c r="C62" i="8" s="1"/>
  <c r="K84" i="8"/>
  <c r="J84" i="8"/>
  <c r="I84" i="8"/>
  <c r="B118" i="8" s="1"/>
  <c r="B120" i="8" s="1"/>
  <c r="H84" i="8"/>
  <c r="G84" i="8"/>
  <c r="C61" i="8" s="1"/>
  <c r="F84" i="8"/>
  <c r="E84" i="8"/>
  <c r="D84" i="8"/>
  <c r="K83" i="8"/>
  <c r="J83" i="8"/>
  <c r="I83" i="8"/>
  <c r="B112" i="8" s="1"/>
  <c r="H83" i="8"/>
  <c r="G83" i="8"/>
  <c r="F83" i="8"/>
  <c r="E83" i="8"/>
  <c r="D83" i="8"/>
  <c r="E110" i="8" s="1"/>
  <c r="K82" i="8"/>
  <c r="J82" i="8"/>
  <c r="I82" i="8"/>
  <c r="B106" i="8" s="1"/>
  <c r="H82" i="8"/>
  <c r="G82" i="8"/>
  <c r="F82" i="8"/>
  <c r="E82" i="8"/>
  <c r="D82" i="8"/>
  <c r="P104" i="8" s="1"/>
  <c r="K81" i="8"/>
  <c r="J81" i="8"/>
  <c r="I81" i="8"/>
  <c r="B100" i="8" s="1"/>
  <c r="B102" i="8" s="1"/>
  <c r="H81" i="8"/>
  <c r="G81" i="8"/>
  <c r="F81" i="8"/>
  <c r="E81" i="8"/>
  <c r="M98" i="8" s="1"/>
  <c r="D81" i="8"/>
  <c r="K80" i="8"/>
  <c r="J80" i="8"/>
  <c r="I80" i="8"/>
  <c r="B94" i="8" s="1"/>
  <c r="B96" i="8" s="1"/>
  <c r="H80" i="8"/>
  <c r="G80" i="8"/>
  <c r="F80" i="8"/>
  <c r="E80" i="8"/>
  <c r="D80" i="8"/>
  <c r="B77" i="8"/>
  <c r="B76" i="8"/>
  <c r="B75" i="8"/>
  <c r="B74" i="8"/>
  <c r="B64" i="8"/>
  <c r="B63" i="8"/>
  <c r="B62" i="8"/>
  <c r="B61" i="8"/>
  <c r="B60" i="8"/>
  <c r="W36" i="8"/>
  <c r="J36" i="8"/>
  <c r="H36" i="8"/>
  <c r="G36" i="8"/>
  <c r="E36" i="8"/>
  <c r="B27" i="8"/>
  <c r="B25" i="8"/>
  <c r="B26" i="8" s="1"/>
  <c r="Z24" i="8"/>
  <c r="Y24" i="8"/>
  <c r="X24" i="8"/>
  <c r="W24" i="8"/>
  <c r="V24" i="8"/>
  <c r="U24" i="8"/>
  <c r="T24" i="8"/>
  <c r="S24" i="8"/>
  <c r="R24" i="8"/>
  <c r="Q24" i="8"/>
  <c r="P24" i="8"/>
  <c r="O24" i="8"/>
  <c r="N24" i="8"/>
  <c r="M24" i="8"/>
  <c r="L24" i="8"/>
  <c r="K24" i="8"/>
  <c r="J24" i="8"/>
  <c r="I24" i="8"/>
  <c r="H24" i="8"/>
  <c r="G24" i="8"/>
  <c r="F24" i="8"/>
  <c r="E24" i="8"/>
  <c r="D24" i="8"/>
  <c r="C24" i="8"/>
  <c r="W23" i="8"/>
  <c r="U23" i="8"/>
  <c r="S23" i="8"/>
  <c r="F23" i="8"/>
  <c r="E23" i="8"/>
  <c r="D23" i="8"/>
  <c r="C23" i="8"/>
  <c r="C19" i="8"/>
  <c r="Z18" i="8"/>
  <c r="Z23" i="8" s="1"/>
  <c r="Y18" i="8"/>
  <c r="Y23" i="8" s="1"/>
  <c r="X18" i="8"/>
  <c r="X23" i="8" s="1"/>
  <c r="W18" i="8"/>
  <c r="V18" i="8"/>
  <c r="V23" i="8" s="1"/>
  <c r="U18" i="8"/>
  <c r="T18" i="8"/>
  <c r="T23" i="8" s="1"/>
  <c r="S18" i="8"/>
  <c r="R18" i="8"/>
  <c r="R23" i="8" s="1"/>
  <c r="Q18" i="8"/>
  <c r="Q23" i="8" s="1"/>
  <c r="P18" i="8"/>
  <c r="P23" i="8" s="1"/>
  <c r="O18" i="8"/>
  <c r="O23" i="8" s="1"/>
  <c r="N18" i="8"/>
  <c r="N23" i="8" s="1"/>
  <c r="M18" i="8"/>
  <c r="M23" i="8" s="1"/>
  <c r="L18" i="8"/>
  <c r="L23" i="8" s="1"/>
  <c r="K18" i="8"/>
  <c r="K23" i="8" s="1"/>
  <c r="J18" i="8"/>
  <c r="J23" i="8" s="1"/>
  <c r="I18" i="8"/>
  <c r="I23" i="8" s="1"/>
  <c r="H18" i="8"/>
  <c r="H23" i="8" s="1"/>
  <c r="G18" i="8"/>
  <c r="G23" i="8" s="1"/>
  <c r="F18" i="8"/>
  <c r="E18" i="8"/>
  <c r="D18" i="8"/>
  <c r="C18" i="8"/>
  <c r="B13" i="8"/>
  <c r="W12" i="8"/>
  <c r="R12" i="8"/>
  <c r="P12" i="8"/>
  <c r="O12" i="8"/>
  <c r="M11" i="8"/>
  <c r="P6" i="8"/>
  <c r="M6" i="8"/>
  <c r="L6" i="8"/>
  <c r="K6" i="8"/>
  <c r="I6" i="8"/>
  <c r="D10" i="7"/>
  <c r="C10" i="7"/>
  <c r="D8" i="7"/>
  <c r="C8" i="7"/>
  <c r="D13" i="6"/>
  <c r="B13" i="6"/>
  <c r="D12" i="6"/>
  <c r="B37" i="8" s="1"/>
  <c r="B12" i="6"/>
  <c r="D11" i="6"/>
  <c r="D36" i="8" s="1"/>
  <c r="B11" i="6"/>
  <c r="Z12" i="8" s="1"/>
  <c r="D10" i="6"/>
  <c r="B22" i="6" s="1"/>
  <c r="B10" i="6"/>
  <c r="B10" i="7" s="1"/>
  <c r="D9" i="6"/>
  <c r="B21" i="6" s="1"/>
  <c r="B9" i="6"/>
  <c r="B8" i="7" s="1"/>
  <c r="D8" i="6"/>
  <c r="T30" i="8" s="1"/>
  <c r="T35" i="8" s="1"/>
  <c r="B8" i="6"/>
  <c r="D7" i="6"/>
  <c r="Z30" i="8" s="1"/>
  <c r="Z35" i="8" s="1"/>
  <c r="B7" i="6"/>
  <c r="W6" i="8" s="1"/>
  <c r="C17" i="5"/>
  <c r="B17" i="5"/>
  <c r="B18" i="5" s="1"/>
  <c r="G16" i="5"/>
  <c r="B31" i="5" s="1"/>
  <c r="C31" i="5" s="1"/>
  <c r="D31" i="5" s="1"/>
  <c r="D16" i="5"/>
  <c r="B30" i="5" s="1"/>
  <c r="C30" i="5" s="1"/>
  <c r="D30" i="5" s="1"/>
  <c r="G15" i="5"/>
  <c r="G17" i="5" s="1"/>
  <c r="D15" i="5"/>
  <c r="B23" i="4"/>
  <c r="B22" i="4"/>
  <c r="B21" i="4"/>
  <c r="G89" i="3"/>
  <c r="C88" i="3"/>
  <c r="G88" i="3" s="1"/>
  <c r="G87" i="3"/>
  <c r="C86" i="3"/>
  <c r="G86" i="3" s="1"/>
  <c r="C67" i="3"/>
  <c r="G67" i="3" s="1"/>
  <c r="C64" i="3"/>
  <c r="G64" i="3" s="1"/>
  <c r="C60" i="3"/>
  <c r="C59" i="3"/>
  <c r="C44" i="3"/>
  <c r="C37" i="3"/>
  <c r="E30" i="3"/>
  <c r="D30" i="3"/>
  <c r="C30" i="3"/>
  <c r="E28" i="3"/>
  <c r="D28" i="3"/>
  <c r="F28" i="3" s="1"/>
  <c r="C28" i="3"/>
  <c r="E26" i="3"/>
  <c r="D26" i="3"/>
  <c r="C26" i="3"/>
  <c r="C58" i="3" s="1"/>
  <c r="E24" i="3"/>
  <c r="D24" i="3"/>
  <c r="C24" i="3"/>
  <c r="I22" i="3"/>
  <c r="E22" i="3"/>
  <c r="E23" i="3" s="1"/>
  <c r="E32" i="3" s="1"/>
  <c r="D22" i="3"/>
  <c r="C22" i="3"/>
  <c r="E21" i="3"/>
  <c r="D21" i="3"/>
  <c r="C21" i="3"/>
  <c r="H8" i="3"/>
  <c r="B12" i="2"/>
  <c r="D21" i="9" l="1"/>
  <c r="D20" i="9"/>
  <c r="B108" i="8"/>
  <c r="B107" i="8"/>
  <c r="C21" i="9"/>
  <c r="C20" i="9"/>
  <c r="O98" i="8"/>
  <c r="Q98" i="8"/>
  <c r="V110" i="8"/>
  <c r="E30" i="8"/>
  <c r="E35" i="8" s="1"/>
  <c r="F30" i="8"/>
  <c r="F35" i="8" s="1"/>
  <c r="U122" i="8"/>
  <c r="S98" i="8"/>
  <c r="G30" i="8"/>
  <c r="I30" i="8"/>
  <c r="I35" i="8" s="1"/>
  <c r="X36" i="8"/>
  <c r="D122" i="8"/>
  <c r="V30" i="8"/>
  <c r="C98" i="8"/>
  <c r="C99" i="8" s="1"/>
  <c r="E122" i="8"/>
  <c r="K140" i="8"/>
  <c r="N6" i="8"/>
  <c r="N11" i="8" s="1"/>
  <c r="W30" i="8"/>
  <c r="W35" i="8" s="1"/>
  <c r="D98" i="8"/>
  <c r="J104" i="8"/>
  <c r="H128" i="8"/>
  <c r="X140" i="8"/>
  <c r="O6" i="8"/>
  <c r="O11" i="8" s="1"/>
  <c r="X30" i="8"/>
  <c r="E98" i="8"/>
  <c r="L104" i="8"/>
  <c r="J128" i="8"/>
  <c r="B21" i="9"/>
  <c r="R98" i="8"/>
  <c r="H140" i="8"/>
  <c r="V98" i="8"/>
  <c r="R6" i="8"/>
  <c r="R11" i="8" s="1"/>
  <c r="B137" i="8"/>
  <c r="L98" i="8"/>
  <c r="B101" i="8"/>
  <c r="T98" i="8"/>
  <c r="I140" i="8"/>
  <c r="L11" i="8"/>
  <c r="C30" i="8"/>
  <c r="P98" i="8"/>
  <c r="S110" i="8"/>
  <c r="D30" i="8"/>
  <c r="D35" i="8" s="1"/>
  <c r="P11" i="8"/>
  <c r="Y30" i="8"/>
  <c r="Y35" i="8" s="1"/>
  <c r="G98" i="8"/>
  <c r="F30" i="3"/>
  <c r="S6" i="8"/>
  <c r="S11" i="8" s="1"/>
  <c r="I134" i="8"/>
  <c r="B24" i="4"/>
  <c r="B27" i="4" s="1"/>
  <c r="U98" i="8"/>
  <c r="N98" i="8"/>
  <c r="B38" i="8"/>
  <c r="B39" i="8"/>
  <c r="G46" i="3"/>
  <c r="C61" i="3"/>
  <c r="E25" i="3"/>
  <c r="E27" i="3" s="1"/>
  <c r="E29" i="3" s="1"/>
  <c r="E31" i="3" s="1"/>
  <c r="P110" i="8"/>
  <c r="N110" i="8"/>
  <c r="R110" i="8"/>
  <c r="Q110" i="8"/>
  <c r="O110" i="8"/>
  <c r="M110" i="8"/>
  <c r="L110" i="8"/>
  <c r="Y110" i="8"/>
  <c r="I110" i="8"/>
  <c r="U110" i="8"/>
  <c r="T110" i="8"/>
  <c r="J110" i="8"/>
  <c r="G110" i="8"/>
  <c r="F110" i="8"/>
  <c r="D110" i="8"/>
  <c r="C110" i="8"/>
  <c r="C111" i="8" s="1"/>
  <c r="Z110" i="8"/>
  <c r="X110" i="8"/>
  <c r="W110" i="8"/>
  <c r="B119" i="8"/>
  <c r="G122" i="8"/>
  <c r="G35" i="8"/>
  <c r="J122" i="8"/>
  <c r="C46" i="3"/>
  <c r="B15" i="8"/>
  <c r="B14" i="8"/>
  <c r="I11" i="8"/>
  <c r="W11" i="8"/>
  <c r="C60" i="8"/>
  <c r="B132" i="8"/>
  <c r="B131" i="8"/>
  <c r="F22" i="3"/>
  <c r="F26" i="3"/>
  <c r="K11" i="8"/>
  <c r="V35" i="8"/>
  <c r="V12" i="8"/>
  <c r="H12" i="8"/>
  <c r="U12" i="8"/>
  <c r="G12" i="8"/>
  <c r="X12" i="8"/>
  <c r="F12" i="8"/>
  <c r="T12" i="8"/>
  <c r="D12" i="8"/>
  <c r="S12" i="8"/>
  <c r="C12" i="8"/>
  <c r="Y12" i="8"/>
  <c r="Q12" i="8"/>
  <c r="L12" i="8"/>
  <c r="K12" i="8"/>
  <c r="J12" i="8"/>
  <c r="I12" i="8"/>
  <c r="E12" i="8"/>
  <c r="M12" i="8"/>
  <c r="U92" i="8"/>
  <c r="G92" i="8"/>
  <c r="M92" i="8"/>
  <c r="L92" i="8"/>
  <c r="Z92" i="8"/>
  <c r="K92" i="8"/>
  <c r="X92" i="8"/>
  <c r="I92" i="8"/>
  <c r="T92" i="8"/>
  <c r="E92" i="8"/>
  <c r="C92" i="8"/>
  <c r="C93" i="8" s="1"/>
  <c r="Y92" i="8"/>
  <c r="S92" i="8"/>
  <c r="W92" i="8"/>
  <c r="V92" i="8"/>
  <c r="Q92" i="8"/>
  <c r="P92" i="8"/>
  <c r="J92" i="8"/>
  <c r="H92" i="8"/>
  <c r="F92" i="8"/>
  <c r="D92" i="8"/>
  <c r="R92" i="8"/>
  <c r="O92" i="8"/>
  <c r="N92" i="8"/>
  <c r="T122" i="8"/>
  <c r="F122" i="8"/>
  <c r="P122" i="8"/>
  <c r="O122" i="8"/>
  <c r="N122" i="8"/>
  <c r="M122" i="8"/>
  <c r="L122" i="8"/>
  <c r="Y122" i="8"/>
  <c r="I122" i="8"/>
  <c r="C122" i="8"/>
  <c r="C123" i="8" s="1"/>
  <c r="X122" i="8"/>
  <c r="W122" i="8"/>
  <c r="Z122" i="8"/>
  <c r="S122" i="8"/>
  <c r="R122" i="8"/>
  <c r="Q122" i="8"/>
  <c r="K122" i="8"/>
  <c r="C23" i="3"/>
  <c r="G23" i="3" s="1"/>
  <c r="C40" i="3"/>
  <c r="B88" i="8"/>
  <c r="D17" i="5"/>
  <c r="B29" i="5"/>
  <c r="C29" i="5" s="1"/>
  <c r="D29" i="5" s="1"/>
  <c r="Z36" i="8"/>
  <c r="L36" i="8"/>
  <c r="Y36" i="8"/>
  <c r="K36" i="8"/>
  <c r="S36" i="8"/>
  <c r="C36" i="8"/>
  <c r="Q36" i="8"/>
  <c r="P36" i="8"/>
  <c r="N36" i="8"/>
  <c r="I36" i="8"/>
  <c r="V36" i="8"/>
  <c r="U36" i="8"/>
  <c r="T36" i="8"/>
  <c r="R36" i="8"/>
  <c r="O36" i="8"/>
  <c r="M36" i="8"/>
  <c r="N12" i="8"/>
  <c r="D19" i="8"/>
  <c r="X35" i="8"/>
  <c r="F36" i="8"/>
  <c r="B113" i="8"/>
  <c r="B114" i="8"/>
  <c r="H110" i="8"/>
  <c r="J30" i="8"/>
  <c r="J35" i="8" s="1"/>
  <c r="N134" i="8"/>
  <c r="Z134" i="8"/>
  <c r="L134" i="8"/>
  <c r="P134" i="8"/>
  <c r="O134" i="8"/>
  <c r="M134" i="8"/>
  <c r="K134" i="8"/>
  <c r="J134" i="8"/>
  <c r="X134" i="8"/>
  <c r="H134" i="8"/>
  <c r="W134" i="8"/>
  <c r="G134" i="8"/>
  <c r="V134" i="8"/>
  <c r="F134" i="8"/>
  <c r="Y134" i="8"/>
  <c r="U134" i="8"/>
  <c r="E134" i="8"/>
  <c r="D134" i="8"/>
  <c r="C134" i="8"/>
  <c r="C135" i="8" s="1"/>
  <c r="B143" i="8"/>
  <c r="F24" i="3"/>
  <c r="V6" i="8"/>
  <c r="V11" i="8" s="1"/>
  <c r="H6" i="8"/>
  <c r="H11" i="8" s="1"/>
  <c r="T6" i="8"/>
  <c r="T11" i="8" s="1"/>
  <c r="F6" i="8"/>
  <c r="F11" i="8" s="1"/>
  <c r="U6" i="8"/>
  <c r="U11" i="8" s="1"/>
  <c r="D6" i="8"/>
  <c r="D11" i="8" s="1"/>
  <c r="Q6" i="8"/>
  <c r="Q11" i="8" s="1"/>
  <c r="C6" i="8"/>
  <c r="X6" i="8"/>
  <c r="X11" i="8" s="1"/>
  <c r="N30" i="8"/>
  <c r="N35" i="8" s="1"/>
  <c r="N104" i="8"/>
  <c r="D104" i="8"/>
  <c r="C104" i="8"/>
  <c r="C105" i="8" s="1"/>
  <c r="P30" i="8"/>
  <c r="P35" i="8" s="1"/>
  <c r="O30" i="8"/>
  <c r="O35" i="8" s="1"/>
  <c r="Q30" i="8"/>
  <c r="Q35" i="8" s="1"/>
  <c r="M30" i="8"/>
  <c r="M35" i="8" s="1"/>
  <c r="L30" i="8"/>
  <c r="L35" i="8" s="1"/>
  <c r="K30" i="8"/>
  <c r="K35" i="8" s="1"/>
  <c r="H30" i="8"/>
  <c r="H35" i="8" s="1"/>
  <c r="E6" i="8"/>
  <c r="E11" i="8" s="1"/>
  <c r="Y6" i="8"/>
  <c r="Y11" i="8" s="1"/>
  <c r="R30" i="8"/>
  <c r="R35" i="8" s="1"/>
  <c r="D23" i="3"/>
  <c r="G6" i="8"/>
  <c r="G11" i="8" s="1"/>
  <c r="Z6" i="8"/>
  <c r="Z11" i="8" s="1"/>
  <c r="S30" i="8"/>
  <c r="S35" i="8" s="1"/>
  <c r="X116" i="8"/>
  <c r="H116" i="8"/>
  <c r="W116" i="8"/>
  <c r="G116" i="8"/>
  <c r="V116" i="8"/>
  <c r="F116" i="8"/>
  <c r="U116" i="8"/>
  <c r="D116" i="8"/>
  <c r="P116" i="8"/>
  <c r="L116" i="8"/>
  <c r="K116" i="8"/>
  <c r="T116" i="8"/>
  <c r="R116" i="8"/>
  <c r="O116" i="8"/>
  <c r="N116" i="8"/>
  <c r="F21" i="3"/>
  <c r="J6" i="8"/>
  <c r="J11" i="8" s="1"/>
  <c r="U30" i="8"/>
  <c r="U35" i="8" s="1"/>
  <c r="B95" i="8"/>
  <c r="M116" i="8"/>
  <c r="B9" i="10"/>
  <c r="C9" i="10" s="1"/>
  <c r="Y128" i="8"/>
  <c r="K128" i="8"/>
  <c r="W128" i="8"/>
  <c r="I128" i="8"/>
  <c r="X128" i="8"/>
  <c r="G128" i="8"/>
  <c r="V128" i="8"/>
  <c r="F128" i="8"/>
  <c r="U128" i="8"/>
  <c r="E128" i="8"/>
  <c r="T128" i="8"/>
  <c r="D128" i="8"/>
  <c r="S128" i="8"/>
  <c r="C128" i="8"/>
  <c r="C129" i="8" s="1"/>
  <c r="P128" i="8"/>
  <c r="Z128" i="8"/>
  <c r="R128" i="8"/>
  <c r="O128" i="8"/>
  <c r="N128" i="8"/>
  <c r="Q128" i="8"/>
  <c r="Q140" i="8"/>
  <c r="C140" i="8"/>
  <c r="C141" i="8" s="1"/>
  <c r="O140" i="8"/>
  <c r="W140" i="8"/>
  <c r="G140" i="8"/>
  <c r="V140" i="8"/>
  <c r="F140" i="8"/>
  <c r="U140" i="8"/>
  <c r="E140" i="8"/>
  <c r="T140" i="8"/>
  <c r="D140" i="8"/>
  <c r="S140" i="8"/>
  <c r="P140" i="8"/>
  <c r="N140" i="8"/>
  <c r="M140" i="8"/>
  <c r="Z140" i="8"/>
  <c r="Y140" i="8"/>
  <c r="R140" i="8"/>
  <c r="L140" i="8"/>
  <c r="M104" i="8"/>
  <c r="Y104" i="8"/>
  <c r="K104" i="8"/>
  <c r="Z104" i="8"/>
  <c r="I104" i="8"/>
  <c r="X104" i="8"/>
  <c r="H104" i="8"/>
  <c r="W104" i="8"/>
  <c r="G104" i="8"/>
  <c r="V104" i="8"/>
  <c r="F104" i="8"/>
  <c r="U104" i="8"/>
  <c r="E104" i="8"/>
  <c r="R104" i="8"/>
  <c r="S104" i="8"/>
  <c r="O104" i="8"/>
  <c r="Q104" i="8"/>
  <c r="T104" i="8"/>
  <c r="B125" i="8"/>
  <c r="V122" i="8"/>
  <c r="F98" i="8"/>
  <c r="X98" i="8"/>
  <c r="J98" i="8"/>
  <c r="H98" i="8"/>
  <c r="W98" i="8"/>
  <c r="I98" i="8"/>
  <c r="Y98" i="8"/>
  <c r="S116" i="8"/>
  <c r="E116" i="8"/>
  <c r="Q116" i="8"/>
  <c r="C116" i="8"/>
  <c r="C117" i="8" s="1"/>
  <c r="K98" i="8"/>
  <c r="Z98" i="8"/>
  <c r="I116" i="8"/>
  <c r="Y116" i="8"/>
  <c r="H122" i="8"/>
  <c r="E15" i="5" l="1"/>
  <c r="F15" i="5" s="1"/>
  <c r="D99" i="8"/>
  <c r="E99" i="8" s="1"/>
  <c r="B26" i="4"/>
  <c r="B19" i="5" s="1"/>
  <c r="C31" i="8"/>
  <c r="D31" i="8" s="1"/>
  <c r="C35" i="8"/>
  <c r="B25" i="4"/>
  <c r="B5" i="10" s="1"/>
  <c r="C5" i="10" s="1"/>
  <c r="E16" i="5"/>
  <c r="D123" i="8"/>
  <c r="D117" i="8"/>
  <c r="D25" i="3"/>
  <c r="D27" i="3" s="1"/>
  <c r="D29" i="3" s="1"/>
  <c r="D31" i="3" s="1"/>
  <c r="D32" i="3"/>
  <c r="E31" i="8"/>
  <c r="C41" i="3"/>
  <c r="D105" i="8"/>
  <c r="D135" i="8"/>
  <c r="D93" i="8"/>
  <c r="D129" i="8"/>
  <c r="D17" i="6"/>
  <c r="C17" i="6"/>
  <c r="D20" i="8" s="1"/>
  <c r="B22" i="5"/>
  <c r="B17" i="6"/>
  <c r="F17" i="5"/>
  <c r="C32" i="3"/>
  <c r="C25" i="3"/>
  <c r="G25" i="3" s="1"/>
  <c r="F23" i="3"/>
  <c r="F32" i="3" s="1"/>
  <c r="D111" i="8"/>
  <c r="B21" i="5"/>
  <c r="B23" i="5" s="1"/>
  <c r="F99" i="8"/>
  <c r="E19" i="8"/>
  <c r="C88" i="8"/>
  <c r="C142" i="8" s="1"/>
  <c r="E29" i="5"/>
  <c r="F29" i="5" s="1"/>
  <c r="H15" i="5"/>
  <c r="E17" i="5"/>
  <c r="D141" i="8"/>
  <c r="C11" i="8"/>
  <c r="C7" i="8"/>
  <c r="E31" i="5"/>
  <c r="F31" i="5" s="1"/>
  <c r="E30" i="5"/>
  <c r="F30" i="5" s="1"/>
  <c r="H16" i="5" l="1"/>
  <c r="F16" i="5"/>
  <c r="C144" i="8"/>
  <c r="C143" i="8"/>
  <c r="F31" i="8"/>
  <c r="E32" i="8"/>
  <c r="E111" i="8"/>
  <c r="C27" i="3"/>
  <c r="G27" i="3" s="1"/>
  <c r="F25" i="3"/>
  <c r="E93" i="8"/>
  <c r="G99" i="8"/>
  <c r="E135" i="8"/>
  <c r="E105" i="8"/>
  <c r="D7" i="8"/>
  <c r="C8" i="8"/>
  <c r="B5" i="7"/>
  <c r="G41" i="3"/>
  <c r="E141" i="8"/>
  <c r="D142" i="8"/>
  <c r="B81" i="8"/>
  <c r="B87" i="8"/>
  <c r="B84" i="8"/>
  <c r="B82" i="8"/>
  <c r="B80" i="8"/>
  <c r="B83" i="8"/>
  <c r="B86" i="8"/>
  <c r="B72" i="8"/>
  <c r="B58" i="8"/>
  <c r="B85" i="8"/>
  <c r="C5" i="7"/>
  <c r="C20" i="8"/>
  <c r="E129" i="8"/>
  <c r="F19" i="8"/>
  <c r="E20" i="8"/>
  <c r="D5" i="7"/>
  <c r="C32" i="8"/>
  <c r="E117" i="8"/>
  <c r="D18" i="6"/>
  <c r="C18" i="6"/>
  <c r="B18" i="6"/>
  <c r="C9" i="8" s="1"/>
  <c r="H17" i="5"/>
  <c r="B32" i="5"/>
  <c r="C32" i="5" s="1"/>
  <c r="D32" i="8"/>
  <c r="E123" i="8"/>
  <c r="C84" i="8" l="1"/>
  <c r="D118" i="8" s="1"/>
  <c r="B59" i="8"/>
  <c r="C82" i="8"/>
  <c r="C59" i="8" s="1"/>
  <c r="C85" i="8"/>
  <c r="C124" i="8" s="1"/>
  <c r="C83" i="8"/>
  <c r="D112" i="8" s="1"/>
  <c r="C86" i="8"/>
  <c r="D130" i="8" s="1"/>
  <c r="C81" i="8"/>
  <c r="F100" i="8" s="1"/>
  <c r="C87" i="8"/>
  <c r="D136" i="8" s="1"/>
  <c r="C80" i="8"/>
  <c r="D94" i="8" s="1"/>
  <c r="C21" i="8"/>
  <c r="C22" i="8" s="1"/>
  <c r="C25" i="8" s="1"/>
  <c r="D21" i="8"/>
  <c r="D22" i="8" s="1"/>
  <c r="D25" i="8" s="1"/>
  <c r="F93" i="8"/>
  <c r="C33" i="8"/>
  <c r="C34" i="8" s="1"/>
  <c r="C37" i="8" s="1"/>
  <c r="D33" i="8"/>
  <c r="D34" i="8" s="1"/>
  <c r="D37" i="8" s="1"/>
  <c r="F117" i="8"/>
  <c r="C29" i="3"/>
  <c r="F27" i="3"/>
  <c r="G29" i="3"/>
  <c r="B6" i="7"/>
  <c r="C130" i="8"/>
  <c r="C112" i="8"/>
  <c r="D9" i="8"/>
  <c r="D8" i="8"/>
  <c r="D10" i="8" s="1"/>
  <c r="D13" i="8" s="1"/>
  <c r="E7" i="8"/>
  <c r="C106" i="8"/>
  <c r="E106" i="8"/>
  <c r="F105" i="8"/>
  <c r="E33" i="8"/>
  <c r="E34" i="8" s="1"/>
  <c r="E37" i="8" s="1"/>
  <c r="G19" i="8"/>
  <c r="F21" i="8"/>
  <c r="F20" i="8"/>
  <c r="F22" i="8" s="1"/>
  <c r="F25" i="8" s="1"/>
  <c r="C6" i="7"/>
  <c r="D106" i="8"/>
  <c r="G31" i="8"/>
  <c r="F33" i="8"/>
  <c r="F32" i="8"/>
  <c r="F34" i="8" s="1"/>
  <c r="F37" i="8" s="1"/>
  <c r="C10" i="8"/>
  <c r="C13" i="8" s="1"/>
  <c r="E21" i="8"/>
  <c r="E22" i="8" s="1"/>
  <c r="E25" i="8" s="1"/>
  <c r="C118" i="8"/>
  <c r="F135" i="8"/>
  <c r="E142" i="8"/>
  <c r="F141" i="8"/>
  <c r="D6" i="7"/>
  <c r="F111" i="8"/>
  <c r="E112" i="8"/>
  <c r="F123" i="8"/>
  <c r="E124" i="8"/>
  <c r="D143" i="8"/>
  <c r="E143" i="8" s="1"/>
  <c r="E130" i="8"/>
  <c r="F129" i="8"/>
  <c r="C58" i="8"/>
  <c r="H99" i="8"/>
  <c r="D144" i="8"/>
  <c r="D124" i="8" l="1"/>
  <c r="C136" i="8"/>
  <c r="C27" i="8"/>
  <c r="C26" i="8"/>
  <c r="C126" i="8"/>
  <c r="C125" i="8"/>
  <c r="C108" i="8"/>
  <c r="C107" i="8"/>
  <c r="G117" i="8"/>
  <c r="F118" i="8"/>
  <c r="E144" i="8"/>
  <c r="G111" i="8"/>
  <c r="F112" i="8"/>
  <c r="E118" i="8"/>
  <c r="I99" i="8"/>
  <c r="H100" i="8"/>
  <c r="D9" i="7"/>
  <c r="D11" i="7" s="1"/>
  <c r="D7" i="7"/>
  <c r="D12" i="7"/>
  <c r="G100" i="8"/>
  <c r="G141" i="8"/>
  <c r="F142" i="8"/>
  <c r="F143" i="8" s="1"/>
  <c r="C94" i="8"/>
  <c r="C132" i="8"/>
  <c r="C131" i="8"/>
  <c r="C120" i="8"/>
  <c r="C119" i="8"/>
  <c r="C39" i="8"/>
  <c r="C38" i="8"/>
  <c r="B9" i="7"/>
  <c r="B11" i="7" s="1"/>
  <c r="B7" i="7"/>
  <c r="B12" i="7"/>
  <c r="C137" i="8"/>
  <c r="C138" i="8"/>
  <c r="C114" i="8"/>
  <c r="C113" i="8"/>
  <c r="F130" i="8"/>
  <c r="G129" i="8"/>
  <c r="H19" i="8"/>
  <c r="G20" i="8"/>
  <c r="G21" i="8"/>
  <c r="C15" i="8"/>
  <c r="C14" i="8"/>
  <c r="F106" i="8"/>
  <c r="G105" i="8"/>
  <c r="G123" i="8"/>
  <c r="F124" i="8"/>
  <c r="C31" i="3"/>
  <c r="G31" i="3"/>
  <c r="F29" i="3"/>
  <c r="E100" i="8"/>
  <c r="G33" i="8"/>
  <c r="H31" i="8"/>
  <c r="G32" i="8"/>
  <c r="G34" i="8" s="1"/>
  <c r="G37" i="8" s="1"/>
  <c r="E9" i="8"/>
  <c r="F7" i="8"/>
  <c r="E8" i="8"/>
  <c r="C100" i="8"/>
  <c r="G135" i="8"/>
  <c r="F136" i="8"/>
  <c r="F94" i="8"/>
  <c r="G93" i="8"/>
  <c r="D100" i="8"/>
  <c r="E136" i="8"/>
  <c r="C9" i="7"/>
  <c r="C7" i="7"/>
  <c r="C12" i="7"/>
  <c r="B8" i="10" s="1"/>
  <c r="C8" i="10" s="1"/>
  <c r="E94" i="8"/>
  <c r="B13" i="7" l="1"/>
  <c r="C96" i="8"/>
  <c r="C95" i="8"/>
  <c r="H141" i="8"/>
  <c r="G142" i="8"/>
  <c r="G143" i="8" s="1"/>
  <c r="G22" i="8"/>
  <c r="G25" i="8" s="1"/>
  <c r="D39" i="8"/>
  <c r="E39" i="8" s="1"/>
  <c r="F39" i="8" s="1"/>
  <c r="G39" i="8" s="1"/>
  <c r="I19" i="8"/>
  <c r="H21" i="8"/>
  <c r="H20" i="8"/>
  <c r="H22" i="8" s="1"/>
  <c r="H25" i="8" s="1"/>
  <c r="D13" i="7"/>
  <c r="D126" i="8"/>
  <c r="E126" i="8" s="1"/>
  <c r="F126" i="8" s="1"/>
  <c r="G94" i="8"/>
  <c r="H93" i="8"/>
  <c r="G130" i="8"/>
  <c r="H129" i="8"/>
  <c r="J99" i="8"/>
  <c r="I100" i="8"/>
  <c r="H123" i="8"/>
  <c r="G124" i="8"/>
  <c r="D113" i="8"/>
  <c r="E113" i="8" s="1"/>
  <c r="F113" i="8" s="1"/>
  <c r="G136" i="8"/>
  <c r="H135" i="8"/>
  <c r="G106" i="8"/>
  <c r="H105" i="8"/>
  <c r="D114" i="8"/>
  <c r="E114" i="8" s="1"/>
  <c r="F114" i="8" s="1"/>
  <c r="D120" i="8"/>
  <c r="E120" i="8" s="1"/>
  <c r="F120" i="8" s="1"/>
  <c r="D26" i="8"/>
  <c r="E26" i="8" s="1"/>
  <c r="F26" i="8" s="1"/>
  <c r="D108" i="8"/>
  <c r="E108" i="8" s="1"/>
  <c r="F108" i="8" s="1"/>
  <c r="D38" i="8"/>
  <c r="E38" i="8" s="1"/>
  <c r="F38" i="8" s="1"/>
  <c r="G38" i="8" s="1"/>
  <c r="D125" i="8"/>
  <c r="E125" i="8" s="1"/>
  <c r="F125" i="8" s="1"/>
  <c r="D137" i="8"/>
  <c r="E137" i="8" s="1"/>
  <c r="F137" i="8" s="1"/>
  <c r="B6" i="10"/>
  <c r="C6" i="10" s="1"/>
  <c r="B73" i="8"/>
  <c r="G118" i="8"/>
  <c r="H117" i="8"/>
  <c r="D107" i="8"/>
  <c r="E107" i="8" s="1"/>
  <c r="F107" i="8" s="1"/>
  <c r="I31" i="8"/>
  <c r="H32" i="8"/>
  <c r="H33" i="8"/>
  <c r="C11" i="7"/>
  <c r="F31" i="3"/>
  <c r="G33" i="3" s="1"/>
  <c r="C57" i="3"/>
  <c r="C49" i="3"/>
  <c r="D119" i="8"/>
  <c r="E119" i="8" s="1"/>
  <c r="F119" i="8" s="1"/>
  <c r="C102" i="8"/>
  <c r="C101" i="8"/>
  <c r="D131" i="8"/>
  <c r="E131" i="8" s="1"/>
  <c r="F131" i="8" s="1"/>
  <c r="G112" i="8"/>
  <c r="H111" i="8"/>
  <c r="D27" i="8"/>
  <c r="E27" i="8" s="1"/>
  <c r="F27" i="8" s="1"/>
  <c r="E10" i="8"/>
  <c r="E13" i="8" s="1"/>
  <c r="D14" i="8"/>
  <c r="E14" i="8" s="1"/>
  <c r="D138" i="8"/>
  <c r="E138" i="8" s="1"/>
  <c r="F138" i="8" s="1"/>
  <c r="G138" i="8" s="1"/>
  <c r="D132" i="8"/>
  <c r="E132" i="8" s="1"/>
  <c r="F132" i="8" s="1"/>
  <c r="G132" i="8" s="1"/>
  <c r="F144" i="8"/>
  <c r="F9" i="8"/>
  <c r="G7" i="8"/>
  <c r="F8" i="8"/>
  <c r="D15" i="8"/>
  <c r="G107" i="8" l="1"/>
  <c r="G113" i="8"/>
  <c r="G137" i="8"/>
  <c r="G108" i="8"/>
  <c r="J19" i="8"/>
  <c r="I21" i="8"/>
  <c r="I20" i="8"/>
  <c r="I22" i="8" s="1"/>
  <c r="I25" i="8" s="1"/>
  <c r="D102" i="8"/>
  <c r="E102" i="8" s="1"/>
  <c r="F102" i="8" s="1"/>
  <c r="G102" i="8" s="1"/>
  <c r="H102" i="8" s="1"/>
  <c r="I102" i="8" s="1"/>
  <c r="G26" i="8"/>
  <c r="G119" i="8"/>
  <c r="H130" i="8"/>
  <c r="H132" i="8" s="1"/>
  <c r="I129" i="8"/>
  <c r="G120" i="8"/>
  <c r="G72" i="3"/>
  <c r="C62" i="3"/>
  <c r="G114" i="8"/>
  <c r="H94" i="8"/>
  <c r="I93" i="8"/>
  <c r="D96" i="8"/>
  <c r="E96" i="8" s="1"/>
  <c r="F96" i="8" s="1"/>
  <c r="G96" i="8" s="1"/>
  <c r="E15" i="8"/>
  <c r="F10" i="8"/>
  <c r="F13" i="8" s="1"/>
  <c r="F14" i="8" s="1"/>
  <c r="G27" i="8"/>
  <c r="B7" i="10"/>
  <c r="C7" i="10" s="1"/>
  <c r="C13" i="7"/>
  <c r="H106" i="8"/>
  <c r="H107" i="8" s="1"/>
  <c r="I105" i="8"/>
  <c r="G8" i="8"/>
  <c r="G9" i="8"/>
  <c r="H7" i="8"/>
  <c r="I111" i="8"/>
  <c r="H112" i="8"/>
  <c r="H113" i="8" s="1"/>
  <c r="G125" i="8"/>
  <c r="G126" i="8"/>
  <c r="I117" i="8"/>
  <c r="H118" i="8"/>
  <c r="D95" i="8"/>
  <c r="E95" i="8" s="1"/>
  <c r="F95" i="8" s="1"/>
  <c r="G95" i="8" s="1"/>
  <c r="H136" i="8"/>
  <c r="I135" i="8"/>
  <c r="D101" i="8"/>
  <c r="E101" i="8" s="1"/>
  <c r="F101" i="8" s="1"/>
  <c r="G101" i="8" s="1"/>
  <c r="H101" i="8" s="1"/>
  <c r="I101" i="8" s="1"/>
  <c r="J101" i="8" s="1"/>
  <c r="H124" i="8"/>
  <c r="I123" i="8"/>
  <c r="H142" i="8"/>
  <c r="H143" i="8" s="1"/>
  <c r="I141" i="8"/>
  <c r="K99" i="8"/>
  <c r="J100" i="8"/>
  <c r="G53" i="3"/>
  <c r="C50" i="3"/>
  <c r="G50" i="3" s="1"/>
  <c r="H34" i="8"/>
  <c r="H37" i="8" s="1"/>
  <c r="H38" i="8" s="1"/>
  <c r="G144" i="8"/>
  <c r="G131" i="8"/>
  <c r="I32" i="8"/>
  <c r="I33" i="8"/>
  <c r="J31" i="8"/>
  <c r="H114" i="8" l="1"/>
  <c r="H39" i="8"/>
  <c r="I136" i="8"/>
  <c r="J135" i="8"/>
  <c r="G10" i="8"/>
  <c r="G13" i="8" s="1"/>
  <c r="C68" i="3"/>
  <c r="H95" i="8"/>
  <c r="J102" i="8"/>
  <c r="I34" i="8"/>
  <c r="I37" i="8" s="1"/>
  <c r="I38" i="8" s="1"/>
  <c r="D47" i="8" s="1" a="1"/>
  <c r="D47" i="8" s="1"/>
  <c r="B10" i="10" s="1"/>
  <c r="C10" i="10" s="1"/>
  <c r="H108" i="8"/>
  <c r="I113" i="8"/>
  <c r="H144" i="8"/>
  <c r="H137" i="8"/>
  <c r="I130" i="8"/>
  <c r="I132" i="8" s="1"/>
  <c r="J129" i="8"/>
  <c r="J123" i="8"/>
  <c r="I124" i="8"/>
  <c r="H125" i="8"/>
  <c r="I125" i="8" s="1"/>
  <c r="F15" i="8"/>
  <c r="G62" i="3"/>
  <c r="J32" i="8"/>
  <c r="K31" i="8"/>
  <c r="J33" i="8"/>
  <c r="H138" i="8"/>
  <c r="K19" i="8"/>
  <c r="J20" i="8"/>
  <c r="J21" i="8"/>
  <c r="H131" i="8"/>
  <c r="I131" i="8" s="1"/>
  <c r="I142" i="8"/>
  <c r="I143" i="8" s="1"/>
  <c r="J141" i="8"/>
  <c r="H126" i="8"/>
  <c r="I126" i="8" s="1"/>
  <c r="C51" i="3"/>
  <c r="G52" i="3" s="1"/>
  <c r="G51" i="3"/>
  <c r="I112" i="8"/>
  <c r="I114" i="8" s="1"/>
  <c r="J111" i="8"/>
  <c r="H96" i="8"/>
  <c r="H119" i="8"/>
  <c r="I119" i="8" s="1"/>
  <c r="L99" i="8"/>
  <c r="K100" i="8"/>
  <c r="K101" i="8" s="1"/>
  <c r="I106" i="8"/>
  <c r="I107" i="8" s="1"/>
  <c r="J105" i="8"/>
  <c r="J117" i="8"/>
  <c r="I118" i="8"/>
  <c r="H27" i="8"/>
  <c r="I27" i="8" s="1"/>
  <c r="H120" i="8"/>
  <c r="I120" i="8" s="1"/>
  <c r="F58" i="8" a="1"/>
  <c r="F58" i="8" s="1"/>
  <c r="I7" i="8"/>
  <c r="H8" i="8"/>
  <c r="H9" i="8"/>
  <c r="I94" i="8"/>
  <c r="J93" i="8"/>
  <c r="H26" i="8"/>
  <c r="J34" i="8" l="1"/>
  <c r="J37" i="8" s="1"/>
  <c r="I39" i="8"/>
  <c r="I26" i="8"/>
  <c r="I137" i="8"/>
  <c r="F64" i="8" a="1"/>
  <c r="F64" i="8" s="1"/>
  <c r="C70" i="3"/>
  <c r="G71" i="3" s="1"/>
  <c r="K93" i="8"/>
  <c r="J94" i="8"/>
  <c r="M99" i="8"/>
  <c r="L100" i="8"/>
  <c r="L101" i="8" s="1"/>
  <c r="I108" i="8"/>
  <c r="J22" i="8"/>
  <c r="J25" i="8" s="1"/>
  <c r="J125" i="8"/>
  <c r="K21" i="8"/>
  <c r="K20" i="8"/>
  <c r="K22" i="8" s="1"/>
  <c r="K25" i="8" s="1"/>
  <c r="L19" i="8"/>
  <c r="I96" i="8"/>
  <c r="K123" i="8"/>
  <c r="J124" i="8"/>
  <c r="J126" i="8" s="1"/>
  <c r="K102" i="8"/>
  <c r="G14" i="8"/>
  <c r="J112" i="8"/>
  <c r="J114" i="8" s="1"/>
  <c r="K111" i="8"/>
  <c r="I95" i="8"/>
  <c r="I138" i="8"/>
  <c r="J38" i="8"/>
  <c r="J142" i="8"/>
  <c r="J143" i="8" s="1"/>
  <c r="K141" i="8"/>
  <c r="J106" i="8"/>
  <c r="J107" i="8" s="1"/>
  <c r="K105" i="8"/>
  <c r="I144" i="8"/>
  <c r="H10" i="8"/>
  <c r="H13" i="8" s="1"/>
  <c r="K135" i="8"/>
  <c r="J136" i="8"/>
  <c r="J7" i="8"/>
  <c r="I8" i="8"/>
  <c r="I10" i="8" s="1"/>
  <c r="I13" i="8" s="1"/>
  <c r="I9" i="8"/>
  <c r="G15" i="8"/>
  <c r="J118" i="8"/>
  <c r="J120" i="8" s="1"/>
  <c r="K117" i="8"/>
  <c r="K129" i="8"/>
  <c r="J130" i="8"/>
  <c r="J132" i="8" s="1"/>
  <c r="J39" i="8"/>
  <c r="K32" i="8"/>
  <c r="L31" i="8"/>
  <c r="K33" i="8"/>
  <c r="G68" i="3"/>
  <c r="K34" i="8" l="1"/>
  <c r="K37" i="8" s="1"/>
  <c r="J119" i="8"/>
  <c r="J113" i="8"/>
  <c r="J96" i="8"/>
  <c r="J26" i="8"/>
  <c r="K106" i="8"/>
  <c r="K107" i="8" s="1"/>
  <c r="L105" i="8"/>
  <c r="J27" i="8"/>
  <c r="H14" i="8"/>
  <c r="I14" i="8" s="1"/>
  <c r="J108" i="8"/>
  <c r="H15" i="8"/>
  <c r="I15" i="8" s="1"/>
  <c r="L102" i="8"/>
  <c r="J131" i="8"/>
  <c r="L141" i="8"/>
  <c r="K142" i="8"/>
  <c r="K143" i="8" s="1"/>
  <c r="N99" i="8"/>
  <c r="M100" i="8"/>
  <c r="M101" i="8" s="1"/>
  <c r="L123" i="8"/>
  <c r="K124" i="8"/>
  <c r="K125" i="8" s="1"/>
  <c r="L33" i="8"/>
  <c r="L32" i="8"/>
  <c r="L34" i="8" s="1"/>
  <c r="L37" i="8" s="1"/>
  <c r="M31" i="8"/>
  <c r="L20" i="8"/>
  <c r="M19" i="8"/>
  <c r="L21" i="8"/>
  <c r="L93" i="8"/>
  <c r="K94" i="8"/>
  <c r="K96" i="8" s="1"/>
  <c r="K136" i="8"/>
  <c r="L135" i="8"/>
  <c r="J138" i="8"/>
  <c r="G70" i="3"/>
  <c r="K39" i="8"/>
  <c r="J95" i="8"/>
  <c r="J137" i="8"/>
  <c r="L129" i="8"/>
  <c r="K130" i="8"/>
  <c r="K132" i="8" s="1"/>
  <c r="J144" i="8"/>
  <c r="K144" i="8" s="1"/>
  <c r="L111" i="8"/>
  <c r="K112" i="8"/>
  <c r="K114" i="8" s="1"/>
  <c r="L117" i="8"/>
  <c r="K118" i="8"/>
  <c r="K119" i="8" s="1"/>
  <c r="K38" i="8"/>
  <c r="J9" i="8"/>
  <c r="K7" i="8"/>
  <c r="J8" i="8"/>
  <c r="J10" i="8" s="1"/>
  <c r="J13" i="8" s="1"/>
  <c r="K120" i="8" l="1"/>
  <c r="K126" i="8"/>
  <c r="L39" i="8"/>
  <c r="L38" i="8"/>
  <c r="L107" i="8"/>
  <c r="F59" i="8" a="1"/>
  <c r="F59" i="8" s="1"/>
  <c r="F61" i="8" a="1"/>
  <c r="F61" i="8" s="1"/>
  <c r="K138" i="8"/>
  <c r="L136" i="8"/>
  <c r="M135" i="8"/>
  <c r="O99" i="8"/>
  <c r="N100" i="8"/>
  <c r="N101" i="8" s="1"/>
  <c r="M105" i="8"/>
  <c r="L106" i="8"/>
  <c r="M129" i="8"/>
  <c r="L130" i="8"/>
  <c r="L132" i="8" s="1"/>
  <c r="M141" i="8"/>
  <c r="L142" i="8"/>
  <c r="L143" i="8" s="1"/>
  <c r="K26" i="8"/>
  <c r="L7" i="8"/>
  <c r="K9" i="8"/>
  <c r="K8" i="8"/>
  <c r="K137" i="8"/>
  <c r="L94" i="8"/>
  <c r="L96" i="8" s="1"/>
  <c r="M93" i="8"/>
  <c r="K131" i="8"/>
  <c r="N19" i="8"/>
  <c r="M20" i="8"/>
  <c r="M21" i="8"/>
  <c r="L22" i="8"/>
  <c r="L25" i="8" s="1"/>
  <c r="M102" i="8"/>
  <c r="K95" i="8"/>
  <c r="M33" i="8"/>
  <c r="M32" i="8"/>
  <c r="M34" i="8" s="1"/>
  <c r="M37" i="8" s="1"/>
  <c r="M38" i="8" s="1"/>
  <c r="N31" i="8"/>
  <c r="L118" i="8"/>
  <c r="L120" i="8" s="1"/>
  <c r="M117" i="8"/>
  <c r="J15" i="8"/>
  <c r="K108" i="8"/>
  <c r="K113" i="8"/>
  <c r="K27" i="8"/>
  <c r="M111" i="8"/>
  <c r="L112" i="8"/>
  <c r="L114" i="8" s="1"/>
  <c r="L124" i="8"/>
  <c r="L126" i="8" s="1"/>
  <c r="M123" i="8"/>
  <c r="J14" i="8"/>
  <c r="L125" i="8" l="1"/>
  <c r="M39" i="8"/>
  <c r="L144" i="8"/>
  <c r="L119" i="8"/>
  <c r="M119" i="8" s="1"/>
  <c r="L27" i="8"/>
  <c r="L108" i="8"/>
  <c r="L95" i="8"/>
  <c r="M95" i="8" s="1"/>
  <c r="N102" i="8"/>
  <c r="O102" i="8" s="1"/>
  <c r="L138" i="8"/>
  <c r="M96" i="8"/>
  <c r="L26" i="8"/>
  <c r="L113" i="8"/>
  <c r="M22" i="8"/>
  <c r="M25" i="8" s="1"/>
  <c r="M27" i="8" s="1"/>
  <c r="N141" i="8"/>
  <c r="M142" i="8"/>
  <c r="M143" i="8" s="1"/>
  <c r="N20" i="8"/>
  <c r="N21" i="8"/>
  <c r="O19" i="8"/>
  <c r="M120" i="8"/>
  <c r="N129" i="8"/>
  <c r="M130" i="8"/>
  <c r="M132" i="8" s="1"/>
  <c r="M124" i="8"/>
  <c r="M125" i="8" s="1"/>
  <c r="N123" i="8"/>
  <c r="K15" i="8"/>
  <c r="M126" i="8"/>
  <c r="N117" i="8"/>
  <c r="M118" i="8"/>
  <c r="L131" i="8"/>
  <c r="M94" i="8"/>
  <c r="N93" i="8"/>
  <c r="N105" i="8"/>
  <c r="M106" i="8"/>
  <c r="M108" i="8" s="1"/>
  <c r="M112" i="8"/>
  <c r="M114" i="8" s="1"/>
  <c r="N111" i="8"/>
  <c r="N33" i="8"/>
  <c r="N32" i="8"/>
  <c r="N34" i="8" s="1"/>
  <c r="N37" i="8" s="1"/>
  <c r="N38" i="8" s="1"/>
  <c r="O31" i="8"/>
  <c r="L9" i="8"/>
  <c r="L8" i="8"/>
  <c r="M7" i="8"/>
  <c r="L137" i="8"/>
  <c r="P99" i="8"/>
  <c r="O100" i="8"/>
  <c r="O101" i="8" s="1"/>
  <c r="K10" i="8"/>
  <c r="K13" i="8" s="1"/>
  <c r="K14" i="8" s="1"/>
  <c r="M136" i="8"/>
  <c r="N135" i="8"/>
  <c r="M107" i="8"/>
  <c r="M137" i="8" l="1"/>
  <c r="N39" i="8"/>
  <c r="L10" i="8"/>
  <c r="L13" i="8" s="1"/>
  <c r="M131" i="8"/>
  <c r="O20" i="8"/>
  <c r="O21" i="8"/>
  <c r="P19" i="8"/>
  <c r="O32" i="8"/>
  <c r="P31" i="8"/>
  <c r="O33" i="8"/>
  <c r="N22" i="8"/>
  <c r="N25" i="8" s="1"/>
  <c r="N27" i="8" s="1"/>
  <c r="N136" i="8"/>
  <c r="N137" i="8" s="1"/>
  <c r="O135" i="8"/>
  <c r="L15" i="8"/>
  <c r="N124" i="8"/>
  <c r="N125" i="8" s="1"/>
  <c r="O123" i="8"/>
  <c r="O141" i="8"/>
  <c r="N142" i="8"/>
  <c r="N143" i="8" s="1"/>
  <c r="M144" i="8"/>
  <c r="O105" i="8"/>
  <c r="N106" i="8"/>
  <c r="N107" i="8" s="1"/>
  <c r="M113" i="8"/>
  <c r="N108" i="8"/>
  <c r="M138" i="8"/>
  <c r="N138" i="8" s="1"/>
  <c r="M8" i="8"/>
  <c r="N7" i="8"/>
  <c r="M9" i="8"/>
  <c r="O117" i="8"/>
  <c r="N118" i="8"/>
  <c r="N120" i="8" s="1"/>
  <c r="L14" i="8"/>
  <c r="N112" i="8"/>
  <c r="N114" i="8" s="1"/>
  <c r="O111" i="8"/>
  <c r="N94" i="8"/>
  <c r="N96" i="8" s="1"/>
  <c r="O93" i="8"/>
  <c r="O129" i="8"/>
  <c r="N130" i="8"/>
  <c r="N132" i="8" s="1"/>
  <c r="Q99" i="8"/>
  <c r="P100" i="8"/>
  <c r="P101" i="8" s="1"/>
  <c r="M26" i="8"/>
  <c r="N119" i="8" l="1"/>
  <c r="N113" i="8"/>
  <c r="N126" i="8"/>
  <c r="Q31" i="8"/>
  <c r="P33" i="8"/>
  <c r="P32" i="8"/>
  <c r="P34" i="8" s="1"/>
  <c r="P37" i="8" s="1"/>
  <c r="P117" i="8"/>
  <c r="O118" i="8"/>
  <c r="O120" i="8" s="1"/>
  <c r="Q100" i="8"/>
  <c r="Q101" i="8" s="1"/>
  <c r="R99" i="8"/>
  <c r="O142" i="8"/>
  <c r="O143" i="8" s="1"/>
  <c r="P141" i="8"/>
  <c r="O22" i="8"/>
  <c r="O25" i="8" s="1"/>
  <c r="O27" i="8" s="1"/>
  <c r="N8" i="8"/>
  <c r="N9" i="8"/>
  <c r="O7" i="8"/>
  <c r="O124" i="8"/>
  <c r="O125" i="8" s="1"/>
  <c r="P123" i="8"/>
  <c r="P129" i="8"/>
  <c r="O130" i="8"/>
  <c r="O132" i="8" s="1"/>
  <c r="M10" i="8"/>
  <c r="M13" i="8" s="1"/>
  <c r="M14" i="8" s="1"/>
  <c r="N131" i="8"/>
  <c r="P93" i="8"/>
  <c r="O94" i="8"/>
  <c r="O96" i="8" s="1"/>
  <c r="P135" i="8"/>
  <c r="O136" i="8"/>
  <c r="O137" i="8" s="1"/>
  <c r="N95" i="8"/>
  <c r="O112" i="8"/>
  <c r="P111" i="8"/>
  <c r="O114" i="8"/>
  <c r="P102" i="8"/>
  <c r="N26" i="8"/>
  <c r="O26" i="8" s="1"/>
  <c r="P105" i="8"/>
  <c r="O106" i="8"/>
  <c r="O107" i="8" s="1"/>
  <c r="O34" i="8"/>
  <c r="O37" i="8" s="1"/>
  <c r="N144" i="8"/>
  <c r="P20" i="8"/>
  <c r="P21" i="8"/>
  <c r="Q19" i="8"/>
  <c r="O144" i="8" l="1"/>
  <c r="O119" i="8"/>
  <c r="O108" i="8"/>
  <c r="Q20" i="8"/>
  <c r="Q21" i="8"/>
  <c r="R19" i="8"/>
  <c r="Q117" i="8"/>
  <c r="P118" i="8"/>
  <c r="P119" i="8" s="1"/>
  <c r="P112" i="8"/>
  <c r="P114" i="8" s="1"/>
  <c r="Q111" i="8"/>
  <c r="P124" i="8"/>
  <c r="P125" i="8" s="1"/>
  <c r="Q123" i="8"/>
  <c r="O39" i="8"/>
  <c r="P39" i="8" s="1"/>
  <c r="O38" i="8"/>
  <c r="P38" i="8" s="1"/>
  <c r="O126" i="8"/>
  <c r="Q105" i="8"/>
  <c r="P106" i="8"/>
  <c r="P107" i="8" s="1"/>
  <c r="O113" i="8"/>
  <c r="N10" i="8"/>
  <c r="N13" i="8" s="1"/>
  <c r="N14" i="8" s="1"/>
  <c r="P26" i="8"/>
  <c r="Q135" i="8"/>
  <c r="P136" i="8"/>
  <c r="P137" i="8" s="1"/>
  <c r="Q102" i="8"/>
  <c r="O138" i="8"/>
  <c r="P138" i="8" s="1"/>
  <c r="P142" i="8"/>
  <c r="P143" i="8" s="1"/>
  <c r="Q141" i="8"/>
  <c r="M15" i="8"/>
  <c r="R100" i="8"/>
  <c r="R101" i="8" s="1"/>
  <c r="S99" i="8"/>
  <c r="P22" i="8"/>
  <c r="P25" i="8" s="1"/>
  <c r="P27" i="8" s="1"/>
  <c r="P130" i="8"/>
  <c r="P132" i="8" s="1"/>
  <c r="Q129" i="8"/>
  <c r="Q32" i="8"/>
  <c r="R31" i="8"/>
  <c r="Q33" i="8"/>
  <c r="O95" i="8"/>
  <c r="O9" i="8"/>
  <c r="O8" i="8"/>
  <c r="O10" i="8" s="1"/>
  <c r="O13" i="8" s="1"/>
  <c r="P7" i="8"/>
  <c r="Q93" i="8"/>
  <c r="P94" i="8"/>
  <c r="P96" i="8" s="1"/>
  <c r="O131" i="8"/>
  <c r="O14" i="8" l="1"/>
  <c r="P126" i="8"/>
  <c r="R93" i="8"/>
  <c r="Q94" i="8"/>
  <c r="Q96" i="8" s="1"/>
  <c r="S100" i="8"/>
  <c r="S101" i="8" s="1"/>
  <c r="T99" i="8"/>
  <c r="P113" i="8"/>
  <c r="Q113" i="8" s="1"/>
  <c r="P8" i="8"/>
  <c r="P9" i="8"/>
  <c r="Q7" i="8"/>
  <c r="P120" i="8"/>
  <c r="Q118" i="8"/>
  <c r="Q119" i="8" s="1"/>
  <c r="R117" i="8"/>
  <c r="N15" i="8"/>
  <c r="O15" i="8" s="1"/>
  <c r="R21" i="8"/>
  <c r="R20" i="8"/>
  <c r="R22" i="8" s="1"/>
  <c r="R25" i="8" s="1"/>
  <c r="S19" i="8"/>
  <c r="R105" i="8"/>
  <c r="Q106" i="8"/>
  <c r="Q107" i="8" s="1"/>
  <c r="R141" i="8"/>
  <c r="Q142" i="8"/>
  <c r="Q143" i="8" s="1"/>
  <c r="Q22" i="8"/>
  <c r="Q25" i="8" s="1"/>
  <c r="Q27" i="8" s="1"/>
  <c r="R27" i="8" s="1"/>
  <c r="P95" i="8"/>
  <c r="Q95" i="8" s="1"/>
  <c r="P108" i="8"/>
  <c r="Q38" i="8"/>
  <c r="Q132" i="8"/>
  <c r="Q39" i="8"/>
  <c r="S31" i="8"/>
  <c r="R33" i="8"/>
  <c r="R32" i="8"/>
  <c r="R34" i="8" s="1"/>
  <c r="R37" i="8" s="1"/>
  <c r="R102" i="8"/>
  <c r="Q124" i="8"/>
  <c r="Q126" i="8" s="1"/>
  <c r="R123" i="8"/>
  <c r="Q114" i="8"/>
  <c r="Q34" i="8"/>
  <c r="Q37" i="8" s="1"/>
  <c r="Q130" i="8"/>
  <c r="R129" i="8"/>
  <c r="R135" i="8"/>
  <c r="Q136" i="8"/>
  <c r="Q137" i="8" s="1"/>
  <c r="P144" i="8"/>
  <c r="P131" i="8"/>
  <c r="Q131" i="8" s="1"/>
  <c r="R111" i="8"/>
  <c r="Q112" i="8"/>
  <c r="S102" i="8" l="1"/>
  <c r="S123" i="8"/>
  <c r="R124" i="8"/>
  <c r="R126" i="8" s="1"/>
  <c r="P10" i="8"/>
  <c r="P13" i="8" s="1"/>
  <c r="P14" i="8" s="1"/>
  <c r="T100" i="8"/>
  <c r="T102" i="8" s="1"/>
  <c r="U99" i="8"/>
  <c r="R106" i="8"/>
  <c r="R107" i="8" s="1"/>
  <c r="S105" i="8"/>
  <c r="Q144" i="8"/>
  <c r="R144" i="8" s="1"/>
  <c r="S21" i="8"/>
  <c r="S20" i="8"/>
  <c r="S22" i="8" s="1"/>
  <c r="S25" i="8" s="1"/>
  <c r="S27" i="8" s="1"/>
  <c r="T19" i="8"/>
  <c r="S93" i="8"/>
  <c r="R94" i="8"/>
  <c r="R95" i="8" s="1"/>
  <c r="R39" i="8"/>
  <c r="S135" i="8"/>
  <c r="R136" i="8"/>
  <c r="R137" i="8" s="1"/>
  <c r="R130" i="8"/>
  <c r="R131" i="8" s="1"/>
  <c r="S129" i="8"/>
  <c r="Q138" i="8"/>
  <c r="R118" i="8"/>
  <c r="R119" i="8" s="1"/>
  <c r="S117" i="8"/>
  <c r="Q108" i="8"/>
  <c r="R108" i="8" s="1"/>
  <c r="T31" i="8"/>
  <c r="S33" i="8"/>
  <c r="S32" i="8"/>
  <c r="Q26" i="8"/>
  <c r="R26" i="8" s="1"/>
  <c r="Q125" i="8"/>
  <c r="Q120" i="8"/>
  <c r="S141" i="8"/>
  <c r="R142" i="8"/>
  <c r="R143" i="8" s="1"/>
  <c r="S111" i="8"/>
  <c r="R112" i="8"/>
  <c r="R114" i="8" s="1"/>
  <c r="R38" i="8"/>
  <c r="Q9" i="8"/>
  <c r="Q8" i="8"/>
  <c r="Q10" i="8" s="1"/>
  <c r="Q13" i="8" s="1"/>
  <c r="R7" i="8"/>
  <c r="R113" i="8" l="1"/>
  <c r="R120" i="8"/>
  <c r="P15" i="8"/>
  <c r="Q15" i="8" s="1"/>
  <c r="Q14" i="8"/>
  <c r="R125" i="8"/>
  <c r="S26" i="8"/>
  <c r="S34" i="8"/>
  <c r="S37" i="8" s="1"/>
  <c r="S39" i="8" s="1"/>
  <c r="S95" i="8"/>
  <c r="U100" i="8"/>
  <c r="U102" i="8" s="1"/>
  <c r="V99" i="8"/>
  <c r="S114" i="8"/>
  <c r="T33" i="8"/>
  <c r="T32" i="8"/>
  <c r="U31" i="8"/>
  <c r="R132" i="8"/>
  <c r="T101" i="8"/>
  <c r="T111" i="8"/>
  <c r="S112" i="8"/>
  <c r="S113" i="8" s="1"/>
  <c r="S106" i="8"/>
  <c r="S108" i="8" s="1"/>
  <c r="T105" i="8"/>
  <c r="S119" i="8"/>
  <c r="R9" i="8"/>
  <c r="R8" i="8"/>
  <c r="R10" i="8" s="1"/>
  <c r="R13" i="8" s="1"/>
  <c r="R14" i="8" s="1"/>
  <c r="S7" i="8"/>
  <c r="T123" i="8"/>
  <c r="S124" i="8"/>
  <c r="S125" i="8" s="1"/>
  <c r="T93" i="8"/>
  <c r="S94" i="8"/>
  <c r="R96" i="8"/>
  <c r="S96" i="8" s="1"/>
  <c r="R138" i="8"/>
  <c r="S120" i="8"/>
  <c r="S136" i="8"/>
  <c r="S137" i="8" s="1"/>
  <c r="T135" i="8"/>
  <c r="T20" i="8"/>
  <c r="T21" i="8"/>
  <c r="U19" i="8"/>
  <c r="S38" i="8"/>
  <c r="T117" i="8"/>
  <c r="S118" i="8"/>
  <c r="S142" i="8"/>
  <c r="S143" i="8" s="1"/>
  <c r="T141" i="8"/>
  <c r="S130" i="8"/>
  <c r="S131" i="8" s="1"/>
  <c r="T129" i="8"/>
  <c r="S126" i="8" l="1"/>
  <c r="V19" i="8"/>
  <c r="U21" i="8"/>
  <c r="U20" i="8"/>
  <c r="U22" i="8" s="1"/>
  <c r="U25" i="8" s="1"/>
  <c r="U135" i="8"/>
  <c r="T136" i="8"/>
  <c r="T137" i="8" s="1"/>
  <c r="R15" i="8"/>
  <c r="V100" i="8"/>
  <c r="V102" i="8" s="1"/>
  <c r="W99" i="8"/>
  <c r="T126" i="8"/>
  <c r="S107" i="8"/>
  <c r="S144" i="8"/>
  <c r="U111" i="8"/>
  <c r="T112" i="8"/>
  <c r="T113" i="8" s="1"/>
  <c r="U101" i="8"/>
  <c r="U117" i="8"/>
  <c r="T118" i="8"/>
  <c r="T119" i="8" s="1"/>
  <c r="S132" i="8"/>
  <c r="U123" i="8"/>
  <c r="T124" i="8"/>
  <c r="T125" i="8" s="1"/>
  <c r="S9" i="8"/>
  <c r="S8" i="8"/>
  <c r="S10" i="8" s="1"/>
  <c r="S13" i="8" s="1"/>
  <c r="S14" i="8" s="1"/>
  <c r="T7" i="8"/>
  <c r="T22" i="8"/>
  <c r="T25" i="8" s="1"/>
  <c r="T130" i="8"/>
  <c r="T131" i="8" s="1"/>
  <c r="U129" i="8"/>
  <c r="T106" i="8"/>
  <c r="T108" i="8" s="1"/>
  <c r="U105" i="8"/>
  <c r="U141" i="8"/>
  <c r="T142" i="8"/>
  <c r="T143" i="8" s="1"/>
  <c r="S138" i="8"/>
  <c r="T94" i="8"/>
  <c r="T96" i="8" s="1"/>
  <c r="U93" i="8"/>
  <c r="V31" i="8"/>
  <c r="U32" i="8"/>
  <c r="U33" i="8"/>
  <c r="T34" i="8"/>
  <c r="T37" i="8" s="1"/>
  <c r="T39" i="8" s="1"/>
  <c r="S15" i="8" l="1"/>
  <c r="T95" i="8"/>
  <c r="V101" i="8"/>
  <c r="U142" i="8"/>
  <c r="U143" i="8" s="1"/>
  <c r="V141" i="8"/>
  <c r="V105" i="8"/>
  <c r="U106" i="8"/>
  <c r="U108" i="8" s="1"/>
  <c r="U136" i="8"/>
  <c r="U137" i="8" s="1"/>
  <c r="V135" i="8"/>
  <c r="U130" i="8"/>
  <c r="U131" i="8" s="1"/>
  <c r="V129" i="8"/>
  <c r="T144" i="8"/>
  <c r="T27" i="8"/>
  <c r="U27" i="8" s="1"/>
  <c r="T26" i="8"/>
  <c r="U26" i="8" s="1"/>
  <c r="W19" i="8"/>
  <c r="V21" i="8"/>
  <c r="V20" i="8"/>
  <c r="V22" i="8" s="1"/>
  <c r="V25" i="8" s="1"/>
  <c r="T9" i="8"/>
  <c r="T8" i="8"/>
  <c r="T10" i="8" s="1"/>
  <c r="T13" i="8" s="1"/>
  <c r="T14" i="8" s="1"/>
  <c r="U7" i="8"/>
  <c r="W31" i="8"/>
  <c r="V33" i="8"/>
  <c r="V32" i="8"/>
  <c r="V34" i="8" s="1"/>
  <c r="V37" i="8" s="1"/>
  <c r="U118" i="8"/>
  <c r="U119" i="8" s="1"/>
  <c r="V117" i="8"/>
  <c r="T38" i="8"/>
  <c r="T107" i="8"/>
  <c r="U34" i="8"/>
  <c r="U37" i="8" s="1"/>
  <c r="U39" i="8" s="1"/>
  <c r="V123" i="8"/>
  <c r="U124" i="8"/>
  <c r="U126" i="8" s="1"/>
  <c r="T114" i="8"/>
  <c r="U112" i="8"/>
  <c r="U113" i="8" s="1"/>
  <c r="V111" i="8"/>
  <c r="T120" i="8"/>
  <c r="V93" i="8"/>
  <c r="U94" i="8"/>
  <c r="U96" i="8" s="1"/>
  <c r="X99" i="8"/>
  <c r="W100" i="8"/>
  <c r="W102" i="8" s="1"/>
  <c r="T138" i="8"/>
  <c r="T132" i="8"/>
  <c r="U114" i="8" l="1"/>
  <c r="U95" i="8"/>
  <c r="V39" i="8"/>
  <c r="U132" i="8"/>
  <c r="U138" i="8"/>
  <c r="U8" i="8"/>
  <c r="V7" i="8"/>
  <c r="U9" i="8"/>
  <c r="W123" i="8"/>
  <c r="V124" i="8"/>
  <c r="V126" i="8" s="1"/>
  <c r="V142" i="8"/>
  <c r="V143" i="8" s="1"/>
  <c r="W141" i="8"/>
  <c r="U107" i="8"/>
  <c r="U125" i="8"/>
  <c r="U38" i="8"/>
  <c r="V38" i="8" s="1"/>
  <c r="X100" i="8"/>
  <c r="X102" i="8" s="1"/>
  <c r="Y99" i="8"/>
  <c r="V27" i="8"/>
  <c r="W101" i="8"/>
  <c r="X101" i="8" s="1"/>
  <c r="W117" i="8"/>
  <c r="V118" i="8"/>
  <c r="V119" i="8" s="1"/>
  <c r="U120" i="8"/>
  <c r="V106" i="8"/>
  <c r="V108" i="8" s="1"/>
  <c r="W105" i="8"/>
  <c r="T15" i="8"/>
  <c r="X19" i="8"/>
  <c r="W20" i="8"/>
  <c r="W21" i="8"/>
  <c r="V26" i="8"/>
  <c r="U144" i="8"/>
  <c r="V94" i="8"/>
  <c r="V95" i="8" s="1"/>
  <c r="W93" i="8"/>
  <c r="V130" i="8"/>
  <c r="V131" i="8" s="1"/>
  <c r="W129" i="8"/>
  <c r="W111" i="8"/>
  <c r="V112" i="8"/>
  <c r="V114" i="8" s="1"/>
  <c r="W135" i="8"/>
  <c r="V136" i="8"/>
  <c r="V137" i="8" s="1"/>
  <c r="W32" i="8"/>
  <c r="W33" i="8"/>
  <c r="X31" i="8"/>
  <c r="V113" i="8" l="1"/>
  <c r="X123" i="8"/>
  <c r="W124" i="8"/>
  <c r="W126" i="8" s="1"/>
  <c r="V96" i="8"/>
  <c r="X32" i="8"/>
  <c r="Y31" i="8"/>
  <c r="X33" i="8"/>
  <c r="Y100" i="8"/>
  <c r="Y102" i="8" s="1"/>
  <c r="Z99" i="8"/>
  <c r="Z100" i="8" s="1"/>
  <c r="D58" i="8" s="1" a="1"/>
  <c r="D58" i="8" s="1"/>
  <c r="W22" i="8"/>
  <c r="W25" i="8" s="1"/>
  <c r="W27" i="8" s="1"/>
  <c r="Y19" i="8"/>
  <c r="X21" i="8"/>
  <c r="X20" i="8"/>
  <c r="V125" i="8"/>
  <c r="V107" i="8"/>
  <c r="W112" i="8"/>
  <c r="W114" i="8" s="1"/>
  <c r="X111" i="8"/>
  <c r="V138" i="8"/>
  <c r="W130" i="8"/>
  <c r="W131" i="8" s="1"/>
  <c r="X129" i="8"/>
  <c r="V132" i="8"/>
  <c r="W94" i="8"/>
  <c r="W95" i="8" s="1"/>
  <c r="X93" i="8"/>
  <c r="W118" i="8"/>
  <c r="W119" i="8" s="1"/>
  <c r="X117" i="8"/>
  <c r="V144" i="8"/>
  <c r="W7" i="8"/>
  <c r="V8" i="8"/>
  <c r="V9" i="8"/>
  <c r="U10" i="8"/>
  <c r="U13" i="8" s="1"/>
  <c r="U14" i="8" s="1"/>
  <c r="W34" i="8"/>
  <c r="W37" i="8" s="1"/>
  <c r="W39" i="8" s="1"/>
  <c r="W38" i="8"/>
  <c r="X135" i="8"/>
  <c r="W136" i="8"/>
  <c r="W137" i="8" s="1"/>
  <c r="W106" i="8"/>
  <c r="W108" i="8" s="1"/>
  <c r="X105" i="8"/>
  <c r="V120" i="8"/>
  <c r="W142" i="8"/>
  <c r="W143" i="8" s="1"/>
  <c r="X141" i="8"/>
  <c r="Z102" i="8" l="1"/>
  <c r="G58" i="8" s="1" a="1"/>
  <c r="G58" i="8" s="1"/>
  <c r="W96" i="8"/>
  <c r="X34" i="8"/>
  <c r="X37" i="8" s="1"/>
  <c r="X39" i="8" s="1"/>
  <c r="W107" i="8"/>
  <c r="U15" i="8"/>
  <c r="W138" i="8"/>
  <c r="V10" i="8"/>
  <c r="V13" i="8" s="1"/>
  <c r="V14" i="8" s="1"/>
  <c r="W26" i="8"/>
  <c r="Y101" i="8"/>
  <c r="Z101" i="8" s="1"/>
  <c r="W120" i="8"/>
  <c r="X22" i="8"/>
  <c r="X25" i="8" s="1"/>
  <c r="X27" i="8" s="1"/>
  <c r="X107" i="8"/>
  <c r="Y111" i="8"/>
  <c r="X112" i="8"/>
  <c r="X114" i="8" s="1"/>
  <c r="X142" i="8"/>
  <c r="X143" i="8" s="1"/>
  <c r="Y141" i="8"/>
  <c r="Y123" i="8"/>
  <c r="X124" i="8"/>
  <c r="X126" i="8" s="1"/>
  <c r="W113" i="8"/>
  <c r="X106" i="8"/>
  <c r="X108" i="8" s="1"/>
  <c r="Y105" i="8"/>
  <c r="W144" i="8"/>
  <c r="X118" i="8"/>
  <c r="X119" i="8" s="1"/>
  <c r="Y117" i="8"/>
  <c r="X95" i="8"/>
  <c r="Y21" i="8"/>
  <c r="Y20" i="8"/>
  <c r="Z19" i="8"/>
  <c r="X136" i="8"/>
  <c r="X137" i="8" s="1"/>
  <c r="Y135" i="8"/>
  <c r="Y93" i="8"/>
  <c r="X94" i="8"/>
  <c r="X38" i="8"/>
  <c r="Y33" i="8"/>
  <c r="Z31" i="8"/>
  <c r="Y32" i="8"/>
  <c r="Y34" i="8" s="1"/>
  <c r="Y37" i="8" s="1"/>
  <c r="X7" i="8"/>
  <c r="W9" i="8"/>
  <c r="W8" i="8"/>
  <c r="W10" i="8" s="1"/>
  <c r="W13" i="8" s="1"/>
  <c r="X96" i="8"/>
  <c r="W125" i="8"/>
  <c r="W132" i="8"/>
  <c r="X130" i="8"/>
  <c r="X131" i="8" s="1"/>
  <c r="Y129" i="8"/>
  <c r="X26" i="8" l="1"/>
  <c r="V15" i="8"/>
  <c r="X125" i="8"/>
  <c r="Y22" i="8"/>
  <c r="Y25" i="8" s="1"/>
  <c r="Y26" i="8" s="1"/>
  <c r="X8" i="8"/>
  <c r="Y7" i="8"/>
  <c r="X9" i="8"/>
  <c r="Z123" i="8"/>
  <c r="Z124" i="8" s="1"/>
  <c r="Y124" i="8"/>
  <c r="Y126" i="8" s="1"/>
  <c r="Y96" i="8"/>
  <c r="Z129" i="8"/>
  <c r="Z130" i="8" s="1"/>
  <c r="Y130" i="8"/>
  <c r="Y131" i="8" s="1"/>
  <c r="Z131" i="8" s="1"/>
  <c r="F63" i="8" s="1" a="1"/>
  <c r="F63" i="8" s="1"/>
  <c r="C49" i="8"/>
  <c r="Z20" i="8"/>
  <c r="Z21" i="8"/>
  <c r="Y142" i="8"/>
  <c r="Y143" i="8" s="1"/>
  <c r="Z141" i="8"/>
  <c r="Z142" i="8" s="1"/>
  <c r="D68" i="8" s="1" a="1"/>
  <c r="D68" i="8" s="1"/>
  <c r="Y118" i="8"/>
  <c r="Y119" i="8" s="1"/>
  <c r="Z117" i="8"/>
  <c r="Z118" i="8" s="1"/>
  <c r="D61" i="8" s="1" a="1"/>
  <c r="D61" i="8" s="1"/>
  <c r="Z111" i="8"/>
  <c r="Z112" i="8" s="1"/>
  <c r="Y112" i="8"/>
  <c r="Y114" i="8" s="1"/>
  <c r="Z114" i="8" s="1"/>
  <c r="G60" i="8" s="1" a="1"/>
  <c r="G60" i="8" s="1"/>
  <c r="X138" i="8"/>
  <c r="W14" i="8"/>
  <c r="D49" i="8"/>
  <c r="Z32" i="8"/>
  <c r="Z33" i="8"/>
  <c r="X144" i="8"/>
  <c r="X132" i="8"/>
  <c r="Y132" i="8" s="1"/>
  <c r="Z132" i="8" s="1"/>
  <c r="G63" i="8" s="1" a="1"/>
  <c r="G63" i="8" s="1"/>
  <c r="Y106" i="8"/>
  <c r="Y107" i="8" s="1"/>
  <c r="Z105" i="8"/>
  <c r="Z106" i="8" s="1"/>
  <c r="D59" i="8" s="1" a="1"/>
  <c r="D59" i="8" s="1"/>
  <c r="Y39" i="8"/>
  <c r="Y38" i="8"/>
  <c r="W15" i="8"/>
  <c r="Z93" i="8"/>
  <c r="Z94" i="8" s="1"/>
  <c r="D57" i="8" s="1" a="1"/>
  <c r="D57" i="8" s="1"/>
  <c r="Y94" i="8"/>
  <c r="Y95" i="8" s="1"/>
  <c r="X120" i="8"/>
  <c r="Y136" i="8"/>
  <c r="Y137" i="8" s="1"/>
  <c r="Z137" i="8" s="1"/>
  <c r="Z135" i="8"/>
  <c r="Z136" i="8" s="1"/>
  <c r="X113" i="8"/>
  <c r="Z119" i="8" l="1"/>
  <c r="Y125" i="8"/>
  <c r="Z143" i="8"/>
  <c r="F68" i="8" s="1" a="1"/>
  <c r="F68" i="8" s="1"/>
  <c r="Z107" i="8"/>
  <c r="D62" i="8" a="1"/>
  <c r="D62" i="8" s="1"/>
  <c r="C75" i="8" s="1"/>
  <c r="D75" i="8" s="1"/>
  <c r="D64" i="8" a="1"/>
  <c r="D64" i="8" s="1"/>
  <c r="C76" i="8" s="1"/>
  <c r="D76" i="8" s="1"/>
  <c r="Y27" i="8"/>
  <c r="E61" i="8"/>
  <c r="E62" i="8"/>
  <c r="E68" i="8"/>
  <c r="Z125" i="8"/>
  <c r="F62" i="8" s="1" a="1"/>
  <c r="F62" i="8" s="1"/>
  <c r="C50" i="8"/>
  <c r="Z22" i="8"/>
  <c r="Z25" i="8" s="1"/>
  <c r="D50" i="8"/>
  <c r="Z34" i="8"/>
  <c r="Z37" i="8" s="1"/>
  <c r="C74" i="8"/>
  <c r="C72" i="8"/>
  <c r="C73" i="8"/>
  <c r="D73" i="8" s="1"/>
  <c r="E58" i="8"/>
  <c r="D60" i="8" a="1"/>
  <c r="D60" i="8" s="1"/>
  <c r="H58" i="8" s="1"/>
  <c r="Z7" i="8"/>
  <c r="Y8" i="8"/>
  <c r="Y9" i="8"/>
  <c r="X10" i="8"/>
  <c r="X13" i="8" s="1"/>
  <c r="X15" i="8" s="1"/>
  <c r="H59" i="8"/>
  <c r="E59" i="8"/>
  <c r="Y144" i="8"/>
  <c r="Z144" i="8" s="1"/>
  <c r="G68" i="8" s="1" a="1"/>
  <c r="G68" i="8" s="1"/>
  <c r="Y113" i="8"/>
  <c r="Z113" i="8" s="1"/>
  <c r="F60" i="8" s="1" a="1"/>
  <c r="F60" i="8" s="1"/>
  <c r="D63" i="8" a="1"/>
  <c r="D63" i="8" s="1"/>
  <c r="Z126" i="8"/>
  <c r="G62" i="8" s="1" a="1"/>
  <c r="G62" i="8" s="1"/>
  <c r="Z95" i="8"/>
  <c r="F57" i="8" s="1" a="1"/>
  <c r="F57" i="8" s="1"/>
  <c r="Y108" i="8"/>
  <c r="Z108" i="8" s="1"/>
  <c r="G59" i="8" s="1" a="1"/>
  <c r="G59" i="8" s="1"/>
  <c r="Y120" i="8"/>
  <c r="Z120" i="8" s="1"/>
  <c r="G61" i="8" s="1" a="1"/>
  <c r="G61" i="8" s="1"/>
  <c r="Z96" i="8"/>
  <c r="G57" i="8" s="1" a="1"/>
  <c r="G57" i="8" s="1"/>
  <c r="Y138" i="8"/>
  <c r="Z138" i="8" s="1"/>
  <c r="G64" i="8" s="1" a="1"/>
  <c r="G64" i="8" s="1"/>
  <c r="E64" i="8" l="1"/>
  <c r="B66" i="8" a="1"/>
  <c r="B66" i="8" s="1"/>
  <c r="B12" i="10" s="1"/>
  <c r="C12" i="10" s="1"/>
  <c r="D44" i="8" a="1"/>
  <c r="D44" i="8" s="1"/>
  <c r="D45" i="8"/>
  <c r="B49" i="8"/>
  <c r="Z8" i="8"/>
  <c r="Z9" i="8"/>
  <c r="E60" i="8"/>
  <c r="H60" i="8"/>
  <c r="H62" i="8"/>
  <c r="H64" i="8"/>
  <c r="Y10" i="8"/>
  <c r="Y13" i="8" s="1"/>
  <c r="Y15" i="8" s="1"/>
  <c r="X14" i="8"/>
  <c r="Y14" i="8" s="1"/>
  <c r="H63" i="8"/>
  <c r="E63" i="8"/>
  <c r="C77" i="8"/>
  <c r="D77" i="8" s="1"/>
  <c r="D72" i="8"/>
  <c r="D74" i="8"/>
  <c r="E74" i="8"/>
  <c r="C45" i="8"/>
  <c r="C44" i="8" a="1"/>
  <c r="C44" i="8" s="1"/>
  <c r="B11" i="10" s="1"/>
  <c r="C11" i="10" s="1"/>
  <c r="Z26" i="8"/>
  <c r="Z27" i="8"/>
  <c r="C48" i="8" s="1" a="1"/>
  <c r="C48" i="8" s="1"/>
  <c r="Z38" i="8"/>
  <c r="D46" i="8" s="1"/>
  <c r="Z39" i="8"/>
  <c r="D48" i="8" s="1" a="1"/>
  <c r="D48" i="8" s="1"/>
  <c r="H61" i="8"/>
  <c r="B50" i="8" l="1"/>
  <c r="Z10" i="8"/>
  <c r="Z13" i="8" s="1"/>
  <c r="Z14" i="8"/>
  <c r="C46" i="8"/>
  <c r="C47" i="8" a="1"/>
  <c r="C47" i="8" s="1"/>
  <c r="B46" i="8" l="1"/>
  <c r="B47" i="8" a="1"/>
  <c r="B47" i="8" s="1"/>
  <c r="B44" i="8" a="1"/>
  <c r="B44" i="8" s="1"/>
  <c r="B45" i="8"/>
  <c r="Z15" i="8"/>
  <c r="B48" i="8" s="1" a="1"/>
  <c r="B48" i="8" s="1"/>
</calcChain>
</file>

<file path=xl/sharedStrings.xml><?xml version="1.0" encoding="utf-8"?>
<sst xmlns="http://schemas.openxmlformats.org/spreadsheetml/2006/main" count="788" uniqueCount="677">
  <si>
    <t>CS9 · Kinh tế sản phẩm AI: chi phí, định giá, hiệu quả đầu tư — File thực hành</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</si>
  <si>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</si>
  <si>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</si>
  <si>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</si>
  <si>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</si>
  <si>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0 · Nhiệm vụ 0: gom đầu vào — có thì tận dụng, chưa có thì làm mới (5 phút)</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</si>
  <si>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</si>
  <si>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</si>
  <si>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</si>
  <si>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</si>
  <si>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Đánh dấu nhóm đã có hay chưa. Cả hai lối đi đều đủ điểm. Dùng số thật từ buổi trước được cộng tối đa 10 điểm.</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</si>
  <si>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</si>
  <si>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</si>
  <si>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</si>
  <si>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</si>
  <si>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Có thể đã có từ buổi trước</t>
  </si>
  <si>
    <t>Đơn vị tiền: trang A tính bằng TRIỆU đồng; từ trang 1 trở đi tính bằng ĐỒNG, riêng bảng độ nhạy ở trang 5 (dòng 56–68) ghi bằng triệu đồng.</t>
  </si>
  <si>
    <t>Chú thích màu:</t>
  </si>
  <si>
    <t>Nhóm đã có chưa?</t>
  </si>
  <si>
    <t>Nếu ĐÃ CÓ: dùng ở đâu</t>
  </si>
  <si>
    <t>Nếu CHƯA CÓ: làm gì</t>
  </si>
  <si>
    <t>Ô điền giả định (không khóa)</t>
  </si>
  <si>
    <t>Ghi chú (tên file, đường dẫn)</t>
  </si>
  <si>
    <t>Ô công thức (tự tính, đã khóa)</t>
  </si>
  <si>
    <t>Mô hình hiệu quả đầu tư 3–6–12 tháng và tài liệu yêu cầu sản phẩm (Phase 1, Ngày 6)</t>
  </si>
  <si>
    <t>Chữ xám nghiêng ở cột Gợi ý: cách lấy số và giá trị bản mẫu (không cần điền)</t>
  </si>
  <si>
    <t>Làm phiên bản 2; so sánh con số cũ và mới ở trang 3–5</t>
  </si>
  <si>
    <t>Dựng mới trên file này</t>
  </si>
  <si>
    <t>Bảng giám sát agent: token, chi phí theo ngày (Ngày 13)</t>
  </si>
  <si>
    <t>Lấy số lần gọi AI và token thật ở trang 1</t>
  </si>
  <si>
    <t>Chạy thử 5 câu hỏi, xem số token ở trang quản lý API (cách làm: trang 1, cột Gợi ý)</t>
  </si>
  <si>
    <t>Báo cáo đánh giá chất lượng (Ngày 14 hoặc buổi đánh giá Track 1)</t>
  </si>
  <si>
    <t>Tỷ lệ chưa đạt → tỷ lệ cần người kiểm tra ở trang 1</t>
  </si>
  <si>
    <t>Giả định 10–20%, ghi lý do</t>
  </si>
  <si>
    <t>Phiếu bài tập 1 và bài về nhà một trang (Ngày 22)</t>
  </si>
  <si>
    <t>Cách tính tiền, chi phí mỗi việc, giá đề xuất: chép vào trang 1–2 rồi soát lại</t>
  </si>
  <si>
    <t>Làm nhanh ở Nhiệm vụ 1–2 theo bản mẫu (cột Gợi ý ở trang 1–2)</t>
  </si>
  <si>
    <t>Bảng theo dõi chỉ số và luật xử lý (Ngày 23)</t>
  </si>
  <si>
    <t>Điền mức cảnh báo tự tính (trang 5, dòng 72–77) vào cột [TỰ TÍNH]</t>
  </si>
  <si>
    <t>Dùng bảng mức cảnh báo ở trang 5 làm khung</t>
  </si>
  <si>
    <t>Sản phẩm của nhóm từ các buổi trước</t>
  </si>
  <si>
    <t>Dùng xuyên suốt</t>
  </si>
  <si>
    <t>Nhóm ngồi chung bàn nhưng khác dự án: chọn 1 trong 3 đề bài giả định trong file CS9_DeBai_GiaDinh.pdf (đề cho sẵn số liệu trang 1–3; ghi tên đề ở cột Ghi chú)</t>
  </si>
  <si>
    <t>Số đầu vào nhóm đã có</t>
  </si>
  <si>
    <t>Điểm thưởng gợi ý (tối đa 10): 2 điểm cho mỗi đầu vào đã có và thật sự được dùng trong bài</t>
  </si>
  <si>
    <t>A · Bài tập tài chính doanh nghiệp căn bản: lập ba báo cáo tài chính</t>
  </si>
  <si>
    <t>Công ty Trợ Lý Xanh bán trợ lý AI trả lời tin nhắn. Dưới đây là mọi giao dịch của 3 tháng đầu. Lập báo cáo kết quả kinh doanh, bảng cân đối kế toán và báo cáo lưu chuyển tiền tệ.</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</si>
  <si>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</si>
  <si>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ĐỀ BÀI · Giao dịch 3 tháng đầu</t>
  </si>
  <si>
    <t>STT</t>
  </si>
  <si>
    <t>Giao dịch</t>
  </si>
  <si>
    <t>Tháng 1</t>
  </si>
  <si>
    <t>Tháng 2</t>
  </si>
  <si>
    <t>Tháng 3</t>
  </si>
  <si>
    <t>Ghi chú</t>
  </si>
  <si>
    <t>Bài 1 · Vào báo cáo kết quả? (Có / Không · vì sao)</t>
  </si>
  <si>
    <t>Chủ sở hữu góp vốn bằng tiền</t>
  </si>
  <si>
    <t>Vay ngân hàng, gốc trả sau 3 năm</t>
  </si>
  <si>
    <t>Lãi 12%/năm, trả cuối mỗi tháng</t>
  </si>
  <si>
    <t>3 tháng</t>
  </si>
  <si>
    <t>Mua máy chủ, trả tiền ngay</t>
  </si>
  <si>
    <t>Dùng 36 tháng, khấu hao đều</t>
  </si>
  <si>
    <t>Bán gói tháng cho cửa hàng nhỏ, thu tiền ngay</t>
  </si>
  <si>
    <t>Ngân hàng X trả trước gói 12 tháng</t>
  </si>
  <si>
    <t>Dịch vụ chạy đều từ tháng 1</t>
  </si>
  <si>
    <t>Dự án triển khai cho công ty Y được nghiệm thu</t>
  </si>
  <si>
    <t>Y trả tiền sau 60 ngày (tháng 4)</t>
  </si>
  <si>
    <t>Chi phí gọi AI phát sinh trong tháng</t>
  </si>
  <si>
    <t>Nhà cung cấp cho trả vào tháng sau</t>
  </si>
  <si>
    <t>Người kiểm tra câu trả lời, trả trong tháng</t>
  </si>
  <si>
    <t>Lương đội phát triển và bán hàng, trả trong tháng</t>
  </si>
  <si>
    <t>Thuê văn phòng, trả trong tháng</t>
  </si>
  <si>
    <t>Thuế thu nhập doanh nghiệp</t>
  </si>
  <si>
    <t>Lỗ lũy kế nên chưa phát sinh thuế</t>
  </si>
  <si>
    <t>BÀI 1 · BÁO CÁO KẾT QUẢ KINH DOANH (10 phút). Ghi theo tháng phát sinh, không theo ngày tiền vào ra. Chi phí ghi số dương; dòng lợi nhuận = kết quả cộng trừ.</t>
  </si>
  <si>
    <t>Khoản mục</t>
  </si>
  <si>
    <t>Cộng 3 tháng</t>
  </si>
  <si>
    <t>Tự kiểm tra</t>
  </si>
  <si>
    <t>Tại sao kết quả kinh doanh 3 tháng đang lỗ, mà nhìn tổng quan doanh nghiệp đang phát triển ổn
Bởi vì doanh nghiệp dã bắt đầu có khách hàng, trong đó có khách hàng lớn sẵn sàng chi trả các gói năm =&gt; dòng tiền ổn định hơn là các khách hàng mua theo tháng
Nếu cứ đà phát triển này doanh nghiệp sẽ dần cân đối lại chi và thu =&gt; phát triển ổn định hơn</t>
  </si>
  <si>
    <t>Doanh thu</t>
  </si>
  <si>
    <t>Giá vốn (gọi AI + người kiểm tra)</t>
  </si>
  <si>
    <t>1 · Chi phí để AI làm xong 1 việc</t>
  </si>
  <si>
    <t>'Việc' = 1 đơn vị công việc khách nhận được, ví dụ: 1 hội thoại được trả lời, 1 hồ sơ được đọc, 1 cuộc gọi.</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</si>
  <si>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</si>
  <si>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Lợi nhuận gộp</t>
  </si>
  <si>
    <t>Hạng mục</t>
  </si>
  <si>
    <t>Giá trị</t>
  </si>
  <si>
    <t>Đơn vị</t>
  </si>
  <si>
    <t>Nguồn / lý do</t>
  </si>
  <si>
    <t>Gợi ý cách lấy số · bản mẫu</t>
  </si>
  <si>
    <t>Mô tả 1 việc (Ngày 22 gọi là job)</t>
  </si>
  <si>
    <t>1 hoá đơn đầu vào (ảnh / file khách gửi) được AI đọc, đối chiếu mã số thuế và nhập vào phần mềm kế toán của văn phòng</t>
  </si>
  <si>
    <t>Đề bài 1: định nghĩa 1 việc. Hoá đơn mờ, viết tay hoặc trên 20 triệu chuyển kế toán viên kiểm tra (dòng 14)</t>
  </si>
  <si>
    <t>Một câu: AI nhận gì, trả ra gì cho khách. Bản mẫu: trả lời 1 hội thoại Zalo của khách cho cửa hàng nhỏ.</t>
  </si>
  <si>
    <t>Số lần gọi mô hình / việc</t>
  </si>
  <si>
    <t>lần</t>
  </si>
  <si>
    <t>Đề bài 1, Trang 1: 2 lần gọi — đọc và trích xuất; tự kiểm tra chéo</t>
  </si>
  <si>
    <t>Đếm số bước phải gọi mô hình cho 1 việc: hiểu câu hỏi, tra cứu, soạn trả lời, tự kiểm tra. Bản mẫu: 2.</t>
  </si>
  <si>
    <t>Token đầu vào / lần gọi</t>
  </si>
  <si>
    <t>token</t>
  </si>
  <si>
    <t>Đề bài 1, Trang 1: 2.500 token/lần gọi gồm ảnh hoá đơn và hướng dẫn</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</si>
  <si>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</si>
  <si>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</si>
  <si>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Đề bài 1, Trang 1: 400 token đầu ra/lần gọi (các trường trích xuất)</t>
  </si>
  <si>
    <t>Độ dài câu trả lời, đếm bằng cách chạy thử. Bản mẫu: 300 (1–3 câu ngắn).</t>
  </si>
  <si>
    <t>Giá token đầu vào</t>
  </si>
  <si>
    <t>USD / 1 triệu token</t>
  </si>
  <si>
    <t>Đề bài 1: Claude Haiku 4.5, 1 USD/1 triệu token vào (trang 9, tra 04/10/2026 — dữ liệu bài tập)</t>
  </si>
  <si>
    <t>Chọn 1 mô hình ở trang 9 hoặc trang giá chính thức. Ghi tên mô hình, ngày tra, đường dẫn ở cột D. Bản mẫu: 0,4 USD (mô hình nhỏ giả định; nhóm thay bằng giá mô hình thật).</t>
  </si>
  <si>
    <t>Giá token đầu ra</t>
  </si>
  <si>
    <t>Đề bài 1: Claude Haiku 4.5, 5 USD/1 triệu token ra (trang 9 — dữ liệu bài tập)</t>
  </si>
  <si>
    <t>Như dòng 9. Giá đầu ra thường cao hơn đầu vào nhiều lần. Bản mẫu: 1,6 USD.</t>
  </si>
  <si>
    <t>Tỷ giá</t>
  </si>
  <si>
    <t>VND / USD</t>
  </si>
  <si>
    <t>Đề bài 1: tỷ giá bán Vietcombank 26.170 đồng/USD (trang 9, 04/10/2026)</t>
  </si>
  <si>
    <t>Tỷ giá bán ra Vietcombank ở trang 9 (26.170 đồng, ngày 04/10/2026) hoặc tra mới, ghi ngày. Bản mẫu: 26.000.</t>
  </si>
  <si>
    <t>Tỷ lệ gọi lại khi lỗi</t>
  </si>
  <si>
    <t>%</t>
  </si>
  <si>
    <t>Đề bài 1: gọi lại khi lỗi 8%</t>
  </si>
  <si>
    <t>Tỷ lệ việc phải gọi lại vì lỗi, hết thời gian chờ, trả lời hỏng. Chưa đo: giả định 5–10%, ghi lý do. Bản mẫu: 10%.</t>
  </si>
  <si>
    <t>Hạ tầng / việc (máy chủ, cơ sở dữ liệu, gửi tin)</t>
  </si>
  <si>
    <t>VND</t>
  </si>
  <si>
    <t>Đề bài 1: 120 đồng/việc — lưu ảnh, kết nối phần mềm kế toán</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</si>
  <si>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</si>
  <si>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</si>
  <si>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Đề bài 1: 20% hoá đơn cần người kiểm tra (mờ, viết tay, trên 20 triệu)</t>
  </si>
  <si>
    <t>Lấy từ báo cáo đánh giá chất lượng (tỷ lệ trả lời chưa đạt). Chưa có: giả định 10–20%. Bản mẫu: 10%.</t>
  </si>
  <si>
    <t>Số phút người kiểm tra / việc</t>
  </si>
  <si>
    <t>phút</t>
  </si>
  <si>
    <t>Đề bài 1: 1,5 phút kiểm tra mỗi hoá đơn</t>
  </si>
  <si>
    <t>Thời gian 1 người đọc và sửa 1 kết quả. Bản mẫu: 1,5 phút.</t>
  </si>
  <si>
    <t>Chi phí nhân sự kiểm tra</t>
  </si>
  <si>
    <t>VND / giờ</t>
  </si>
  <si>
    <t>Đề bài 1: kế toán viên kiểm tra 50.000 đồng/giờ</t>
  </si>
  <si>
    <t>Bằng (lương tháng + bảo hiểm) ÷ số giờ làm mỗi tháng (khoảng 176–208 giờ). Lương tối thiểu ở trang 9 chỉ là mức sàn. Bản mẫu: 60.000 đồng/giờ.</t>
  </si>
  <si>
    <t>Đánh giá chất lượng, giám sát, gán nhãn lại / việc</t>
  </si>
  <si>
    <t>Đề bài 1: đánh giá chất lượng 50 đồng/việc</t>
  </si>
  <si>
    <t>Chi phí chạy bộ câu hỏi đánh giá, gán nhãn lại mỗi tháng ÷ số việc mỗi tháng. Bản mẫu: 60 đồng.</t>
  </si>
  <si>
    <t>Chi phí khác / việc (tuân thủ, lưu nhật ký…)</t>
  </si>
  <si>
    <t>Chi phí hoạt động (lương + văn phòng)</t>
  </si>
  <si>
    <t>Đề bài 1: chi phí khác 30 đồng/việc — lưu chứng từ</t>
  </si>
  <si>
    <t>Lưu nhật ký, bảo mật, tuân thủ. Ghi 0 thì nói vì sao. Bản mẫu: 30 đồng.</t>
  </si>
  <si>
    <t>KẾT QUẢ</t>
  </si>
  <si>
    <t>Chi phí gọi AI / việc (đã tính gọi lại)</t>
  </si>
  <si>
    <t>Lợi nhuận trước lãi vay, thuế và khấu hao (EBITDA)</t>
  </si>
  <si>
    <t>Chi phí người kiểm tra / việc</t>
  </si>
  <si>
    <t>Khấu hao</t>
  </si>
  <si>
    <t>Hạ tầng + đánh giá + khác / việc</t>
  </si>
  <si>
    <t>Lợi nhuận hoạt động</t>
  </si>
  <si>
    <t>TỔNG CHI PHÍ MỖI VIỆC</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</si>
  <si>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</si>
  <si>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</si>
  <si>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</si>
  <si>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</si>
  <si>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</si>
  <si>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</si>
  <si>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</si>
  <si>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</si>
  <si>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</si>
  <si>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</si>
  <si>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</si>
  <si>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</si>
  <si>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</si>
  <si>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</si>
  <si>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</si>
  <si>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</si>
  <si>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</si>
  <si>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</si>
  <si>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</si>
  <si>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</si>
  <si>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</si>
  <si>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</si>
  <si>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</si>
  <si>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</si>
  <si>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</si>
  <si>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</si>
  <si>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</si>
  <si>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</si>
  <si>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</si>
  <si>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</si>
  <si>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</si>
  <si>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</si>
  <si>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</si>
  <si>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</si>
  <si>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</si>
  <si>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</si>
  <si>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</si>
  <si>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</si>
  <si>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</si>
  <si>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</si>
  <si>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</si>
  <si>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</si>
  <si>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</si>
  <si>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</si>
  <si>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</si>
  <si>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</si>
  <si>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</si>
  <si>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</si>
  <si>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</si>
  <si>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</si>
  <si>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Chỉ tháng 2 có lãi (+2 triệu), nhưng tiền mặt tháng 2 GIẢM 88 triệu (1.077 → 989): tiền thật vào chỉ 80 triệu gói tháng, tiền thật ra 168 triệu (15 tiền AI của tháng 1 + 10 kiểm tra + 120 lương + 20 văn phòng + 3 lãi). 90 triệu dự án Y mới là doanh thu, tháng 4 mới thu tiền.</t>
  </si>
  <si>
    <t>2. 240 triệu ngân hàng X trả trước nằm ở đâu trên bảng cân đối cuối tháng 3, bao nhiêu? Vì sao không ghi hết vào doanh thu?</t>
  </si>
  <si>
    <t>Nằm ở Nợ phải trả, dòng Doanh thu chưa thực hiện: 180 triệu. Đến cuối tháng 3 mới phục vụ 3/12 tháng (60 triệu là doanh thu); 9 tháng còn lại là nghĩa vụ phải phục vụ hoặc hoàn tiền nên chưa được ghi doanh thu.</t>
  </si>
  <si>
    <t>3. Lỗ 174 triệu mà dòng tiền kinh doanh chỉ âm 19 triệu. Khoản nào bù vào? Có nên vui không?</t>
  </si>
  <si>
    <t>Bù vào là 180 triệu khách trả trước + 35 triệu chưa trả nhà cung cấp + 30 triệu khấu hao, trừ 90 triệu Y chưa trả (−174 + 30 − 90 + 35 + 180 = −19). Không nên vui: 215 triệu là tiền còn nợ dịch vụ và nợ nhà cung cấp, không phải tiền lãi.</t>
  </si>
  <si>
    <t>4. (Xong sớm) Nếu từ tháng 4 mọi thứ giữ như tháng 3, công ty còn trụ được khoảng bao nhiêu tháng?</t>
  </si>
  <si>
    <t>Từ tháng 4 mỗi tháng thu ~110 triệu, chi ~188 triệu (35 AI + 10 kiểm tra + 120 lương + 20 văn phòng + 3 lãi), đốt ~78 triệu. (921 + 90 triệu Y trả tháng 4) ÷ 78 ≈ 13 tháng, chưa tính trả gốc vay 300 triệu ở năm thứ 3.</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</si>
  <si>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</si>
  <si>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</si>
  <si>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</si>
  <si>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</si>
  <si>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</si>
  <si>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</si>
  <si>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</si>
  <si>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</si>
  <si>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Thuê</t>
  </si>
  <si>
    <t>Nếu chi phí vốn chỉ 8%/năm: giá trị hiện tại của tiền thuê (gợi ý: =PV(0,08/12; C84; -C83))</t>
  </si>
  <si>
    <t>Khi đó nên mua hay thuê?</t>
  </si>
  <si>
    <t>Mua</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</si>
  <si>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</si>
  <si>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</si>
  <si>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</si>
  <si>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</si>
  <si>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Nhân sự: thay một phần nhân viên nhập liệu của văn phòng kế toán</t>
  </si>
  <si>
    <t>Phần mềm hay Nhân sự?</t>
  </si>
  <si>
    <t>Đề bài 1, Trang 2</t>
  </si>
  <si>
    <t>Cách tính tiền đã chọn</t>
  </si>
  <si>
    <t>Kết hợp (phí cố định + vượt hạn mức)</t>
  </si>
  <si>
    <t>Bảng giá dưới luôn có dạng phí cố định + phí mỗi việc vượt hạn mức. Cách nhập cho từng cách tính tiền: dòng 35–40.</t>
  </si>
  <si>
    <t>Đề bài 1, Trang 2: Ngày 22 đã chọn tính theo lượt dùng, đóng thành gói tháng</t>
  </si>
  <si>
    <t>Lý do chọn (hai câu hỏi: đo được kết quả? AI tự làm trọn?)</t>
  </si>
  <si>
    <t>Đo được kết quả: mỗi hoá đơn nhập xong là một việc đếm được, nhưng AI chưa tự làm trọn (20% cần kế toán viên duyệt) → không thu theo kết quả; thu theo lượt dùng, đóng gói tháng có hạn mức để văn phòng dự toán được chi phí</t>
  </si>
  <si>
    <t>Đề bài 1, Bối cảnh + Trang 2</t>
  </si>
  <si>
    <t>Neo giá so với cái gì?</t>
  </si>
  <si>
    <t>Lương nhân viên nhập liệu 8.000.000 đồng/tháng (người được thay), không so với giá ChatGPT</t>
  </si>
  <si>
    <t>Lương hoặc chi phí thuê ngoài, không so với giá ChatGPT</t>
  </si>
  <si>
    <t>Đề bài 1, Trang 2 (dòng 26)</t>
  </si>
  <si>
    <t>Phí cố định / khách / tháng</t>
  </si>
  <si>
    <t>Đề bài 1, Trang 2: phí cố định 1.990.000 đồng/tháng</t>
  </si>
  <si>
    <t>Số việc đã gồm trong phí cố định</t>
  </si>
  <si>
    <t>việc / tháng</t>
  </si>
  <si>
    <t>Đề bài 1, Trang 2: gói gồm 1.000 hoá đơn/tháng</t>
  </si>
  <si>
    <t>Giá mỗi việc vượt hạn mức</t>
  </si>
  <si>
    <t>VND / việc</t>
  </si>
  <si>
    <t>Đề bài 1, Trang 2: phí vượt 2.200 đồng/hoá đơn; so giá sàn ở trang 1, dòng 26</t>
  </si>
  <si>
    <t>Giá gói không giới hạn (để so sánh; thường = phí cố định dòng 9)</t>
  </si>
  <si>
    <t>VND / tháng</t>
  </si>
  <si>
    <t>Đề bài 1, Trang 2: gói không giới hạn 1.990.000 đồng/tháng — chỉ để so sánh</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</si>
  <si>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</si>
  <si>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</si>
  <si>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</si>
  <si>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</si>
  <si>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</si>
  <si>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</si>
  <si>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</si>
  <si>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</si>
  <si>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</si>
  <si>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Đề bài 1, Trang 2: 70% số khách là văn phòng nhỏ, 800 hoá đơn/tháng</t>
  </si>
  <si>
    <t>Khách dùng nhiều</t>
  </si>
  <si>
    <t>Đề bài 1, Trang 2: 30% số khách là văn phòng lớn, 4.000 hoá đơn/tháng</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</si>
  <si>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</si>
  <si>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</si>
  <si>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</si>
  <si>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</si>
  <si>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</si>
  <si>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</si>
  <si>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</si>
  <si>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</si>
  <si>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Tỷ lệ chia doanh thu cho đối tác / kênh bán</t>
  </si>
  <si>
    <t>% doanh thu</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</si>
  <si>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</si>
  <si>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</si>
  <si>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</si>
  <si>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</si>
  <si>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</si>
  <si>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</si>
  <si>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</si>
  <si>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</si>
  <si>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</si>
  <si>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</si>
  <si>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</si>
  <si>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</si>
  <si>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</si>
  <si>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</si>
  <si>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</si>
  <si>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</si>
  <si>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</si>
  <si>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</si>
  <si>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</si>
  <si>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</si>
  <si>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</si>
  <si>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</si>
  <si>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3 · Giả định cho 3 kịch bản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</si>
  <si>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</si>
  <si>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Giả định</t>
  </si>
  <si>
    <t>Lạc quan</t>
  </si>
  <si>
    <t>Cơ sở</t>
  </si>
  <si>
    <t>Xấu</t>
  </si>
  <si>
    <t>Gợi ý · bản mẫu (Lạc quan / Cơ sở / Xấu)</t>
  </si>
  <si>
    <t>Hệ số doanh thu bình quân so với trang 2 (1 = giữ nguyên · 1,1 = cao hơn 10% · 0,8 = thấp hơn 20%)</t>
  </si>
  <si>
    <t>×</t>
  </si>
  <si>
    <t>Cơ sở = 1 theo Đề bài 1 (giữ mặc định file). Lạc quan / Xấu giữ mặc định 1,1 / 0,8: xấu = văn phòng lớn ép giảm giá vì thấy đắt (đề: 'văn phòng lớn thấy đắt')</t>
  </si>
  <si>
    <t>Bản mẫu: 1,1 / 1 / 0,8. Xấu: bị ép giảm giá; lạc quan: bán được gói cao hơn.</t>
  </si>
  <si>
    <t>Hệ số chi phí AI / khách so với trang 2 (gõ như dòng 5)</t>
  </si>
  <si>
    <t>Cơ sở = 1 theo Đề bài 1. Lạc quan / Xấu giữ mặc định 0,9 / 1,2: xấu = tỷ lệ hoá đơn cần kiểm tra hoặc giá token tăng</t>
  </si>
  <si>
    <t>Bản mẫu: 0,9 / 1 / 1,2. Giá gọi AI hoặc cách khách dùng thay đổi.</t>
  </si>
  <si>
    <t>Khách mới tháng 1 (số khách ký được trong tháng đầu bán)</t>
  </si>
  <si>
    <t>khách</t>
  </si>
  <si>
    <t>Đề bài 1, Trang 3: 12 văn phòng ký mới tháng 1. Lạc quan / Xấu = mặc định file (× 1,3 / × 0,5)</t>
  </si>
  <si>
    <t>Cơ sở: số khách đội bán hàng ký được thật trong tháng đầu. Mặc định: lạc quan = cơ sở × 1,3; xấu = cơ sở × 0,5. (Bản mẫu tự đặt 40 / 30 / 15.)</t>
  </si>
  <si>
    <t>Tăng trưởng khách mới / tháng (tính kép: 5%/tháng → tháng 24 gấp khoảng 3 lần tháng 1; 20%/tháng → gấp khoảng 66 lần)</t>
  </si>
  <si>
    <t>4 · Chỉ số trên mỗi khách: có lãi trên từng khách không?</t>
  </si>
  <si>
    <t>Giá trị vòng đời (LTV) tính trên lợi nhuận gộp, KHÔNG tính trên doanh thu.</t>
  </si>
  <si>
    <t>Đề bài 1, Trang 3: tăng trưởng khách mới 5%/tháng. Lạc quan / Xấu = mặc định file (× 1,6 / × 0,4)</t>
  </si>
  <si>
    <t>Mặc định: lạc quan × 1,6, xấu × 0,4. Bản mẫu: 8% / 5% / 2%. Trên 10% mỗi tháng cần lý do rất chắc.</t>
  </si>
  <si>
    <t>Chỉ số</t>
  </si>
  <si>
    <t>Tỷ lệ rời bỏ / tháng</t>
  </si>
  <si>
    <t>Ngưỡng tham khảo</t>
  </si>
  <si>
    <t>Doanh thu bình quân / khách / tháng</t>
  </si>
  <si>
    <t>Đề bài 1, Trang 3: rời bỏ 3%/tháng vì dữ liệu đã nối vào phần mềm kế toán, khó bỏ. Lạc quan / Xấu = mặc định file (× 0,6 / × 1,6 ≥ 1,5 lần cơ sở)</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</si>
  <si>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</si>
  <si>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</si>
  <si>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Lợi nhuận gộp / khách / tháng</t>
  </si>
  <si>
    <t>VND / khách</t>
  </si>
  <si>
    <t>Đề bài 1, Trang 3: CAC 9.000.000 đồng — bán trực tiếp: demo, tích hợp. Lạc quan / Xấu = mặc định file (× 0,8 / × 1,5)</t>
  </si>
  <si>
    <t>Xấu phải ≥ 1,5 × cơ sở. Mặc định: lạc quan × 0,8, xấu × 1,5. (Bản mẫu tự đặt 1,2 / 1,5 / 2,3 triệu đồng.)</t>
  </si>
  <si>
    <t>Chi phí cố định / tháng (lương đội, văn phòng, hạ tầng trả cố định)</t>
  </si>
  <si>
    <t>Đề bài 1, Trang 3: 200 triệu/tháng — đội 6 người và văn phòng</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</si>
  <si>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</si>
  <si>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</si>
  <si>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Đề bài 1, Trang 3: 900 triệu gồm thử sai — 4 tháng đội và văn phòng (800 triệu); token chạy thử, kiểm thử 2.000 hoá đơn mẫu, rà soát pháp lý (100 triệu)</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</si>
  <si>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</si>
  <si>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</si>
  <si>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Đề bài 1, Trang 3: tiền mặt sẵn có 2,5 tỷ đồng</t>
  </si>
  <si>
    <t>≥ 60%</t>
  </si>
  <si>
    <t>Gõ đủ số đồng. Dự án trong công ty: ghi ngân sách đã duyệt. Để trống thì mọi kịch bản hết tiền ngay tháng 1. Bản mẫu: 2 tỷ.</t>
  </si>
  <si>
    <t>Số tháng khách ở lại = 1 ÷ tỷ lệ rời bỏ</t>
  </si>
  <si>
    <t>Lãi suất chiết khấu / năm</t>
  </si>
  <si>
    <t>Đề bài 1: giữ mặc định file 15%/năm</t>
  </si>
  <si>
    <t>Giữ 15% nếu không có lý do khác.</t>
  </si>
  <si>
    <t>Giá trị tính ra</t>
  </si>
  <si>
    <t>Giá trị vòng đời (LTV) = lợi nhuận gộp × số tháng ở lại</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</si>
  <si>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</si>
  <si>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</si>
  <si>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</si>
  <si>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</si>
  <si>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</si>
  <si>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</si>
  <si>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</si>
  <si>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</si>
  <si>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</si>
  <si>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</si>
  <si>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</si>
  <si>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</si>
  <si>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</si>
  <si>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</si>
  <si>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</si>
  <si>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</si>
  <si>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</si>
  <si>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</si>
  <si>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</si>
  <si>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</si>
  <si>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</si>
  <si>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</si>
  <si>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</si>
  <si>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</si>
  <si>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</si>
  <si>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</si>
  <si>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</si>
  <si>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</si>
  <si>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</si>
  <si>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</si>
  <si>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</si>
  <si>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</si>
  <si>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</si>
  <si>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</si>
  <si>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</si>
  <si>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</si>
  <si>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</si>
  <si>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</si>
  <si>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</si>
  <si>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</si>
  <si>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</si>
  <si>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</si>
  <si>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</si>
  <si>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</si>
  <si>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Chi phí cố định</t>
  </si>
  <si>
    <t>Dòng tiền ròng</t>
  </si>
  <si>
    <t>Tiền mặt cuối kỳ</t>
  </si>
  <si>
    <t>Dòng tiền lũy kế của dự án</t>
  </si>
  <si>
    <t>CƠ SỞ</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</si>
  <si>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</si>
  <si>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</si>
  <si>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</si>
  <si>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</si>
  <si>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</si>
  <si>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</si>
  <si>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</si>
  <si>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</si>
  <si>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</si>
  <si>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</si>
  <si>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</si>
  <si>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</si>
  <si>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</si>
  <si>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</si>
  <si>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</si>
  <si>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</si>
  <si>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</si>
  <si>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</si>
  <si>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</si>
  <si>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</si>
  <si>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</si>
  <si>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</si>
  <si>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Giả định của lớp: chi phí vốn</t>
  </si>
  <si>
    <t>Kết quả</t>
  </si>
  <si>
    <t>Giá trị tạo ra / tháng</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</si>
  <si>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</si>
  <si>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</si>
  <si>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Lợi ích ròng / tháng</t>
  </si>
  <si>
    <t>&gt; 0</t>
  </si>
  <si>
    <t>Đầu tư một lần</t>
  </si>
  <si>
    <t>Thời gian hoàn vốn</t>
  </si>
  <si>
    <t>Hiệu quả đầu tư sau 12 tháng (ROI)</t>
  </si>
  <si>
    <t>Giá trị hiện tại ròng 24 tháng</t>
  </si>
  <si>
    <t>Đánh giá nhanh</t>
  </si>
  <si>
    <t>Điểm kiểm tra</t>
  </si>
  <si>
    <t>Kết quả (cơ sở)</t>
  </si>
  <si>
    <t>Đạt?</t>
  </si>
  <si>
    <t>Phần chìm ≥ 30% chi phí gọi AI</t>
  </si>
  <si>
    <t>Hoàn vốn dưới 12 tháng: Làm · hoàn vốn được nhưng chậm: thử ở 1 phòng ban để đo tỷ lệ người dùng thật · không hoàn vốn: Dừng</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</si>
  <si>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</si>
  <si>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</si>
  <si>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</si>
  <si>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</si>
  <si>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</si>
  <si>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</si>
  <si>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</si>
  <si>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</si>
  <si>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</si>
  <si>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2. Giá bán và cách tính tiền đã chọn — vì sao khách chấp nhận mức đó?</t>
  </si>
  <si>
    <t>Gói kết hợp 1.990.000 đ/tháng gồm 1.000 hoá đơn, vượt hạn mức 2.200 đ/hoá đơn (≥ giá sàn 2.113 đ). Chi phí mỗi hoá đơn 704 đ, trong đó gọi AI 254 đ, lớn hơn chút so với người kiểm tra 250 đ: hai khoản gần bằng nhau. Văn phòng nhỏ trả 24,9% lương một nhân viên nhập liệu nên dễ chấp nhận; văn phòng lớn trả 8,59 triệu = 107% lương, vượt mốc 70% nên có lý do bỏ đi hoặc ép giá. Cần phỏng vấn xem 4.000 hoá đơn/tháng đang tốn mấy nhân viên.</t>
  </si>
  <si>
    <t>3. Biến số nguy hiểm nhất (theo bảng độ nhạy ở trang 5) và cách theo dõi.</t>
  </si>
  <si>
    <t>Doanh thu bình quân / khách: giảm 20% làm giá trị hiện tại ròng từ +935 triệu xuống −1.965 triệu; chỉ giảm 6,5% (dưới 3,71 triệu) là về hoà vốn. Biến này dễ đổi vì 65% doanh thu đến từ 30% văn phòng lớn; nếu nhóm này bỏ đi và được thay bằng văn phòng nhỏ, giá trị hiện tại ròng còn −3,83 tỷ. Người Tính số theo dõi hằng tuần doanh thu bình quân và số văn phòng lớn còn dùng.</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</si>
  <si>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</si>
  <si>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NẾU doanh thu bình quân dưới 3.714.000 đ/khách/tháng hoặc rời bỏ trên 4,8%/tháng TRONG 2 tháng liên tiếp trên ít nhất 12 văn phòng thử nghiệm THÌ dừng ký văn phòng mới, cắt đội xuống 4 người và phỏng vấn lại từng văn phòng lớn trong 2 tuần KHÔNG THÌ: cấm hạ phí vượt dưới giá sàn 2.113 đ/hoá đơn và cấm chuyển sang gói không giới hạn (tiền AI ÷ doanh thu của văn phòng lớn sẽ là 1,42: nguy).</t>
  </si>
  <si>
    <t>5. Mức cảnh báo tự tính (trang 5, dòng 72–77) đã điền vào bảng theo dõi Ngày 23 thế nào? Chưa có bảng Ngày 23: chép các mức đó, ghi mức nào là "nguy", mức nào "đáng lo", và ai theo dõi hằng tuần.</t>
  </si>
  <si>
    <t>Chưa có bảng Ngày 23 cho SổSạch nên ghi lại mức tự tính (trang 5, dòng 72–77): doanh thu bình quân dưới 3,71 triệu là nguy, 3,71–3,90 triệu là đáng lo; biên gộp dưới 62,3% là nguy; CAC trên 11,1 triệu là nguy (LTV ÷ CAC tương ứng 8,2, không phải 3); khách mới tháng đầu dưới 11 văn phòng là nguy (10,1 làm tròn lên); chi phí cố định trên 245 triệu/tháng là nguy; trần chia đối tác 6,5%. Người Tính số theo dõi doanh thu, biên gộp, CAC; người Điều phối theo dõi khách mới và chi phí cố định.</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</si>
  <si>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</si>
  <si>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</si>
  <si>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</si>
  <si>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</si>
  <si>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</si>
  <si>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</si>
  <si>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</si>
  <si>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</si>
  <si>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</si>
  <si>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</si>
  <si>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</si>
  <si>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</si>
  <si>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</si>
  <si>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</si>
  <si>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</si>
  <si>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</si>
  <si>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</si>
  <si>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</si>
  <si>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</si>
  <si>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</si>
  <si>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</si>
  <si>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</si>
  <si>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</si>
  <si>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</si>
  <si>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</si>
  <si>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</si>
  <si>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</si>
  <si>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</si>
  <si>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</si>
  <si>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</si>
  <si>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</si>
  <si>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</si>
  <si>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</si>
  <si>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</si>
  <si>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</si>
  <si>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</si>
  <si>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</si>
  <si>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</si>
  <si>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</si>
  <si>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</si>
  <si>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</si>
  <si>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</si>
  <si>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</si>
  <si>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XẤU</t>
  </si>
  <si>
    <t>TÓM TẮT HIỆU QUẢ ĐẦU TƯ</t>
  </si>
  <si>
    <t>Giá trị hiện tại ròng 24 tháng (đồng; lớn hơn 0 là đáng làm)</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</si>
  <si>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</si>
  <si>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</si>
  <si>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</si>
  <si>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</si>
  <si>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</si>
  <si>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</si>
  <si>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</si>
  <si>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</si>
  <si>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</si>
  <si>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</si>
  <si>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</si>
  <si>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</si>
  <si>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</si>
  <si>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</si>
  <si>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</si>
  <si>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</si>
  <si>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</si>
  <si>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</si>
  <si>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</si>
  <si>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</si>
  <si>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</si>
  <si>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</si>
  <si>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</si>
  <si>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</si>
  <si>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</si>
  <si>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</si>
  <si>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</si>
  <si>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</si>
  <si>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</si>
  <si>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</si>
  <si>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</si>
  <si>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</si>
  <si>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Doanh thu bình quân giảm</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</si>
  <si>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</si>
  <si>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</si>
  <si>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</si>
  <si>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</si>
  <si>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</si>
  <si>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</si>
  <si>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</si>
  <si>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</si>
  <si>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</si>
  <si>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</si>
  <si>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</si>
  <si>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</si>
  <si>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</si>
  <si>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</si>
  <si>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</si>
  <si>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</si>
  <si>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</si>
  <si>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</si>
  <si>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</si>
  <si>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</si>
  <si>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</si>
  <si>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</si>
  <si>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</si>
  <si>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</si>
  <si>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</si>
  <si>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</si>
  <si>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</si>
  <si>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</si>
  <si>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</si>
  <si>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</si>
  <si>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</si>
  <si>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Chi phí AI tăng</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</si>
  <si>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</si>
  <si>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</si>
  <si>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</si>
  <si>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</si>
  <si>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</si>
  <si>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</si>
  <si>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</si>
  <si>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</si>
  <si>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</si>
  <si>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</si>
  <si>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</si>
  <si>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</si>
  <si>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</si>
  <si>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</si>
  <si>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</si>
  <si>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</si>
  <si>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</si>
  <si>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</si>
  <si>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</si>
  <si>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</si>
  <si>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</si>
  <si>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</si>
  <si>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</si>
  <si>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</si>
  <si>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</si>
  <si>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</si>
  <si>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</si>
  <si>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</si>
  <si>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</si>
  <si>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</si>
  <si>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</si>
  <si>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</si>
  <si>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</si>
  <si>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</si>
  <si>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</si>
  <si>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</si>
  <si>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</si>
  <si>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</si>
  <si>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</si>
  <si>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</si>
  <si>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</si>
  <si>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</si>
  <si>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</si>
  <si>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</si>
  <si>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</si>
  <si>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</si>
  <si>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</si>
  <si>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</si>
  <si>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</si>
  <si>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</si>
  <si>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</si>
  <si>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</si>
  <si>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</si>
  <si>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</si>
  <si>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</si>
  <si>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</si>
  <si>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</si>
  <si>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</si>
  <si>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</si>
  <si>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</si>
  <si>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</si>
  <si>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</si>
  <si>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</si>
  <si>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</si>
  <si>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</si>
  <si>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</si>
  <si>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</si>
  <si>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</si>
  <si>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</si>
  <si>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</si>
  <si>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</si>
  <si>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</si>
  <si>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</si>
  <si>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</si>
  <si>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</si>
  <si>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</si>
  <si>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</si>
  <si>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</si>
  <si>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</si>
  <si>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</si>
  <si>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</si>
  <si>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</si>
  <si>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</si>
  <si>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</si>
  <si>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</si>
  <si>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</si>
  <si>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</si>
  <si>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</si>
  <si>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</si>
  <si>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</si>
  <si>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</si>
  <si>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</si>
  <si>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</si>
  <si>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</si>
  <si>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</si>
  <si>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</si>
  <si>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</si>
  <si>
    <t>Chưa</t>
  </si>
  <si>
    <t>Không dùng: nhóm làm Đề bài 1 — SổSạch; trang 3–5 dựng mới trên file này theo số của đề</t>
  </si>
  <si>
    <t>Không dùng: số lần gọi và token lấy từ Đề bài 1, Trang 1 (2 lần gọi; 2.500 token vào, 400 token ra); không chạy API</t>
  </si>
  <si>
    <t>Không dùng: tỷ lệ cần người kiểm tra 20% lấy từ Đề bài 1, Trang 1 (hoá đơn mờ, viết tay, trên 20 triệu)</t>
  </si>
  <si>
    <t>Không dùng: cách tính tiền và gói giá lấy từ Đề bài 1, Trang 2 (kết hợp 1.990.000 đ/tháng gồm 1.000 hoá đơn, vượt 2.200 đ/hoá đơn)</t>
  </si>
  <si>
    <t>Chưa có bảng Ngày 23 cho SổSạch: mức cảnh báo tự tính (trang 5, dòng 72–77) ghi ở trang 7, câu 5</t>
  </si>
  <si>
    <t>Đề bài 1 — SổSạch: trợ lý đọc hoá đơn đầu vào cho văn phòng kế toán dịch vụ (CS9_DeBai_GiaDinh.pdf, trang 2–3)</t>
  </si>
  <si>
    <t>Không — góp vốn là vốn chủ sở hữu, không phải doanh thu; chỉ vào bảng cân đối (vốn góp) và dòng tiền tài chính</t>
  </si>
  <si>
    <t>Một phần — gốc vay 300 là nợ, không vào báo cáo; chỉ lãi vay 3/tháng (300 × 12% ÷ 12) vào dòng Lãi vay</t>
  </si>
  <si>
    <t>Một phần — 360 mua máy chủ là tài sản dùng lâu, không phải chi phí tháng 1; chỉ khấu hao 10/tháng (360 ÷ 36)</t>
  </si>
  <si>
    <t>Có — doanh thu đúng tháng bán (50 / 80 / 110); thu tiền ngay nên doanh thu và tiền trùng kỳ</t>
  </si>
  <si>
    <t>Có, chia theo kỳ — mỗi tháng chỉ ghi 20 (240 ÷ 12) là doanh thu; cuối tháng 3 còn 180 là doanh thu chưa thực hiện (nợ)</t>
  </si>
  <si>
    <t>Có — ghi 90 doanh thu tháng 2 (tháng nghiệm thu) dù tháng 4 mới thu tiền; cuối tháng 3 là phải thu khách hàng</t>
  </si>
  <si>
    <t>Có — giá vốn ghi vào tháng phát sinh (15 / 25 / 35) dù trả tháng sau; 35 của tháng 3 chưa trả là phải trả nhà cung cấp</t>
  </si>
  <si>
    <t>Có — giá vốn (người kiểm tra) 10/tháng, phát sinh và trả trong tháng</t>
  </si>
  <si>
    <t>Có — chi phí hoạt động 120/tháng, phát sinh và trả trong tháng</t>
  </si>
  <si>
    <t>Có — chi phí hoạt động 20/tháng, phát sinh và trả trong tháng</t>
  </si>
  <si>
    <t>Có nhưng bằng 0 — lỗ lũy kế nên chưa phát sinh thuế thu nhập doanh nghiệp</t>
  </si>
  <si>
    <t>Đề bài 1, Trang 2 (dòng 26): lương nhân viên nhập liệu 8.000.000 đồng/tháng</t>
  </si>
  <si>
    <t>Đề bài 1, Trang 2 (dòng 27): 0% — bán trực tiếp, không qua đối tác</t>
  </si>
  <si>
    <t>Không áp dụng: Đề bài 1 bán ra thị trường cho văn phòng kế toán (khách bên ngoài), không phải dự án nội bộ; theo runbook Nhiệm vụ 4, đề giả định không cần điền trang 6</t>
  </si>
  <si>
    <t>THỬ NGHIỆM NHỎ. Cơ sở có triển vọng (giá trị hiện tại ròng 24 tháng +935 triệu, IRR 47%/năm, LTV ÷ CAC 10,1, hoàn vốn dự án tháng 21) nhưng kịch bản xấu hết tiền ở tháng 7 (giá trị hiện tại ròng −5,0 tỷ) và tiền mặt thấp nhất của cơ sở chỉ còn 173 triệu. Thử 3 tháng với 12 văn phòng (giữ tỷ lệ 70% nhỏ / 30% lớn); mở rộng khi doanh thu bình quân ≥ 3,71 triệu và rời bỏ ≤ 3%/tháng. Kế hoạch cắt giảm: nếu chạm luật ở câu 4, cuối tháng 3 người Điều phối cắt đội 6 → 4 người (chi phí cố định còn khoảng 140 triệu/tháng) và ngừng chi bán hàng cho khách mới (~81 triệu/tháng ở kịch bản xấu); nhóm tính tay ngoài mô hình: kịch bản xấu lùi tháng hết tiền từ 7 sang 11, đủ thời gian quyết định Dừng hoặc đổi gói giá trước tháng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</si>
</sst>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Red]\-#,##0"/>
    <numFmt numFmtId="165" formatCode="#,##0.##"/>
    <numFmt numFmtId="166" formatCode="0.0%"/>
    <numFmt numFmtId="167" formatCode="#,##0.0;[Red]\-#,##0.0"/>
    <numFmt numFmtId="168" formatCode="0.0&quot; tháng&quot;"/>
    <numFmt numFmtId="169" formatCode="0.00\x"/>
    <numFmt numFmtId="170" formatCode="#,##0.0"/>
    <numFmt numFmtId="171" formatCode="&quot;Tháng &quot;0"/>
  </numFmts>
  <fonts count="16" x14ac:knownFonts="1">
    <font>
      <sz val="11"/>
      <color theme="1"/>
      <name val="Calibri"/>
      <scheme val="minor"/>
    </font>
    <font>
      <b/>
      <sz val="14"/>
      <color theme="1"/>
      <name val="Cambria"/>
    </font>
    <font>
      <i/>
      <sz val="11"/>
      <color rgb="FF595959"/>
      <name val="Cambria"/>
    </font>
    <font>
      <sz val="11"/>
      <color theme="1"/>
      <name val="Calibri"/>
    </font>
    <font>
      <b/>
      <sz val="11"/>
      <color rgb="FFFFFFFF"/>
      <name val="Cambria"/>
    </font>
    <font>
      <b/>
      <sz val="11"/>
      <color theme="1"/>
      <name val="Cambria"/>
    </font>
    <font>
      <i/>
      <sz val="11"/>
      <color rgb="FF595959"/>
      <name val="Calibri"/>
    </font>
    <font>
      <i/>
      <sz val="10"/>
      <color rgb="FF595959"/>
      <name val="Calibri"/>
    </font>
    <font>
      <sz val="11"/>
      <color theme="1"/>
      <name val="Calibri"/>
      <scheme val="minor"/>
    </font>
    <font>
      <b/>
      <sz val="11"/>
      <color rgb="FFC00000"/>
      <name val="Calibri"/>
    </font>
    <font>
      <b/>
      <sz val="11"/>
      <color theme="1"/>
      <name val="Calibri"/>
    </font>
    <font>
      <sz val="11"/>
      <color rgb="FFFF0000"/>
      <name val="Calibri"/>
    </font>
    <font>
      <sz val="11"/>
      <name val="Calibri"/>
    </font>
    <font>
      <b/>
      <sz val="12"/>
      <color theme="1"/>
      <name val="Cambria"/>
    </font>
    <font>
      <b/>
      <sz val="11"/>
      <color rgb="FFC00000"/>
      <name val="Cambria"/>
    </font>
    <font>
      <sz val="10"/>
      <color rgb="FF808080"/>
      <name val="Calibri"/>
    </font>
  </fonts>
  <fills count="6">
    <fill>
      <patternFill patternType="none"/>
    </fill>
    <fill>
      <patternFill patternType="gray125"/>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D9E1F2"/>
        <bgColor rgb="FFD9E1F2"/>
      </patternFill>
    </fill>
  </fills>
  <borders count="9">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
      <left/>
      <right/>
      <top/>
      <bottom/>
      <diagonal/>
    </border>
    <border>
      <left/>
      <right/>
      <top/>
      <bottom/>
      <diagonal/>
    </border>
  </borders>
  <cellStyleXfs count="1">
    <xf numFmtId="0" fontId="0" fillId="0" borderId="0"/>
  </cellStyleXfs>
  <cellXfs count="106">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3" fillId="0" borderId="0" xfId="0" applyFont="1"/>
    <xf numFmtId="0" fontId="2" fillId="0" borderId="0" xfId="0" applyFont="1"/>
    <xf numFmtId="0" fontId="4" fillId="2" borderId="1" xfId="0" applyFont="1" applyFill="1" applyBorder="1" applyAlignment="1">
      <alignment wrapText="1"/>
    </xf>
    <xf numFmtId="0" fontId="5" fillId="0" borderId="0" xfId="0" applyFont="1"/>
    <xf numFmtId="0" fontId="3" fillId="3" borderId="1" xfId="0" applyFont="1" applyFill="1" applyBorder="1"/>
    <xf numFmtId="0" fontId="3" fillId="4" borderId="1" xfId="0" applyFont="1" applyFill="1" applyBorder="1"/>
    <xf numFmtId="0" fontId="3" fillId="0" borderId="2" xfId="0" applyFont="1" applyBorder="1" applyAlignment="1">
      <alignment vertical="top" wrapText="1"/>
    </xf>
    <xf numFmtId="0" fontId="6" fillId="0" borderId="0" xfId="0" applyFont="1" applyAlignment="1">
      <alignment vertical="top" wrapText="1"/>
    </xf>
    <xf numFmtId="0" fontId="3" fillId="3" borderId="2" xfId="0" applyFont="1" applyFill="1" applyBorder="1" applyAlignment="1">
      <alignment vertical="top" wrapText="1"/>
    </xf>
    <xf numFmtId="0" fontId="7" fillId="0" borderId="0" xfId="0" applyFont="1" applyAlignment="1">
      <alignment vertical="top" wrapText="1"/>
    </xf>
    <xf numFmtId="0" fontId="4" fillId="2" borderId="1" xfId="0" applyFont="1" applyFill="1" applyBorder="1" applyAlignment="1">
      <alignment vertical="center" wrapText="1"/>
    </xf>
    <xf numFmtId="0" fontId="3" fillId="0" borderId="2" xfId="0" applyFont="1" applyBorder="1" applyAlignment="1">
      <alignment horizontal="center" vertical="center"/>
    </xf>
    <xf numFmtId="0" fontId="3" fillId="0" borderId="2" xfId="0" applyFont="1" applyBorder="1" applyAlignment="1">
      <alignment vertical="center"/>
    </xf>
    <xf numFmtId="164" fontId="3" fillId="0" borderId="2" xfId="0" applyNumberFormat="1" applyFont="1" applyBorder="1" applyAlignment="1">
      <alignment vertical="center"/>
    </xf>
    <xf numFmtId="0" fontId="3" fillId="0" borderId="2" xfId="0" applyFont="1" applyBorder="1" applyAlignment="1">
      <alignment vertical="center" wrapText="1"/>
    </xf>
    <xf numFmtId="0" fontId="3" fillId="3" borderId="2" xfId="0" applyFont="1" applyFill="1" applyBorder="1" applyAlignment="1">
      <alignment vertical="center" wrapText="1"/>
    </xf>
    <xf numFmtId="0" fontId="8" fillId="0" borderId="0" xfId="0" applyFont="1"/>
    <xf numFmtId="0" fontId="5" fillId="0" borderId="0" xfId="0" applyFont="1" applyAlignment="1">
      <alignment vertical="top" wrapText="1"/>
    </xf>
    <xf numFmtId="0" fontId="3" fillId="0" borderId="2" xfId="0" applyFont="1" applyBorder="1"/>
    <xf numFmtId="164" fontId="3" fillId="3" borderId="2" xfId="0" applyNumberFormat="1" applyFont="1" applyFill="1" applyBorder="1"/>
    <xf numFmtId="164" fontId="3" fillId="4" borderId="2" xfId="0" applyNumberFormat="1" applyFont="1" applyFill="1" applyBorder="1"/>
    <xf numFmtId="0" fontId="10" fillId="0" borderId="2" xfId="0" applyFont="1" applyBorder="1"/>
    <xf numFmtId="0" fontId="3" fillId="3" borderId="2" xfId="0" applyFont="1" applyFill="1" applyBorder="1" applyAlignment="1">
      <alignment wrapText="1"/>
    </xf>
    <xf numFmtId="0" fontId="3" fillId="0" borderId="0" xfId="0" applyFont="1" applyAlignment="1">
      <alignment vertical="center"/>
    </xf>
    <xf numFmtId="0" fontId="7" fillId="0" borderId="0" xfId="0" applyFont="1" applyAlignment="1">
      <alignment vertical="center" wrapText="1"/>
    </xf>
    <xf numFmtId="165" fontId="3" fillId="3" borderId="2" xfId="0" applyNumberFormat="1" applyFont="1" applyFill="1" applyBorder="1" applyAlignment="1">
      <alignment horizontal="right"/>
    </xf>
    <xf numFmtId="164" fontId="10" fillId="4" borderId="2" xfId="0" applyNumberFormat="1" applyFont="1" applyFill="1" applyBorder="1"/>
    <xf numFmtId="166" fontId="3" fillId="3" borderId="2" xfId="0" applyNumberFormat="1" applyFont="1" applyFill="1" applyBorder="1" applyAlignment="1">
      <alignment horizontal="right"/>
    </xf>
    <xf numFmtId="0" fontId="3" fillId="4" borderId="2" xfId="0" applyFont="1" applyFill="1" applyBorder="1"/>
    <xf numFmtId="164" fontId="5" fillId="4" borderId="2" xfId="0" applyNumberFormat="1" applyFont="1" applyFill="1" applyBorder="1"/>
    <xf numFmtId="166" fontId="3" fillId="4" borderId="2" xfId="0" applyNumberFormat="1" applyFont="1" applyFill="1" applyBorder="1"/>
    <xf numFmtId="0" fontId="7" fillId="0" borderId="0" xfId="0" applyFont="1"/>
    <xf numFmtId="9" fontId="3" fillId="4" borderId="2" xfId="0" applyNumberFormat="1" applyFont="1" applyFill="1" applyBorder="1"/>
    <xf numFmtId="0" fontId="10" fillId="0" borderId="2" xfId="0" applyFont="1" applyBorder="1" applyAlignment="1">
      <alignment vertical="top" wrapText="1"/>
    </xf>
    <xf numFmtId="0" fontId="10" fillId="4" borderId="2" xfId="0" applyFont="1" applyFill="1" applyBorder="1" applyAlignment="1">
      <alignment vertical="top" wrapText="1"/>
    </xf>
    <xf numFmtId="164" fontId="3" fillId="3" borderId="2" xfId="0" applyNumberFormat="1" applyFont="1" applyFill="1" applyBorder="1" applyAlignment="1">
      <alignment horizontal="right"/>
    </xf>
    <xf numFmtId="164" fontId="11" fillId="3" borderId="2" xfId="0" applyNumberFormat="1" applyFont="1" applyFill="1" applyBorder="1" applyAlignment="1">
      <alignment horizontal="right"/>
    </xf>
    <xf numFmtId="0" fontId="10" fillId="4" borderId="2" xfId="0" applyFont="1" applyFill="1" applyBorder="1"/>
    <xf numFmtId="164" fontId="3" fillId="0" borderId="2" xfId="0" applyNumberFormat="1" applyFont="1" applyBorder="1" applyAlignment="1">
      <alignment horizontal="right"/>
    </xf>
    <xf numFmtId="164" fontId="3" fillId="0" borderId="2" xfId="0" applyNumberFormat="1" applyFont="1" applyBorder="1"/>
    <xf numFmtId="9" fontId="3" fillId="0" borderId="2" xfId="0" applyNumberFormat="1" applyFont="1" applyBorder="1"/>
    <xf numFmtId="167" fontId="3" fillId="3" borderId="2" xfId="0" applyNumberFormat="1" applyFont="1" applyFill="1" applyBorder="1"/>
    <xf numFmtId="0" fontId="3" fillId="3" borderId="2" xfId="0" applyFont="1" applyFill="1" applyBorder="1"/>
    <xf numFmtId="0" fontId="4" fillId="2" borderId="1" xfId="0" applyFont="1" applyFill="1" applyBorder="1" applyAlignment="1">
      <alignment vertical="top" wrapText="1"/>
    </xf>
    <xf numFmtId="3" fontId="3" fillId="3" borderId="2" xfId="0" applyNumberFormat="1" applyFont="1" applyFill="1" applyBorder="1" applyAlignment="1">
      <alignment horizontal="right"/>
    </xf>
    <xf numFmtId="3" fontId="3" fillId="4" borderId="2" xfId="0" applyNumberFormat="1" applyFont="1" applyFill="1" applyBorder="1"/>
    <xf numFmtId="166" fontId="5" fillId="4" borderId="2" xfId="0" applyNumberFormat="1" applyFont="1" applyFill="1" applyBorder="1"/>
    <xf numFmtId="164" fontId="3" fillId="3" borderId="2" xfId="0" applyNumberFormat="1" applyFont="1" applyFill="1" applyBorder="1" applyAlignment="1">
      <alignment vertical="center"/>
    </xf>
    <xf numFmtId="9" fontId="3" fillId="3" borderId="2" xfId="0" applyNumberFormat="1" applyFont="1" applyFill="1" applyBorder="1"/>
    <xf numFmtId="0" fontId="3" fillId="4" borderId="2" xfId="0" applyFont="1" applyFill="1" applyBorder="1" applyAlignment="1">
      <alignment vertical="top" wrapText="1"/>
    </xf>
    <xf numFmtId="2" fontId="3" fillId="4" borderId="2" xfId="0" applyNumberFormat="1" applyFont="1" applyFill="1" applyBorder="1"/>
    <xf numFmtId="166" fontId="10" fillId="4" borderId="2" xfId="0" applyNumberFormat="1" applyFont="1" applyFill="1" applyBorder="1"/>
    <xf numFmtId="2" fontId="3" fillId="3" borderId="2" xfId="0" applyNumberFormat="1" applyFont="1" applyFill="1" applyBorder="1" applyAlignment="1">
      <alignment vertical="center"/>
    </xf>
    <xf numFmtId="3" fontId="3" fillId="3" borderId="2" xfId="0" applyNumberFormat="1" applyFont="1" applyFill="1" applyBorder="1" applyAlignment="1">
      <alignment vertical="center"/>
    </xf>
    <xf numFmtId="166" fontId="3" fillId="3" borderId="2" xfId="0" applyNumberFormat="1" applyFont="1" applyFill="1" applyBorder="1" applyAlignment="1">
      <alignment vertical="center"/>
    </xf>
    <xf numFmtId="168" fontId="3" fillId="4" borderId="2" xfId="0" applyNumberFormat="1" applyFont="1" applyFill="1" applyBorder="1"/>
    <xf numFmtId="169" fontId="5" fillId="4" borderId="2" xfId="0" applyNumberFormat="1" applyFont="1" applyFill="1" applyBorder="1"/>
    <xf numFmtId="0" fontId="5" fillId="4" borderId="2" xfId="0" applyFont="1" applyFill="1" applyBorder="1"/>
    <xf numFmtId="0" fontId="5" fillId="5" borderId="1" xfId="0" applyFont="1" applyFill="1" applyBorder="1"/>
    <xf numFmtId="170" fontId="3" fillId="0" borderId="0" xfId="0" applyNumberFormat="1" applyFont="1"/>
    <xf numFmtId="164" fontId="3" fillId="0" borderId="0" xfId="0" applyNumberFormat="1" applyFont="1"/>
    <xf numFmtId="0" fontId="9" fillId="0" borderId="0" xfId="0" applyFont="1"/>
    <xf numFmtId="170" fontId="3" fillId="3" borderId="2" xfId="0" applyNumberFormat="1" applyFont="1" applyFill="1" applyBorder="1" applyAlignment="1">
      <alignment vertical="center"/>
    </xf>
    <xf numFmtId="0" fontId="3" fillId="3" borderId="1" xfId="0" applyFont="1" applyFill="1" applyBorder="1" applyAlignment="1">
      <alignment vertical="center"/>
    </xf>
    <xf numFmtId="168" fontId="5" fillId="4" borderId="2" xfId="0" applyNumberFormat="1" applyFont="1" applyFill="1" applyBorder="1"/>
    <xf numFmtId="169" fontId="3" fillId="4" borderId="2" xfId="0" applyNumberFormat="1" applyFont="1" applyFill="1" applyBorder="1"/>
    <xf numFmtId="171" fontId="3" fillId="4" borderId="2" xfId="0" applyNumberFormat="1" applyFont="1" applyFill="1" applyBorder="1"/>
    <xf numFmtId="0" fontId="13" fillId="0" borderId="0" xfId="0" applyFont="1"/>
    <xf numFmtId="9" fontId="3" fillId="3" borderId="1" xfId="0" applyNumberFormat="1" applyFont="1" applyFill="1" applyBorder="1"/>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0" borderId="0" xfId="0" applyFont="1" applyAlignment="1">
      <alignment horizontal="center"/>
    </xf>
    <xf numFmtId="164" fontId="3" fillId="4" borderId="1" xfId="0" applyNumberFormat="1" applyFont="1" applyFill="1" applyBorder="1"/>
    <xf numFmtId="171" fontId="3" fillId="4" borderId="1" xfId="0" applyNumberFormat="1" applyFont="1" applyFill="1" applyBorder="1" applyAlignment="1">
      <alignment vertical="center" wrapText="1"/>
    </xf>
    <xf numFmtId="2" fontId="3" fillId="0" borderId="0" xfId="0" applyNumberFormat="1" applyFont="1"/>
    <xf numFmtId="3" fontId="3" fillId="0" borderId="0" xfId="0" applyNumberFormat="1" applyFont="1"/>
    <xf numFmtId="1" fontId="3" fillId="4" borderId="1" xfId="0" applyNumberFormat="1" applyFont="1" applyFill="1" applyBorder="1" applyAlignment="1">
      <alignment horizontal="center"/>
    </xf>
    <xf numFmtId="166" fontId="3" fillId="4" borderId="1" xfId="0" applyNumberFormat="1" applyFont="1" applyFill="1" applyBorder="1"/>
    <xf numFmtId="170" fontId="3" fillId="4" borderId="1" xfId="0" applyNumberFormat="1" applyFont="1" applyFill="1" applyBorder="1"/>
    <xf numFmtId="0" fontId="14" fillId="4" borderId="1" xfId="0" applyFont="1" applyFill="1" applyBorder="1"/>
    <xf numFmtId="0" fontId="5" fillId="0" borderId="0" xfId="0" applyFont="1" applyAlignment="1">
      <alignment vertical="center" wrapText="1"/>
    </xf>
    <xf numFmtId="167" fontId="3" fillId="4" borderId="2" xfId="0" applyNumberFormat="1" applyFont="1" applyFill="1" applyBorder="1"/>
    <xf numFmtId="167" fontId="10" fillId="4" borderId="2" xfId="0" applyNumberFormat="1" applyFont="1" applyFill="1" applyBorder="1"/>
    <xf numFmtId="0" fontId="15" fillId="0" borderId="0" xfId="0" applyFont="1"/>
    <xf numFmtId="164" fontId="15" fillId="0" borderId="0" xfId="0" applyNumberFormat="1" applyFont="1"/>
    <xf numFmtId="170" fontId="15" fillId="0" borderId="0" xfId="0" applyNumberFormat="1" applyFont="1"/>
    <xf numFmtId="166" fontId="15" fillId="0" borderId="0" xfId="0" applyNumberFormat="1" applyFont="1"/>
    <xf numFmtId="0" fontId="7" fillId="0" borderId="0" xfId="0" applyFont="1" applyAlignment="1">
      <alignment vertical="top" wrapText="1"/>
    </xf>
    <xf numFmtId="0" fontId="0" fillId="0" borderId="0" xfId="0"/>
    <xf numFmtId="0" fontId="5" fillId="0" borderId="0" xfId="0" applyFont="1" applyAlignment="1">
      <alignment vertical="top" wrapText="1"/>
    </xf>
    <xf numFmtId="0" fontId="3" fillId="3" borderId="3" xfId="0" applyFont="1" applyFill="1" applyBorder="1" applyAlignment="1">
      <alignment vertical="top" wrapText="1"/>
    </xf>
    <xf numFmtId="0" fontId="12" fillId="0" borderId="4" xfId="0" applyFont="1" applyBorder="1"/>
    <xf numFmtId="0" fontId="12" fillId="0" borderId="5" xfId="0" applyFont="1" applyBorder="1"/>
    <xf numFmtId="0" fontId="9" fillId="0" borderId="0" xfId="0" applyFont="1" applyAlignment="1">
      <alignment vertical="top" wrapText="1"/>
    </xf>
    <xf numFmtId="0" fontId="4" fillId="2" borderId="6" xfId="0" applyFont="1" applyFill="1" applyBorder="1" applyAlignment="1">
      <alignment vertical="center" wrapText="1"/>
    </xf>
    <xf numFmtId="0" fontId="12" fillId="0" borderId="7" xfId="0" applyFont="1" applyBorder="1"/>
    <xf numFmtId="0" fontId="12" fillId="0" borderId="8" xfId="0" applyFont="1" applyBorder="1"/>
    <xf numFmtId="0" fontId="3" fillId="0" borderId="3" xfId="0" applyFont="1" applyBorder="1"/>
    <xf numFmtId="0" fontId="3" fillId="4" borderId="3" xfId="0" applyFont="1" applyFill="1" applyBorder="1"/>
    <xf numFmtId="0" fontId="2" fillId="0" borderId="0" xfId="0" applyFont="1" applyAlignment="1">
      <alignment vertical="top" wrapText="1"/>
    </xf>
    <xf numFmtId="0" fontId="13" fillId="0" borderId="0" xfId="0" applyFont="1" applyAlignment="1">
      <alignment vertical="top" wrapText="1"/>
    </xf>
    <xf numFmtId="0" fontId="3" fillId="0" borderId="0" xfId="0" applyFont="1" applyAlignment="1">
      <alignment vertical="top" wrapText="1"/>
    </xf>
  </cellXfs>
  <cellStyles count="1">
    <cellStyle name="Bình thường" xfId="0" builtinId="0"/>
  </cellStyles>
  <dxfs count="1">
    <dxf>
      <font>
        <b/>
        <color rgb="FFC00000"/>
      </font>
      <fill>
        <patternFill patternType="solid">
          <fgColor rgb="FFF8CBAD"/>
          <bgColor rgb="FFF8CBA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tabSelected="1" workbookViewId="0"/>
  </sheetViews>
  <sheetFormatPr defaultColWidth="14.42578125" defaultRowHeight="15" customHeight="1" x14ac:dyDescent="0.25"/>
  <cols>
    <col min="1" max="1" width="130" customWidth="1"/>
    <col min="2" max="26" width="8.7109375" customWidth="1"/>
  </cols>
  <sheetData>
    <row r="1" spans="1:1" ht="17.25" customHeight="1" x14ac:dyDescent="0.25">
      <c r="A1" s="1" t="s">
        <v>0</v>
      </c>
    </row>
    <row r="2" spans="1:1" ht="46.5" customHeight="1" x14ac:dyDescent="0.25">
      <c r="A2" s="2" t="s">
        <v>1</v>
      </c>
    </row>
    <row r="3" spans="1:1" ht="31.5" customHeight="1" x14ac:dyDescent="0.25">
      <c r="A3" s="3" t="s">
        <v>2</v>
      </c>
    </row>
    <row r="4" spans="1:1" ht="31.5" customHeight="1" x14ac:dyDescent="0.25">
      <c r="A4" s="3" t="s">
        <v>3</v>
      </c>
    </row>
    <row r="5" spans="1:1" ht="46.5" customHeight="1" x14ac:dyDescent="0.25">
      <c r="A5" s="3" t="s">
        <v>4</v>
      </c>
    </row>
    <row r="6" spans="1:1" ht="46.5" customHeight="1" x14ac:dyDescent="0.25">
      <c r="A6" s="3" t="s">
        <v>6</v>
      </c>
    </row>
    <row r="7" spans="1:1" ht="31.5" customHeight="1" x14ac:dyDescent="0.25">
      <c r="A7" s="3" t="s">
        <v>7</v>
      </c>
    </row>
    <row r="8" spans="1:1" ht="16.5" customHeight="1" x14ac:dyDescent="0.25">
      <c r="A8" s="3" t="s">
        <v>8</v>
      </c>
    </row>
    <row r="9" spans="1:1" ht="46.5" customHeight="1" x14ac:dyDescent="0.25">
      <c r="A9" s="3" t="s">
        <v>9</v>
      </c>
    </row>
    <row r="10" spans="1:1" ht="16.5" customHeight="1" x14ac:dyDescent="0.25">
      <c r="A10" s="3" t="s">
        <v>11</v>
      </c>
    </row>
    <row r="11" spans="1:1" ht="31.5" customHeight="1" x14ac:dyDescent="0.25">
      <c r="A11" s="3" t="s">
        <v>12</v>
      </c>
    </row>
    <row r="12" spans="1:1" ht="31.5" customHeight="1" x14ac:dyDescent="0.25">
      <c r="A12" s="3" t="s">
        <v>13</v>
      </c>
    </row>
    <row r="13" spans="1:1" ht="31.5" customHeight="1" x14ac:dyDescent="0.25">
      <c r="A13" s="3" t="s">
        <v>14</v>
      </c>
    </row>
    <row r="14" spans="1:1" ht="16.5" customHeight="1" x14ac:dyDescent="0.25">
      <c r="A14" s="3" t="s">
        <v>16</v>
      </c>
    </row>
    <row r="15" spans="1:1" ht="15" customHeight="1" x14ac:dyDescent="0.25">
      <c r="A15" s="7" t="s">
        <v>17</v>
      </c>
    </row>
    <row r="16" spans="1:1" ht="15" customHeight="1" x14ac:dyDescent="0.25">
      <c r="A16" s="8" t="s">
        <v>21</v>
      </c>
    </row>
    <row r="17" spans="1:1" ht="15" customHeight="1" x14ac:dyDescent="0.25">
      <c r="A17" s="9" t="s">
        <v>23</v>
      </c>
    </row>
    <row r="18" spans="1:1" ht="15" customHeight="1" x14ac:dyDescent="0.25">
      <c r="A18" s="11" t="s">
        <v>25</v>
      </c>
    </row>
    <row r="19" spans="1:1" x14ac:dyDescent="0.25">
      <c r="A19" s="4"/>
    </row>
    <row r="20" spans="1:1" x14ac:dyDescent="0.25">
      <c r="A20" s="4"/>
    </row>
    <row r="21" spans="1:1" ht="15.75" customHeight="1" x14ac:dyDescent="0.25">
      <c r="A21" s="4"/>
    </row>
    <row r="22" spans="1:1" ht="15.75" customHeight="1" x14ac:dyDescent="0.25">
      <c r="A22" s="4"/>
    </row>
    <row r="23" spans="1:1" ht="15.75" customHeight="1" x14ac:dyDescent="0.25">
      <c r="A23" s="4"/>
    </row>
    <row r="24" spans="1:1" ht="15.75" customHeight="1" x14ac:dyDescent="0.25">
      <c r="A24" s="4"/>
    </row>
    <row r="25" spans="1:1" ht="15.75" customHeight="1" x14ac:dyDescent="0.25">
      <c r="A25" s="4"/>
    </row>
    <row r="26" spans="1:1" ht="15.75" customHeight="1" x14ac:dyDescent="0.25">
      <c r="A26" s="4"/>
    </row>
    <row r="27" spans="1:1" ht="15.75" customHeight="1" x14ac:dyDescent="0.25">
      <c r="A27" s="4"/>
    </row>
    <row r="28" spans="1:1" ht="15.75" customHeight="1" x14ac:dyDescent="0.25">
      <c r="A28" s="4"/>
    </row>
    <row r="29" spans="1:1" ht="15.75" customHeight="1" x14ac:dyDescent="0.25">
      <c r="A29" s="4"/>
    </row>
    <row r="30" spans="1:1" ht="15.75" customHeight="1" x14ac:dyDescent="0.25">
      <c r="A30" s="4"/>
    </row>
    <row r="31" spans="1:1" ht="15.75" customHeight="1" x14ac:dyDescent="0.25">
      <c r="A31" s="4"/>
    </row>
    <row r="32" spans="1:1" ht="15.75" customHeight="1" x14ac:dyDescent="0.25">
      <c r="A32" s="4"/>
    </row>
    <row r="33" spans="1:1" ht="15.75" customHeight="1" x14ac:dyDescent="0.25">
      <c r="A33" s="4"/>
    </row>
    <row r="34" spans="1:1" ht="15.75" customHeight="1" x14ac:dyDescent="0.25">
      <c r="A34" s="4"/>
    </row>
    <row r="35" spans="1:1" ht="15.75" customHeight="1" x14ac:dyDescent="0.25">
      <c r="A35" s="4"/>
    </row>
    <row r="36" spans="1:1" ht="15.75" customHeight="1" x14ac:dyDescent="0.25">
      <c r="A36" s="4"/>
    </row>
    <row r="37" spans="1:1" ht="15.75" customHeight="1" x14ac:dyDescent="0.25">
      <c r="A37" s="4"/>
    </row>
    <row r="38" spans="1:1" ht="15.75" customHeight="1" x14ac:dyDescent="0.25">
      <c r="A38" s="4"/>
    </row>
    <row r="39" spans="1:1" ht="15.75" customHeight="1" x14ac:dyDescent="0.25">
      <c r="A39" s="4"/>
    </row>
    <row r="40" spans="1:1" ht="15.75" customHeight="1" x14ac:dyDescent="0.25">
      <c r="A40" s="4"/>
    </row>
    <row r="41" spans="1:1" ht="15.75" customHeight="1" x14ac:dyDescent="0.25">
      <c r="A41" s="4"/>
    </row>
    <row r="42" spans="1:1" ht="15.75" customHeight="1" x14ac:dyDescent="0.25">
      <c r="A42" s="4"/>
    </row>
    <row r="43" spans="1:1" ht="15.75" customHeight="1" x14ac:dyDescent="0.25">
      <c r="A43" s="4"/>
    </row>
    <row r="44" spans="1:1" ht="15.75" customHeight="1" x14ac:dyDescent="0.25">
      <c r="A44" s="4"/>
    </row>
    <row r="45" spans="1:1" ht="15.75" customHeight="1" x14ac:dyDescent="0.25">
      <c r="A45" s="4"/>
    </row>
    <row r="46" spans="1:1" ht="15.75" customHeight="1" x14ac:dyDescent="0.25">
      <c r="A46" s="4"/>
    </row>
    <row r="47" spans="1:1" ht="15.75" customHeight="1" x14ac:dyDescent="0.25">
      <c r="A47" s="4"/>
    </row>
    <row r="48" spans="1:1" ht="15.75" customHeight="1" x14ac:dyDescent="0.25">
      <c r="A48" s="4"/>
    </row>
    <row r="49" spans="1:1" ht="15.75" customHeight="1" x14ac:dyDescent="0.25">
      <c r="A49" s="4"/>
    </row>
    <row r="50" spans="1:1" ht="15.75" customHeight="1" x14ac:dyDescent="0.25">
      <c r="A50" s="4"/>
    </row>
    <row r="51" spans="1:1" ht="15.75" customHeight="1" x14ac:dyDescent="0.25">
      <c r="A51" s="4"/>
    </row>
    <row r="52" spans="1:1" ht="15.75" customHeight="1" x14ac:dyDescent="0.25">
      <c r="A52" s="4"/>
    </row>
    <row r="53" spans="1:1" ht="15.75" customHeight="1" x14ac:dyDescent="0.25">
      <c r="A53" s="4"/>
    </row>
    <row r="54" spans="1:1" ht="15.75" customHeight="1" x14ac:dyDescent="0.25">
      <c r="A54" s="4"/>
    </row>
    <row r="55" spans="1:1" ht="15.75" customHeight="1" x14ac:dyDescent="0.25">
      <c r="A55" s="4"/>
    </row>
    <row r="56" spans="1:1" ht="15.75" customHeight="1" x14ac:dyDescent="0.25">
      <c r="A56" s="4"/>
    </row>
    <row r="57" spans="1:1" ht="15.75" customHeight="1" x14ac:dyDescent="0.25">
      <c r="A57" s="4"/>
    </row>
    <row r="58" spans="1:1" ht="15.75" customHeight="1" x14ac:dyDescent="0.25">
      <c r="A58" s="4"/>
    </row>
    <row r="59" spans="1:1" ht="15.75" customHeight="1" x14ac:dyDescent="0.25">
      <c r="A59" s="4"/>
    </row>
    <row r="60" spans="1:1" ht="15.75" customHeight="1" x14ac:dyDescent="0.25">
      <c r="A60" s="4"/>
    </row>
    <row r="61" spans="1:1" ht="15.75" customHeight="1" x14ac:dyDescent="0.25">
      <c r="A61" s="4"/>
    </row>
    <row r="62" spans="1:1" ht="15.75" customHeight="1" x14ac:dyDescent="0.25">
      <c r="A62" s="4"/>
    </row>
    <row r="63" spans="1:1" ht="15.75" customHeight="1" x14ac:dyDescent="0.25">
      <c r="A63" s="4"/>
    </row>
    <row r="64" spans="1:1" ht="15.75" customHeight="1" x14ac:dyDescent="0.25">
      <c r="A64" s="4"/>
    </row>
    <row r="65" spans="1:1" ht="15.75" customHeight="1" x14ac:dyDescent="0.25">
      <c r="A65" s="4"/>
    </row>
    <row r="66" spans="1:1" ht="15.75" customHeight="1" x14ac:dyDescent="0.25">
      <c r="A66" s="4"/>
    </row>
    <row r="67" spans="1:1" ht="15.75" customHeight="1" x14ac:dyDescent="0.25">
      <c r="A67" s="4"/>
    </row>
    <row r="68" spans="1:1" ht="15.75" customHeight="1" x14ac:dyDescent="0.25">
      <c r="A68" s="4"/>
    </row>
    <row r="69" spans="1:1" ht="15.75" customHeight="1" x14ac:dyDescent="0.25">
      <c r="A69" s="4"/>
    </row>
    <row r="70" spans="1:1" ht="15.75" customHeight="1" x14ac:dyDescent="0.25">
      <c r="A70" s="4"/>
    </row>
    <row r="71" spans="1:1" ht="15.75" customHeight="1" x14ac:dyDescent="0.25">
      <c r="A71" s="4"/>
    </row>
    <row r="72" spans="1:1" ht="15.75" customHeight="1" x14ac:dyDescent="0.25">
      <c r="A72" s="4"/>
    </row>
    <row r="73" spans="1:1" ht="15.75" customHeight="1" x14ac:dyDescent="0.25">
      <c r="A73" s="4"/>
    </row>
    <row r="74" spans="1:1" ht="15.75" customHeight="1" x14ac:dyDescent="0.25">
      <c r="A74" s="4"/>
    </row>
    <row r="75" spans="1:1" ht="15.75" customHeight="1" x14ac:dyDescent="0.25">
      <c r="A75" s="4"/>
    </row>
    <row r="76" spans="1:1" ht="15.75" customHeight="1" x14ac:dyDescent="0.25">
      <c r="A76" s="4"/>
    </row>
    <row r="77" spans="1:1" ht="15.75" customHeight="1" x14ac:dyDescent="0.25">
      <c r="A77" s="4"/>
    </row>
    <row r="78" spans="1:1" ht="15.75" customHeight="1" x14ac:dyDescent="0.25">
      <c r="A78" s="4"/>
    </row>
    <row r="79" spans="1:1" ht="15.75" customHeight="1" x14ac:dyDescent="0.25">
      <c r="A79" s="4"/>
    </row>
    <row r="80" spans="1:1" ht="15.75" customHeight="1" x14ac:dyDescent="0.25">
      <c r="A80" s="4"/>
    </row>
    <row r="81" spans="1:1" ht="15.75" customHeight="1" x14ac:dyDescent="0.25">
      <c r="A81" s="4"/>
    </row>
    <row r="82" spans="1:1" ht="15.75" customHeight="1" x14ac:dyDescent="0.25">
      <c r="A82" s="4"/>
    </row>
    <row r="83" spans="1:1" ht="15.75" customHeight="1" x14ac:dyDescent="0.25">
      <c r="A83" s="4"/>
    </row>
    <row r="84" spans="1:1" ht="15.75" customHeight="1" x14ac:dyDescent="0.25">
      <c r="A84" s="4"/>
    </row>
    <row r="85" spans="1:1" ht="15.75" customHeight="1" x14ac:dyDescent="0.25">
      <c r="A85" s="4"/>
    </row>
    <row r="86" spans="1:1" ht="15.75" customHeight="1" x14ac:dyDescent="0.25">
      <c r="A86" s="4"/>
    </row>
    <row r="87" spans="1:1" ht="15.75" customHeight="1" x14ac:dyDescent="0.25">
      <c r="A87" s="4"/>
    </row>
    <row r="88" spans="1:1" ht="15.75" customHeight="1" x14ac:dyDescent="0.25">
      <c r="A88" s="4"/>
    </row>
    <row r="89" spans="1:1" ht="15.75" customHeight="1" x14ac:dyDescent="0.25">
      <c r="A89" s="4"/>
    </row>
    <row r="90" spans="1:1" ht="15.75" customHeight="1" x14ac:dyDescent="0.25">
      <c r="A90" s="4"/>
    </row>
    <row r="91" spans="1:1" ht="15.75" customHeight="1" x14ac:dyDescent="0.25">
      <c r="A91" s="4"/>
    </row>
    <row r="92" spans="1:1" ht="15.75" customHeight="1" x14ac:dyDescent="0.25">
      <c r="A92" s="4"/>
    </row>
    <row r="93" spans="1:1" ht="15.75" customHeight="1" x14ac:dyDescent="0.25">
      <c r="A93" s="4"/>
    </row>
    <row r="94" spans="1:1" ht="15.75" customHeight="1" x14ac:dyDescent="0.25">
      <c r="A94" s="4"/>
    </row>
    <row r="95" spans="1:1" ht="15.75" customHeight="1" x14ac:dyDescent="0.25">
      <c r="A95" s="4"/>
    </row>
    <row r="96" spans="1:1" ht="15.75" customHeight="1" x14ac:dyDescent="0.25">
      <c r="A96" s="4"/>
    </row>
    <row r="97" spans="1:1" ht="15.75" customHeight="1" x14ac:dyDescent="0.25">
      <c r="A97" s="4"/>
    </row>
    <row r="98" spans="1:1" ht="15.75" customHeight="1" x14ac:dyDescent="0.25">
      <c r="A98" s="4"/>
    </row>
    <row r="99" spans="1:1" ht="15.75" customHeight="1" x14ac:dyDescent="0.25">
      <c r="A99" s="4"/>
    </row>
    <row r="100" spans="1:1" ht="15.75" customHeight="1" x14ac:dyDescent="0.25">
      <c r="A100" s="4"/>
    </row>
    <row r="101" spans="1:1" ht="15.75" customHeight="1" x14ac:dyDescent="0.25">
      <c r="A101" s="4"/>
    </row>
    <row r="102" spans="1:1" ht="15.75" customHeight="1" x14ac:dyDescent="0.25">
      <c r="A102" s="4"/>
    </row>
    <row r="103" spans="1:1" ht="15.75" customHeight="1" x14ac:dyDescent="0.25">
      <c r="A103" s="4"/>
    </row>
    <row r="104" spans="1:1" ht="15.75" customHeight="1" x14ac:dyDescent="0.25">
      <c r="A104" s="4"/>
    </row>
    <row r="105" spans="1:1" ht="15.75" customHeight="1" x14ac:dyDescent="0.25">
      <c r="A105" s="4"/>
    </row>
    <row r="106" spans="1:1" ht="15.75" customHeight="1" x14ac:dyDescent="0.25">
      <c r="A106" s="4"/>
    </row>
    <row r="107" spans="1:1" ht="15.75" customHeight="1" x14ac:dyDescent="0.25">
      <c r="A107" s="4"/>
    </row>
    <row r="108" spans="1:1" ht="15.75" customHeight="1" x14ac:dyDescent="0.25">
      <c r="A108" s="4"/>
    </row>
    <row r="109" spans="1:1" ht="15.75" customHeight="1" x14ac:dyDescent="0.25">
      <c r="A109" s="4"/>
    </row>
    <row r="110" spans="1:1" ht="15.75" customHeight="1" x14ac:dyDescent="0.25">
      <c r="A110" s="4"/>
    </row>
    <row r="111" spans="1:1" ht="15.75" customHeight="1" x14ac:dyDescent="0.25">
      <c r="A111" s="4"/>
    </row>
    <row r="112" spans="1:1" ht="15.75" customHeight="1" x14ac:dyDescent="0.25">
      <c r="A112" s="4"/>
    </row>
    <row r="113" spans="1:1" ht="15.75" customHeight="1" x14ac:dyDescent="0.25">
      <c r="A113" s="4"/>
    </row>
    <row r="114" spans="1:1" ht="15.75" customHeight="1" x14ac:dyDescent="0.25">
      <c r="A114" s="4"/>
    </row>
    <row r="115" spans="1:1" ht="15.75" customHeight="1" x14ac:dyDescent="0.25">
      <c r="A115" s="4"/>
    </row>
    <row r="116" spans="1:1" ht="15.75" customHeight="1" x14ac:dyDescent="0.25">
      <c r="A116" s="4"/>
    </row>
    <row r="117" spans="1:1" ht="15.75" customHeight="1" x14ac:dyDescent="0.25">
      <c r="A117" s="4"/>
    </row>
    <row r="118" spans="1:1" ht="15.75" customHeight="1" x14ac:dyDescent="0.25">
      <c r="A118" s="4"/>
    </row>
    <row r="119" spans="1:1" ht="15.75" customHeight="1" x14ac:dyDescent="0.25">
      <c r="A119" s="4"/>
    </row>
    <row r="120" spans="1:1" ht="15.75" customHeight="1" x14ac:dyDescent="0.25">
      <c r="A120" s="4"/>
    </row>
    <row r="121" spans="1:1" ht="15.75" customHeight="1" x14ac:dyDescent="0.25">
      <c r="A121" s="4"/>
    </row>
    <row r="122" spans="1:1" ht="15.75" customHeight="1" x14ac:dyDescent="0.25">
      <c r="A122" s="4"/>
    </row>
    <row r="123" spans="1:1" ht="15.75" customHeight="1" x14ac:dyDescent="0.25">
      <c r="A123" s="4"/>
    </row>
    <row r="124" spans="1:1" ht="15.75" customHeight="1" x14ac:dyDescent="0.25">
      <c r="A124" s="4"/>
    </row>
    <row r="125" spans="1:1" ht="15.75" customHeight="1" x14ac:dyDescent="0.25">
      <c r="A125" s="4"/>
    </row>
    <row r="126" spans="1:1" ht="15.75" customHeight="1" x14ac:dyDescent="0.25">
      <c r="A126" s="4"/>
    </row>
    <row r="127" spans="1:1" ht="15.75" customHeight="1" x14ac:dyDescent="0.25">
      <c r="A127" s="4"/>
    </row>
    <row r="128" spans="1:1" ht="15.75" customHeight="1" x14ac:dyDescent="0.25">
      <c r="A128" s="4"/>
    </row>
    <row r="129" spans="1:1" ht="15.75" customHeight="1" x14ac:dyDescent="0.25">
      <c r="A129" s="4"/>
    </row>
    <row r="130" spans="1:1" ht="15.75" customHeight="1" x14ac:dyDescent="0.25">
      <c r="A130" s="4"/>
    </row>
    <row r="131" spans="1:1" ht="15.75" customHeight="1" x14ac:dyDescent="0.25">
      <c r="A131" s="4"/>
    </row>
    <row r="132" spans="1:1" ht="15.75" customHeight="1" x14ac:dyDescent="0.25">
      <c r="A132" s="4"/>
    </row>
    <row r="133" spans="1:1" ht="15.75" customHeight="1" x14ac:dyDescent="0.25">
      <c r="A133" s="4"/>
    </row>
    <row r="134" spans="1:1" ht="15.75" customHeight="1" x14ac:dyDescent="0.25">
      <c r="A134" s="4"/>
    </row>
    <row r="135" spans="1:1" ht="15.75" customHeight="1" x14ac:dyDescent="0.25">
      <c r="A135" s="4"/>
    </row>
    <row r="136" spans="1:1" ht="15.75" customHeight="1" x14ac:dyDescent="0.25">
      <c r="A136" s="4"/>
    </row>
    <row r="137" spans="1:1" ht="15.75" customHeight="1" x14ac:dyDescent="0.25">
      <c r="A137" s="4"/>
    </row>
    <row r="138" spans="1:1" ht="15.75" customHeight="1" x14ac:dyDescent="0.25">
      <c r="A138" s="4"/>
    </row>
    <row r="139" spans="1:1" ht="15.75" customHeight="1" x14ac:dyDescent="0.25">
      <c r="A139" s="4"/>
    </row>
    <row r="140" spans="1:1" ht="15.75" customHeight="1" x14ac:dyDescent="0.25">
      <c r="A140" s="4"/>
    </row>
    <row r="141" spans="1:1" ht="15.75" customHeight="1" x14ac:dyDescent="0.25">
      <c r="A141" s="4"/>
    </row>
    <row r="142" spans="1:1" ht="15.75" customHeight="1" x14ac:dyDescent="0.25">
      <c r="A142" s="4"/>
    </row>
    <row r="143" spans="1:1" ht="15.75" customHeight="1" x14ac:dyDescent="0.25">
      <c r="A143" s="4"/>
    </row>
    <row r="144" spans="1:1" ht="15.75" customHeight="1" x14ac:dyDescent="0.25">
      <c r="A144" s="4"/>
    </row>
    <row r="145" spans="1:1" ht="15.75" customHeight="1" x14ac:dyDescent="0.25">
      <c r="A145" s="4"/>
    </row>
    <row r="146" spans="1:1" ht="15.75" customHeight="1" x14ac:dyDescent="0.25">
      <c r="A146" s="4"/>
    </row>
    <row r="147" spans="1:1" ht="15.75" customHeight="1" x14ac:dyDescent="0.25">
      <c r="A147" s="4"/>
    </row>
    <row r="148" spans="1:1" ht="15.75" customHeight="1" x14ac:dyDescent="0.25">
      <c r="A148" s="4"/>
    </row>
    <row r="149" spans="1:1" ht="15.75" customHeight="1" x14ac:dyDescent="0.25">
      <c r="A149" s="4"/>
    </row>
    <row r="150" spans="1:1" ht="15.75" customHeight="1" x14ac:dyDescent="0.25">
      <c r="A150" s="4"/>
    </row>
    <row r="151" spans="1:1" ht="15.75" customHeight="1" x14ac:dyDescent="0.25">
      <c r="A151" s="4"/>
    </row>
    <row r="152" spans="1:1" ht="15.75" customHeight="1" x14ac:dyDescent="0.25">
      <c r="A152" s="4"/>
    </row>
    <row r="153" spans="1:1" ht="15.75" customHeight="1" x14ac:dyDescent="0.25">
      <c r="A153" s="4"/>
    </row>
    <row r="154" spans="1:1" ht="15.75" customHeight="1" x14ac:dyDescent="0.25">
      <c r="A154" s="4"/>
    </row>
    <row r="155" spans="1:1" ht="15.75" customHeight="1" x14ac:dyDescent="0.25">
      <c r="A155" s="4"/>
    </row>
    <row r="156" spans="1:1" ht="15.75" customHeight="1" x14ac:dyDescent="0.25">
      <c r="A156" s="4"/>
    </row>
    <row r="157" spans="1:1" ht="15.75" customHeight="1" x14ac:dyDescent="0.25">
      <c r="A157" s="4"/>
    </row>
    <row r="158" spans="1:1" ht="15.75" customHeight="1" x14ac:dyDescent="0.25">
      <c r="A158" s="4"/>
    </row>
    <row r="159" spans="1:1" ht="15.75" customHeight="1" x14ac:dyDescent="0.25">
      <c r="A159" s="4"/>
    </row>
    <row r="160" spans="1:1" ht="15.75" customHeight="1" x14ac:dyDescent="0.25">
      <c r="A160" s="4"/>
    </row>
    <row r="161" spans="1:1" ht="15.75" customHeight="1" x14ac:dyDescent="0.25">
      <c r="A161" s="4"/>
    </row>
    <row r="162" spans="1:1" ht="15.75" customHeight="1" x14ac:dyDescent="0.25">
      <c r="A162" s="4"/>
    </row>
    <row r="163" spans="1:1" ht="15.75" customHeight="1" x14ac:dyDescent="0.25">
      <c r="A163" s="4"/>
    </row>
    <row r="164" spans="1:1" ht="15.75" customHeight="1" x14ac:dyDescent="0.25">
      <c r="A164" s="4"/>
    </row>
    <row r="165" spans="1:1" ht="15.75" customHeight="1" x14ac:dyDescent="0.25">
      <c r="A165" s="4"/>
    </row>
    <row r="166" spans="1:1" ht="15.75" customHeight="1" x14ac:dyDescent="0.25">
      <c r="A166" s="4"/>
    </row>
    <row r="167" spans="1:1" ht="15.75" customHeight="1" x14ac:dyDescent="0.25">
      <c r="A167" s="4"/>
    </row>
    <row r="168" spans="1:1" ht="15.75" customHeight="1" x14ac:dyDescent="0.25">
      <c r="A168" s="4"/>
    </row>
    <row r="169" spans="1:1" ht="15.75" customHeight="1" x14ac:dyDescent="0.25">
      <c r="A169" s="4"/>
    </row>
    <row r="170" spans="1:1" ht="15.75" customHeight="1" x14ac:dyDescent="0.25">
      <c r="A170" s="4"/>
    </row>
    <row r="171" spans="1:1" ht="15.75" customHeight="1" x14ac:dyDescent="0.25">
      <c r="A171" s="4"/>
    </row>
    <row r="172" spans="1:1" ht="15.75" customHeight="1" x14ac:dyDescent="0.25">
      <c r="A172" s="4"/>
    </row>
    <row r="173" spans="1:1" ht="15.75" customHeight="1" x14ac:dyDescent="0.25">
      <c r="A173" s="4"/>
    </row>
    <row r="174" spans="1:1" ht="15.75" customHeight="1" x14ac:dyDescent="0.25">
      <c r="A174" s="4"/>
    </row>
    <row r="175" spans="1:1" ht="15.75" customHeight="1" x14ac:dyDescent="0.25">
      <c r="A175" s="4"/>
    </row>
    <row r="176" spans="1:1" ht="15.75" customHeight="1" x14ac:dyDescent="0.25">
      <c r="A176" s="4"/>
    </row>
    <row r="177" spans="1:1" ht="15.75" customHeight="1" x14ac:dyDescent="0.25">
      <c r="A177" s="4"/>
    </row>
    <row r="178" spans="1:1" ht="15.75" customHeight="1" x14ac:dyDescent="0.25">
      <c r="A178" s="4"/>
    </row>
    <row r="179" spans="1:1" ht="15.75" customHeight="1" x14ac:dyDescent="0.25">
      <c r="A179" s="4"/>
    </row>
    <row r="180" spans="1:1" ht="15.75" customHeight="1" x14ac:dyDescent="0.25">
      <c r="A180" s="4"/>
    </row>
    <row r="181" spans="1:1" ht="15.75" customHeight="1" x14ac:dyDescent="0.25">
      <c r="A181" s="4"/>
    </row>
    <row r="182" spans="1:1" ht="15.75" customHeight="1" x14ac:dyDescent="0.25">
      <c r="A182" s="4"/>
    </row>
    <row r="183" spans="1:1" ht="15.75" customHeight="1" x14ac:dyDescent="0.25">
      <c r="A183" s="4"/>
    </row>
    <row r="184" spans="1:1" ht="15.75" customHeight="1" x14ac:dyDescent="0.25">
      <c r="A184" s="4"/>
    </row>
    <row r="185" spans="1:1" ht="15.75" customHeight="1" x14ac:dyDescent="0.25">
      <c r="A185" s="4"/>
    </row>
    <row r="186" spans="1:1" ht="15.75" customHeight="1" x14ac:dyDescent="0.25">
      <c r="A186" s="4"/>
    </row>
    <row r="187" spans="1:1" ht="15.75" customHeight="1" x14ac:dyDescent="0.25">
      <c r="A187" s="4"/>
    </row>
    <row r="188" spans="1:1" ht="15.75" customHeight="1" x14ac:dyDescent="0.25">
      <c r="A188" s="4"/>
    </row>
    <row r="189" spans="1:1" ht="15.75" customHeight="1" x14ac:dyDescent="0.25">
      <c r="A189" s="4"/>
    </row>
    <row r="190" spans="1:1" ht="15.75" customHeight="1" x14ac:dyDescent="0.25">
      <c r="A190" s="4"/>
    </row>
    <row r="191" spans="1:1" ht="15.75" customHeight="1" x14ac:dyDescent="0.25">
      <c r="A191" s="4"/>
    </row>
    <row r="192" spans="1:1" ht="15.75" customHeight="1" x14ac:dyDescent="0.25">
      <c r="A192" s="4"/>
    </row>
    <row r="193" spans="1:1" ht="15.75" customHeight="1" x14ac:dyDescent="0.25">
      <c r="A193" s="4"/>
    </row>
    <row r="194" spans="1:1" ht="15.75" customHeight="1" x14ac:dyDescent="0.25">
      <c r="A194" s="4"/>
    </row>
    <row r="195" spans="1:1" ht="15.75" customHeight="1" x14ac:dyDescent="0.25">
      <c r="A195" s="4"/>
    </row>
    <row r="196" spans="1:1" ht="15.75" customHeight="1" x14ac:dyDescent="0.25">
      <c r="A196" s="4"/>
    </row>
    <row r="197" spans="1:1" ht="15.75" customHeight="1" x14ac:dyDescent="0.25">
      <c r="A197" s="4"/>
    </row>
    <row r="198" spans="1:1" ht="15.75" customHeight="1" x14ac:dyDescent="0.25">
      <c r="A198" s="4"/>
    </row>
    <row r="199" spans="1:1" ht="15.75" customHeight="1" x14ac:dyDescent="0.25">
      <c r="A199" s="4"/>
    </row>
    <row r="200" spans="1:1" ht="15.75" customHeight="1" x14ac:dyDescent="0.25">
      <c r="A200" s="4"/>
    </row>
    <row r="201" spans="1:1" ht="15.75" customHeight="1" x14ac:dyDescent="0.25">
      <c r="A201" s="4"/>
    </row>
    <row r="202" spans="1:1" ht="15.75" customHeight="1" x14ac:dyDescent="0.25">
      <c r="A202" s="4"/>
    </row>
    <row r="203" spans="1:1" ht="15.75" customHeight="1" x14ac:dyDescent="0.25">
      <c r="A203" s="4"/>
    </row>
    <row r="204" spans="1:1" ht="15.75" customHeight="1" x14ac:dyDescent="0.25">
      <c r="A204" s="4"/>
    </row>
    <row r="205" spans="1:1" ht="15.75" customHeight="1" x14ac:dyDescent="0.25">
      <c r="A205" s="4"/>
    </row>
    <row r="206" spans="1:1" ht="15.75" customHeight="1" x14ac:dyDescent="0.25">
      <c r="A206" s="4"/>
    </row>
    <row r="207" spans="1:1" ht="15.75" customHeight="1" x14ac:dyDescent="0.25">
      <c r="A207" s="4"/>
    </row>
    <row r="208" spans="1:1" ht="15.75" customHeight="1" x14ac:dyDescent="0.25">
      <c r="A208" s="4"/>
    </row>
    <row r="209" spans="1:1" ht="15.75" customHeight="1" x14ac:dyDescent="0.25">
      <c r="A209" s="4"/>
    </row>
    <row r="210" spans="1:1" ht="15.75" customHeight="1" x14ac:dyDescent="0.25">
      <c r="A210" s="4"/>
    </row>
    <row r="211" spans="1:1" ht="15.75" customHeight="1" x14ac:dyDescent="0.25">
      <c r="A211" s="4"/>
    </row>
    <row r="212" spans="1:1" ht="15.75" customHeight="1" x14ac:dyDescent="0.25">
      <c r="A212" s="4"/>
    </row>
    <row r="213" spans="1:1" ht="15.75" customHeight="1" x14ac:dyDescent="0.25">
      <c r="A213" s="4"/>
    </row>
    <row r="214" spans="1:1" ht="15.75" customHeight="1" x14ac:dyDescent="0.25">
      <c r="A214" s="4"/>
    </row>
    <row r="215" spans="1:1" ht="15.75" customHeight="1" x14ac:dyDescent="0.25">
      <c r="A215" s="4"/>
    </row>
    <row r="216" spans="1:1" ht="15.75" customHeight="1" x14ac:dyDescent="0.25">
      <c r="A216" s="4"/>
    </row>
    <row r="217" spans="1:1" ht="15.75" customHeight="1" x14ac:dyDescent="0.25">
      <c r="A217" s="4"/>
    </row>
    <row r="218" spans="1:1" ht="15.75" customHeight="1" x14ac:dyDescent="0.25">
      <c r="A218" s="4"/>
    </row>
    <row r="219" spans="1:1" ht="15.75" customHeight="1" x14ac:dyDescent="0.25">
      <c r="A219" s="4"/>
    </row>
    <row r="220" spans="1:1" ht="15.75" customHeight="1" x14ac:dyDescent="0.25">
      <c r="A220" s="4"/>
    </row>
    <row r="221" spans="1:1" ht="15.75" customHeight="1" x14ac:dyDescent="0.25">
      <c r="A221" s="4"/>
    </row>
    <row r="222" spans="1:1" ht="15.75" customHeight="1" x14ac:dyDescent="0.25">
      <c r="A222" s="4"/>
    </row>
    <row r="223" spans="1:1" ht="15.75" customHeight="1" x14ac:dyDescent="0.25">
      <c r="A223" s="4"/>
    </row>
    <row r="224" spans="1:1" ht="15.75" customHeight="1" x14ac:dyDescent="0.25">
      <c r="A224" s="4"/>
    </row>
    <row r="225" spans="1:1" ht="15.75" customHeight="1" x14ac:dyDescent="0.25">
      <c r="A225" s="4"/>
    </row>
    <row r="226" spans="1:1" ht="15.75" customHeight="1" x14ac:dyDescent="0.25">
      <c r="A226" s="4"/>
    </row>
    <row r="227" spans="1:1" ht="15.75" customHeight="1" x14ac:dyDescent="0.25">
      <c r="A227" s="4"/>
    </row>
    <row r="228" spans="1:1" ht="15.75" customHeight="1" x14ac:dyDescent="0.25">
      <c r="A228" s="4"/>
    </row>
    <row r="229" spans="1:1" ht="15.75" customHeight="1" x14ac:dyDescent="0.25">
      <c r="A229" s="4"/>
    </row>
    <row r="230" spans="1:1" ht="15.75" customHeight="1" x14ac:dyDescent="0.25">
      <c r="A230" s="4"/>
    </row>
    <row r="231" spans="1:1" ht="15.75" customHeight="1" x14ac:dyDescent="0.25">
      <c r="A231" s="4"/>
    </row>
    <row r="232" spans="1:1" ht="15.75" customHeight="1" x14ac:dyDescent="0.25">
      <c r="A232" s="4"/>
    </row>
    <row r="233" spans="1:1" ht="15.75" customHeight="1" x14ac:dyDescent="0.25">
      <c r="A233" s="4"/>
    </row>
    <row r="234" spans="1:1" ht="15.75" customHeight="1" x14ac:dyDescent="0.25">
      <c r="A234" s="4"/>
    </row>
    <row r="235" spans="1:1" ht="15.75" customHeight="1" x14ac:dyDescent="0.25">
      <c r="A235" s="4"/>
    </row>
    <row r="236" spans="1:1" ht="15.75" customHeight="1" x14ac:dyDescent="0.25">
      <c r="A236" s="4"/>
    </row>
    <row r="237" spans="1:1" ht="15.75" customHeight="1" x14ac:dyDescent="0.25">
      <c r="A237" s="4"/>
    </row>
    <row r="238" spans="1:1" ht="15.75" customHeight="1" x14ac:dyDescent="0.25">
      <c r="A238" s="4"/>
    </row>
    <row r="239" spans="1:1" ht="15.75" customHeight="1" x14ac:dyDescent="0.25">
      <c r="A239" s="4"/>
    </row>
    <row r="240" spans="1:1" ht="15.75" customHeight="1" x14ac:dyDescent="0.25">
      <c r="A240" s="4"/>
    </row>
    <row r="241" spans="1:1" ht="15.75" customHeight="1" x14ac:dyDescent="0.25">
      <c r="A241" s="4"/>
    </row>
    <row r="242" spans="1:1" ht="15.75" customHeight="1" x14ac:dyDescent="0.25">
      <c r="A242" s="4"/>
    </row>
    <row r="243" spans="1:1" ht="15.75" customHeight="1" x14ac:dyDescent="0.25">
      <c r="A243" s="4"/>
    </row>
    <row r="244" spans="1:1" ht="15.75" customHeight="1" x14ac:dyDescent="0.25">
      <c r="A244" s="4"/>
    </row>
    <row r="245" spans="1:1" ht="15.75" customHeight="1" x14ac:dyDescent="0.25">
      <c r="A245" s="4"/>
    </row>
    <row r="246" spans="1:1" ht="15.75" customHeight="1" x14ac:dyDescent="0.25">
      <c r="A246" s="4"/>
    </row>
    <row r="247" spans="1:1" ht="15.75" customHeight="1" x14ac:dyDescent="0.25">
      <c r="A247" s="4"/>
    </row>
    <row r="248" spans="1:1" ht="15.75" customHeight="1" x14ac:dyDescent="0.25">
      <c r="A248" s="4"/>
    </row>
    <row r="249" spans="1:1" ht="15.75" customHeight="1" x14ac:dyDescent="0.25">
      <c r="A249" s="4"/>
    </row>
    <row r="250" spans="1:1" ht="15.75" customHeight="1" x14ac:dyDescent="0.25">
      <c r="A250" s="4"/>
    </row>
    <row r="251" spans="1:1" ht="15.75" customHeight="1" x14ac:dyDescent="0.25">
      <c r="A251" s="4"/>
    </row>
    <row r="252" spans="1:1" ht="15.75" customHeight="1" x14ac:dyDescent="0.25">
      <c r="A252" s="4"/>
    </row>
    <row r="253" spans="1:1" ht="15.75" customHeight="1" x14ac:dyDescent="0.25">
      <c r="A253" s="4"/>
    </row>
    <row r="254" spans="1:1" ht="15.75" customHeight="1" x14ac:dyDescent="0.25">
      <c r="A254" s="4"/>
    </row>
    <row r="255" spans="1:1" ht="15.75" customHeight="1" x14ac:dyDescent="0.25">
      <c r="A255" s="4"/>
    </row>
    <row r="256" spans="1:1" ht="15.75" customHeight="1" x14ac:dyDescent="0.25">
      <c r="A256" s="4"/>
    </row>
    <row r="257" spans="1:1" ht="15.75" customHeight="1" x14ac:dyDescent="0.25">
      <c r="A257" s="4"/>
    </row>
    <row r="258" spans="1:1" ht="15.75" customHeight="1" x14ac:dyDescent="0.25">
      <c r="A258" s="4"/>
    </row>
    <row r="259" spans="1:1" ht="15.75" customHeight="1" x14ac:dyDescent="0.25">
      <c r="A259" s="4"/>
    </row>
    <row r="260" spans="1:1" ht="15.75" customHeight="1" x14ac:dyDescent="0.25">
      <c r="A260" s="4"/>
    </row>
    <row r="261" spans="1:1" ht="15.75" customHeight="1" x14ac:dyDescent="0.25">
      <c r="A261" s="4"/>
    </row>
    <row r="262" spans="1:1" ht="15.75" customHeight="1" x14ac:dyDescent="0.25">
      <c r="A262" s="4"/>
    </row>
    <row r="263" spans="1:1" ht="15.75" customHeight="1" x14ac:dyDescent="0.25">
      <c r="A263" s="4"/>
    </row>
    <row r="264" spans="1:1" ht="15.75" customHeight="1" x14ac:dyDescent="0.25">
      <c r="A264" s="4"/>
    </row>
    <row r="265" spans="1:1" ht="15.75" customHeight="1" x14ac:dyDescent="0.25">
      <c r="A265" s="4"/>
    </row>
    <row r="266" spans="1:1" ht="15.75" customHeight="1" x14ac:dyDescent="0.25">
      <c r="A266" s="4"/>
    </row>
    <row r="267" spans="1:1" ht="15.75" customHeight="1" x14ac:dyDescent="0.25">
      <c r="A267" s="4"/>
    </row>
    <row r="268" spans="1:1" ht="15.75" customHeight="1" x14ac:dyDescent="0.25">
      <c r="A268" s="4"/>
    </row>
    <row r="269" spans="1:1" ht="15.75" customHeight="1" x14ac:dyDescent="0.25">
      <c r="A269" s="4"/>
    </row>
    <row r="270" spans="1:1" ht="15.75" customHeight="1" x14ac:dyDescent="0.25">
      <c r="A270" s="4"/>
    </row>
    <row r="271" spans="1:1" ht="15.75" customHeight="1" x14ac:dyDescent="0.25">
      <c r="A271" s="4"/>
    </row>
    <row r="272" spans="1:1" ht="15.75" customHeight="1" x14ac:dyDescent="0.25">
      <c r="A272" s="4"/>
    </row>
    <row r="273" spans="1:1" ht="15.75" customHeight="1" x14ac:dyDescent="0.25">
      <c r="A273" s="4"/>
    </row>
    <row r="274" spans="1:1" ht="15.75" customHeight="1" x14ac:dyDescent="0.25">
      <c r="A274" s="4"/>
    </row>
    <row r="275" spans="1:1" ht="15.75" customHeight="1" x14ac:dyDescent="0.25">
      <c r="A275" s="4"/>
    </row>
    <row r="276" spans="1:1" ht="15.75" customHeight="1" x14ac:dyDescent="0.25">
      <c r="A276" s="4"/>
    </row>
    <row r="277" spans="1:1" ht="15.75" customHeight="1" x14ac:dyDescent="0.25">
      <c r="A277" s="4"/>
    </row>
    <row r="278" spans="1:1" ht="15.75" customHeight="1" x14ac:dyDescent="0.25">
      <c r="A278" s="4"/>
    </row>
    <row r="279" spans="1:1" ht="15.75" customHeight="1" x14ac:dyDescent="0.25">
      <c r="A279" s="4"/>
    </row>
    <row r="280" spans="1:1" ht="15.75" customHeight="1" x14ac:dyDescent="0.25">
      <c r="A280" s="4"/>
    </row>
    <row r="281" spans="1:1" ht="15.75" customHeight="1" x14ac:dyDescent="0.25">
      <c r="A281" s="4"/>
    </row>
    <row r="282" spans="1:1" ht="15.75" customHeight="1" x14ac:dyDescent="0.25">
      <c r="A282" s="4"/>
    </row>
    <row r="283" spans="1:1" ht="15.75" customHeight="1" x14ac:dyDescent="0.25">
      <c r="A283" s="4"/>
    </row>
    <row r="284" spans="1:1" ht="15.75" customHeight="1" x14ac:dyDescent="0.25">
      <c r="A284" s="4"/>
    </row>
    <row r="285" spans="1:1" ht="15.75" customHeight="1" x14ac:dyDescent="0.25">
      <c r="A285" s="4"/>
    </row>
    <row r="286" spans="1:1" ht="15.75" customHeight="1" x14ac:dyDescent="0.25">
      <c r="A286" s="4"/>
    </row>
    <row r="287" spans="1:1" ht="15.75" customHeight="1" x14ac:dyDescent="0.25">
      <c r="A287" s="4"/>
    </row>
    <row r="288" spans="1:1" ht="15.75" customHeight="1" x14ac:dyDescent="0.25">
      <c r="A288" s="4"/>
    </row>
    <row r="289" spans="1:1" ht="15.75" customHeight="1" x14ac:dyDescent="0.25">
      <c r="A289" s="4"/>
    </row>
    <row r="290" spans="1:1" ht="15.75" customHeight="1" x14ac:dyDescent="0.25">
      <c r="A290" s="4"/>
    </row>
    <row r="291" spans="1:1" ht="15.75" customHeight="1" x14ac:dyDescent="0.25">
      <c r="A291" s="4"/>
    </row>
    <row r="292" spans="1:1" ht="15.75" customHeight="1" x14ac:dyDescent="0.25">
      <c r="A292" s="4"/>
    </row>
    <row r="293" spans="1:1" ht="15.75" customHeight="1" x14ac:dyDescent="0.25">
      <c r="A293" s="4"/>
    </row>
    <row r="294" spans="1:1" ht="15.75" customHeight="1" x14ac:dyDescent="0.25">
      <c r="A294" s="4"/>
    </row>
    <row r="295" spans="1:1" ht="15.75" customHeight="1" x14ac:dyDescent="0.25">
      <c r="A295" s="4"/>
    </row>
    <row r="296" spans="1:1" ht="15.75" customHeight="1" x14ac:dyDescent="0.25">
      <c r="A296" s="4"/>
    </row>
    <row r="297" spans="1:1" ht="15.75" customHeight="1" x14ac:dyDescent="0.25">
      <c r="A297" s="4"/>
    </row>
    <row r="298" spans="1:1" ht="15.75" customHeight="1" x14ac:dyDescent="0.25">
      <c r="A298" s="4"/>
    </row>
    <row r="299" spans="1:1" ht="15.75" customHeight="1" x14ac:dyDescent="0.25">
      <c r="A299" s="4"/>
    </row>
    <row r="300" spans="1:1" ht="15.75" customHeight="1" x14ac:dyDescent="0.25">
      <c r="A300" s="4"/>
    </row>
    <row r="301" spans="1:1" ht="15.75" customHeight="1" x14ac:dyDescent="0.25">
      <c r="A301" s="4"/>
    </row>
    <row r="302" spans="1:1" ht="15.75" customHeight="1" x14ac:dyDescent="0.25">
      <c r="A302" s="4"/>
    </row>
    <row r="303" spans="1:1" ht="15.75" customHeight="1" x14ac:dyDescent="0.25">
      <c r="A303" s="4"/>
    </row>
    <row r="304" spans="1:1" ht="15.75" customHeight="1" x14ac:dyDescent="0.25">
      <c r="A304" s="4"/>
    </row>
    <row r="305" spans="1:1" ht="15.75" customHeight="1" x14ac:dyDescent="0.25">
      <c r="A305" s="4"/>
    </row>
    <row r="306" spans="1:1" ht="15.75" customHeight="1" x14ac:dyDescent="0.25">
      <c r="A306" s="4"/>
    </row>
    <row r="307" spans="1:1" ht="15.75" customHeight="1" x14ac:dyDescent="0.25">
      <c r="A307" s="4"/>
    </row>
    <row r="308" spans="1:1" ht="15.75" customHeight="1" x14ac:dyDescent="0.25">
      <c r="A308" s="4"/>
    </row>
    <row r="309" spans="1:1" ht="15.75" customHeight="1" x14ac:dyDescent="0.25">
      <c r="A309" s="4"/>
    </row>
    <row r="310" spans="1:1" ht="15.75" customHeight="1" x14ac:dyDescent="0.25">
      <c r="A310" s="4"/>
    </row>
    <row r="311" spans="1:1" ht="15.75" customHeight="1" x14ac:dyDescent="0.25">
      <c r="A311" s="4"/>
    </row>
    <row r="312" spans="1:1" ht="15.75" customHeight="1" x14ac:dyDescent="0.25">
      <c r="A312" s="4"/>
    </row>
    <row r="313" spans="1:1" ht="15.75" customHeight="1" x14ac:dyDescent="0.25">
      <c r="A313" s="4"/>
    </row>
    <row r="314" spans="1:1" ht="15.75" customHeight="1" x14ac:dyDescent="0.25">
      <c r="A314" s="4"/>
    </row>
    <row r="315" spans="1:1" ht="15.75" customHeight="1" x14ac:dyDescent="0.25">
      <c r="A315" s="4"/>
    </row>
    <row r="316" spans="1:1" ht="15.75" customHeight="1" x14ac:dyDescent="0.25">
      <c r="A316" s="4"/>
    </row>
    <row r="317" spans="1:1" ht="15.75" customHeight="1" x14ac:dyDescent="0.25">
      <c r="A317" s="4"/>
    </row>
    <row r="318" spans="1:1" ht="15.75" customHeight="1" x14ac:dyDescent="0.25">
      <c r="A318" s="4"/>
    </row>
    <row r="319" spans="1:1" ht="15.75" customHeight="1" x14ac:dyDescent="0.25">
      <c r="A319" s="4"/>
    </row>
    <row r="320" spans="1:1" ht="15.75" customHeight="1" x14ac:dyDescent="0.25">
      <c r="A320" s="4"/>
    </row>
    <row r="321" spans="1:1" ht="15.75" customHeight="1" x14ac:dyDescent="0.25">
      <c r="A321" s="4"/>
    </row>
    <row r="322" spans="1:1" ht="15.75" customHeight="1" x14ac:dyDescent="0.25">
      <c r="A322" s="4"/>
    </row>
    <row r="323" spans="1:1" ht="15.75" customHeight="1" x14ac:dyDescent="0.25">
      <c r="A323" s="4"/>
    </row>
    <row r="324" spans="1:1" ht="15.75" customHeight="1" x14ac:dyDescent="0.25">
      <c r="A324" s="4"/>
    </row>
    <row r="325" spans="1:1" ht="15.75" customHeight="1" x14ac:dyDescent="0.25">
      <c r="A325" s="4"/>
    </row>
    <row r="326" spans="1:1" ht="15.75" customHeight="1" x14ac:dyDescent="0.25">
      <c r="A326" s="4"/>
    </row>
    <row r="327" spans="1:1" ht="15.75" customHeight="1" x14ac:dyDescent="0.25">
      <c r="A327" s="4"/>
    </row>
    <row r="328" spans="1:1" ht="15.75" customHeight="1" x14ac:dyDescent="0.25">
      <c r="A328" s="4"/>
    </row>
    <row r="329" spans="1:1" ht="15.75" customHeight="1" x14ac:dyDescent="0.25">
      <c r="A329" s="4"/>
    </row>
    <row r="330" spans="1:1" ht="15.75" customHeight="1" x14ac:dyDescent="0.25">
      <c r="A330" s="4"/>
    </row>
    <row r="331" spans="1:1" ht="15.75" customHeight="1" x14ac:dyDescent="0.25">
      <c r="A331" s="4"/>
    </row>
    <row r="332" spans="1:1" ht="15.75" customHeight="1" x14ac:dyDescent="0.25">
      <c r="A332" s="4"/>
    </row>
    <row r="333" spans="1:1" ht="15.75" customHeight="1" x14ac:dyDescent="0.25">
      <c r="A333" s="4"/>
    </row>
    <row r="334" spans="1:1" ht="15.75" customHeight="1" x14ac:dyDescent="0.25">
      <c r="A334" s="4"/>
    </row>
    <row r="335" spans="1:1" ht="15.75" customHeight="1" x14ac:dyDescent="0.25">
      <c r="A335" s="4"/>
    </row>
    <row r="336" spans="1:1" ht="15.75" customHeight="1" x14ac:dyDescent="0.25">
      <c r="A336" s="4"/>
    </row>
    <row r="337" spans="1:1" ht="15.75" customHeight="1" x14ac:dyDescent="0.25">
      <c r="A337" s="4"/>
    </row>
    <row r="338" spans="1:1" ht="15.75" customHeight="1" x14ac:dyDescent="0.25">
      <c r="A338" s="4"/>
    </row>
    <row r="339" spans="1:1" ht="15.75" customHeight="1" x14ac:dyDescent="0.25">
      <c r="A339" s="4"/>
    </row>
    <row r="340" spans="1:1" ht="15.75" customHeight="1" x14ac:dyDescent="0.25">
      <c r="A340" s="4"/>
    </row>
    <row r="341" spans="1:1" ht="15.75" customHeight="1" x14ac:dyDescent="0.25">
      <c r="A341" s="4"/>
    </row>
    <row r="342" spans="1:1" ht="15.75" customHeight="1" x14ac:dyDescent="0.25">
      <c r="A342" s="4"/>
    </row>
    <row r="343" spans="1:1" ht="15.75" customHeight="1" x14ac:dyDescent="0.25">
      <c r="A343" s="4"/>
    </row>
    <row r="344" spans="1:1" ht="15.75" customHeight="1" x14ac:dyDescent="0.25">
      <c r="A344" s="4"/>
    </row>
    <row r="345" spans="1:1" ht="15.75" customHeight="1" x14ac:dyDescent="0.25">
      <c r="A345" s="4"/>
    </row>
    <row r="346" spans="1:1" ht="15.75" customHeight="1" x14ac:dyDescent="0.25">
      <c r="A346" s="4"/>
    </row>
    <row r="347" spans="1:1" ht="15.75" customHeight="1" x14ac:dyDescent="0.25">
      <c r="A347" s="4"/>
    </row>
    <row r="348" spans="1:1" ht="15.75" customHeight="1" x14ac:dyDescent="0.25">
      <c r="A348" s="4"/>
    </row>
    <row r="349" spans="1:1" ht="15.75" customHeight="1" x14ac:dyDescent="0.25">
      <c r="A349" s="4"/>
    </row>
    <row r="350" spans="1:1" ht="15.75" customHeight="1" x14ac:dyDescent="0.25">
      <c r="A350" s="4"/>
    </row>
    <row r="351" spans="1:1" ht="15.75" customHeight="1" x14ac:dyDescent="0.25">
      <c r="A351" s="4"/>
    </row>
    <row r="352" spans="1:1" ht="15.75" customHeight="1" x14ac:dyDescent="0.25">
      <c r="A352" s="4"/>
    </row>
    <row r="353" spans="1:1" ht="15.75" customHeight="1" x14ac:dyDescent="0.25">
      <c r="A353" s="4"/>
    </row>
    <row r="354" spans="1:1" ht="15.75" customHeight="1" x14ac:dyDescent="0.25">
      <c r="A354" s="4"/>
    </row>
    <row r="355" spans="1:1" ht="15.75" customHeight="1" x14ac:dyDescent="0.25">
      <c r="A355" s="4"/>
    </row>
    <row r="356" spans="1:1" ht="15.75" customHeight="1" x14ac:dyDescent="0.25">
      <c r="A356" s="4"/>
    </row>
    <row r="357" spans="1:1" ht="15.75" customHeight="1" x14ac:dyDescent="0.25">
      <c r="A357" s="4"/>
    </row>
    <row r="358" spans="1:1" ht="15.75" customHeight="1" x14ac:dyDescent="0.25">
      <c r="A358" s="4"/>
    </row>
    <row r="359" spans="1:1" ht="15.75" customHeight="1" x14ac:dyDescent="0.25">
      <c r="A359" s="4"/>
    </row>
    <row r="360" spans="1:1" ht="15.75" customHeight="1" x14ac:dyDescent="0.25">
      <c r="A360" s="4"/>
    </row>
    <row r="361" spans="1:1" ht="15.75" customHeight="1" x14ac:dyDescent="0.25">
      <c r="A361" s="4"/>
    </row>
    <row r="362" spans="1:1" ht="15.75" customHeight="1" x14ac:dyDescent="0.25">
      <c r="A362" s="4"/>
    </row>
    <row r="363" spans="1:1" ht="15.75" customHeight="1" x14ac:dyDescent="0.25">
      <c r="A363" s="4"/>
    </row>
    <row r="364" spans="1:1" ht="15.75" customHeight="1" x14ac:dyDescent="0.25">
      <c r="A364" s="4"/>
    </row>
    <row r="365" spans="1:1" ht="15.75" customHeight="1" x14ac:dyDescent="0.25">
      <c r="A365" s="4"/>
    </row>
    <row r="366" spans="1:1" ht="15.75" customHeight="1" x14ac:dyDescent="0.25">
      <c r="A366" s="4"/>
    </row>
    <row r="367" spans="1:1" ht="15.75" customHeight="1" x14ac:dyDescent="0.25">
      <c r="A367" s="4"/>
    </row>
    <row r="368" spans="1:1" ht="15.75" customHeight="1" x14ac:dyDescent="0.25">
      <c r="A368" s="4"/>
    </row>
    <row r="369" spans="1:1" ht="15.75" customHeight="1" x14ac:dyDescent="0.25">
      <c r="A369" s="4"/>
    </row>
    <row r="370" spans="1:1" ht="15.75" customHeight="1" x14ac:dyDescent="0.25">
      <c r="A370" s="4"/>
    </row>
    <row r="371" spans="1:1" ht="15.75" customHeight="1" x14ac:dyDescent="0.25">
      <c r="A371" s="4"/>
    </row>
    <row r="372" spans="1:1" ht="15.75" customHeight="1" x14ac:dyDescent="0.25">
      <c r="A372" s="4"/>
    </row>
    <row r="373" spans="1:1" ht="15.75" customHeight="1" x14ac:dyDescent="0.25">
      <c r="A373" s="4"/>
    </row>
    <row r="374" spans="1:1" ht="15.75" customHeight="1" x14ac:dyDescent="0.25">
      <c r="A374" s="4"/>
    </row>
    <row r="375" spans="1:1" ht="15.75" customHeight="1" x14ac:dyDescent="0.25">
      <c r="A375" s="4"/>
    </row>
    <row r="376" spans="1:1" ht="15.75" customHeight="1" x14ac:dyDescent="0.25">
      <c r="A376" s="4"/>
    </row>
    <row r="377" spans="1:1" ht="15.75" customHeight="1" x14ac:dyDescent="0.25">
      <c r="A377" s="4"/>
    </row>
    <row r="378" spans="1:1" ht="15.75" customHeight="1" x14ac:dyDescent="0.25">
      <c r="A378" s="4"/>
    </row>
    <row r="379" spans="1:1" ht="15.75" customHeight="1" x14ac:dyDescent="0.25">
      <c r="A379" s="4"/>
    </row>
    <row r="380" spans="1:1" ht="15.75" customHeight="1" x14ac:dyDescent="0.25">
      <c r="A380" s="4"/>
    </row>
    <row r="381" spans="1:1" ht="15.75" customHeight="1" x14ac:dyDescent="0.25">
      <c r="A381" s="4"/>
    </row>
    <row r="382" spans="1:1" ht="15.75" customHeight="1" x14ac:dyDescent="0.25">
      <c r="A382" s="4"/>
    </row>
    <row r="383" spans="1:1" ht="15.75" customHeight="1" x14ac:dyDescent="0.25">
      <c r="A383" s="4"/>
    </row>
    <row r="384" spans="1:1" ht="15.75" customHeight="1" x14ac:dyDescent="0.25">
      <c r="A384" s="4"/>
    </row>
    <row r="385" spans="1:1" ht="15.75" customHeight="1" x14ac:dyDescent="0.25">
      <c r="A385" s="4"/>
    </row>
    <row r="386" spans="1:1" ht="15.75" customHeight="1" x14ac:dyDescent="0.25">
      <c r="A386" s="4"/>
    </row>
    <row r="387" spans="1:1" ht="15.75" customHeight="1" x14ac:dyDescent="0.25">
      <c r="A387" s="4"/>
    </row>
    <row r="388" spans="1:1" ht="15.75" customHeight="1" x14ac:dyDescent="0.25">
      <c r="A388" s="4"/>
    </row>
    <row r="389" spans="1:1" ht="15.75" customHeight="1" x14ac:dyDescent="0.25">
      <c r="A389" s="4"/>
    </row>
    <row r="390" spans="1:1" ht="15.75" customHeight="1" x14ac:dyDescent="0.25">
      <c r="A390" s="4"/>
    </row>
    <row r="391" spans="1:1" ht="15.75" customHeight="1" x14ac:dyDescent="0.25">
      <c r="A391" s="4"/>
    </row>
    <row r="392" spans="1:1" ht="15.75" customHeight="1" x14ac:dyDescent="0.25">
      <c r="A392" s="4"/>
    </row>
    <row r="393" spans="1:1" ht="15.75" customHeight="1" x14ac:dyDescent="0.25">
      <c r="A393" s="4"/>
    </row>
    <row r="394" spans="1:1" ht="15.75" customHeight="1" x14ac:dyDescent="0.25">
      <c r="A394" s="4"/>
    </row>
    <row r="395" spans="1:1" ht="15.75" customHeight="1" x14ac:dyDescent="0.25">
      <c r="A395" s="4"/>
    </row>
    <row r="396" spans="1:1" ht="15.75" customHeight="1" x14ac:dyDescent="0.25">
      <c r="A396" s="4"/>
    </row>
    <row r="397" spans="1:1" ht="15.75" customHeight="1" x14ac:dyDescent="0.25">
      <c r="A397" s="4"/>
    </row>
    <row r="398" spans="1:1" ht="15.75" customHeight="1" x14ac:dyDescent="0.25">
      <c r="A398" s="4"/>
    </row>
    <row r="399" spans="1:1" ht="15.75" customHeight="1" x14ac:dyDescent="0.25">
      <c r="A399" s="4"/>
    </row>
    <row r="400" spans="1:1" ht="15.75" customHeight="1" x14ac:dyDescent="0.25">
      <c r="A400" s="4"/>
    </row>
    <row r="401" spans="1:1" ht="15.75" customHeight="1" x14ac:dyDescent="0.25">
      <c r="A401" s="4"/>
    </row>
    <row r="402" spans="1:1" ht="15.75" customHeight="1" x14ac:dyDescent="0.25">
      <c r="A402" s="4"/>
    </row>
    <row r="403" spans="1:1" ht="15.75" customHeight="1" x14ac:dyDescent="0.25">
      <c r="A403" s="4"/>
    </row>
    <row r="404" spans="1:1" ht="15.75" customHeight="1" x14ac:dyDescent="0.25">
      <c r="A404" s="4"/>
    </row>
    <row r="405" spans="1:1" ht="15.75" customHeight="1" x14ac:dyDescent="0.25">
      <c r="A405" s="4"/>
    </row>
    <row r="406" spans="1:1" ht="15.75" customHeight="1" x14ac:dyDescent="0.25">
      <c r="A406" s="4"/>
    </row>
    <row r="407" spans="1:1" ht="15.75" customHeight="1" x14ac:dyDescent="0.25">
      <c r="A407" s="4"/>
    </row>
    <row r="408" spans="1:1" ht="15.75" customHeight="1" x14ac:dyDescent="0.25">
      <c r="A408" s="4"/>
    </row>
    <row r="409" spans="1:1" ht="15.75" customHeight="1" x14ac:dyDescent="0.25">
      <c r="A409" s="4"/>
    </row>
    <row r="410" spans="1:1" ht="15.75" customHeight="1" x14ac:dyDescent="0.25">
      <c r="A410" s="4"/>
    </row>
    <row r="411" spans="1:1" ht="15.75" customHeight="1" x14ac:dyDescent="0.25">
      <c r="A411" s="4"/>
    </row>
    <row r="412" spans="1:1" ht="15.75" customHeight="1" x14ac:dyDescent="0.25">
      <c r="A412" s="4"/>
    </row>
    <row r="413" spans="1:1" ht="15.75" customHeight="1" x14ac:dyDescent="0.25">
      <c r="A413" s="4"/>
    </row>
    <row r="414" spans="1:1" ht="15.75" customHeight="1" x14ac:dyDescent="0.25">
      <c r="A414" s="4"/>
    </row>
    <row r="415" spans="1:1" ht="15.75" customHeight="1" x14ac:dyDescent="0.25">
      <c r="A415" s="4"/>
    </row>
    <row r="416" spans="1:1" ht="15.75" customHeight="1" x14ac:dyDescent="0.25">
      <c r="A416" s="4"/>
    </row>
    <row r="417" spans="1:1" ht="15.75" customHeight="1" x14ac:dyDescent="0.25">
      <c r="A417" s="4"/>
    </row>
    <row r="418" spans="1:1" ht="15.75" customHeight="1" x14ac:dyDescent="0.25">
      <c r="A418" s="4"/>
    </row>
    <row r="419" spans="1:1" ht="15.75" customHeight="1" x14ac:dyDescent="0.25">
      <c r="A419" s="4"/>
    </row>
    <row r="420" spans="1:1" ht="15.75" customHeight="1" x14ac:dyDescent="0.25">
      <c r="A420" s="4"/>
    </row>
    <row r="421" spans="1:1" ht="15.75" customHeight="1" x14ac:dyDescent="0.25">
      <c r="A421" s="4"/>
    </row>
    <row r="422" spans="1:1" ht="15.75" customHeight="1" x14ac:dyDescent="0.25">
      <c r="A422" s="4"/>
    </row>
    <row r="423" spans="1:1" ht="15.75" customHeight="1" x14ac:dyDescent="0.25">
      <c r="A423" s="4"/>
    </row>
    <row r="424" spans="1:1" ht="15.75" customHeight="1" x14ac:dyDescent="0.25">
      <c r="A424" s="4"/>
    </row>
    <row r="425" spans="1:1" ht="15.75" customHeight="1" x14ac:dyDescent="0.25">
      <c r="A425" s="4"/>
    </row>
    <row r="426" spans="1:1" ht="15.75" customHeight="1" x14ac:dyDescent="0.25">
      <c r="A426" s="4"/>
    </row>
    <row r="427" spans="1:1" ht="15.75" customHeight="1" x14ac:dyDescent="0.25">
      <c r="A427" s="4"/>
    </row>
    <row r="428" spans="1:1" ht="15.75" customHeight="1" x14ac:dyDescent="0.25">
      <c r="A428" s="4"/>
    </row>
    <row r="429" spans="1:1" ht="15.75" customHeight="1" x14ac:dyDescent="0.25">
      <c r="A429" s="4"/>
    </row>
    <row r="430" spans="1:1" ht="15.75" customHeight="1" x14ac:dyDescent="0.25">
      <c r="A430" s="4"/>
    </row>
    <row r="431" spans="1:1" ht="15.75" customHeight="1" x14ac:dyDescent="0.25">
      <c r="A431" s="4"/>
    </row>
    <row r="432" spans="1:1" ht="15.75" customHeight="1" x14ac:dyDescent="0.25">
      <c r="A432" s="4"/>
    </row>
    <row r="433" spans="1:1" ht="15.75" customHeight="1" x14ac:dyDescent="0.25">
      <c r="A433" s="4"/>
    </row>
    <row r="434" spans="1:1" ht="15.75" customHeight="1" x14ac:dyDescent="0.25">
      <c r="A434" s="4"/>
    </row>
    <row r="435" spans="1:1" ht="15.75" customHeight="1" x14ac:dyDescent="0.25">
      <c r="A435" s="4"/>
    </row>
    <row r="436" spans="1:1" ht="15.75" customHeight="1" x14ac:dyDescent="0.25">
      <c r="A436" s="4"/>
    </row>
    <row r="437" spans="1:1" ht="15.75" customHeight="1" x14ac:dyDescent="0.25">
      <c r="A437" s="4"/>
    </row>
    <row r="438" spans="1:1" ht="15.75" customHeight="1" x14ac:dyDescent="0.25">
      <c r="A438" s="4"/>
    </row>
    <row r="439" spans="1:1" ht="15.75" customHeight="1" x14ac:dyDescent="0.25">
      <c r="A439" s="4"/>
    </row>
    <row r="440" spans="1:1" ht="15.75" customHeight="1" x14ac:dyDescent="0.25">
      <c r="A440" s="4"/>
    </row>
    <row r="441" spans="1:1" ht="15.75" customHeight="1" x14ac:dyDescent="0.25">
      <c r="A441" s="4"/>
    </row>
    <row r="442" spans="1:1" ht="15.75" customHeight="1" x14ac:dyDescent="0.25">
      <c r="A442" s="4"/>
    </row>
    <row r="443" spans="1:1" ht="15.75" customHeight="1" x14ac:dyDescent="0.25">
      <c r="A443" s="4"/>
    </row>
    <row r="444" spans="1:1" ht="15.75" customHeight="1" x14ac:dyDescent="0.25">
      <c r="A444" s="4"/>
    </row>
    <row r="445" spans="1:1" ht="15.75" customHeight="1" x14ac:dyDescent="0.25">
      <c r="A445" s="4"/>
    </row>
    <row r="446" spans="1:1" ht="15.75" customHeight="1" x14ac:dyDescent="0.25">
      <c r="A446" s="4"/>
    </row>
    <row r="447" spans="1:1" ht="15.75" customHeight="1" x14ac:dyDescent="0.25">
      <c r="A447" s="4"/>
    </row>
    <row r="448" spans="1:1" ht="15.75" customHeight="1" x14ac:dyDescent="0.25">
      <c r="A448" s="4"/>
    </row>
    <row r="449" spans="1:1" ht="15.75" customHeight="1" x14ac:dyDescent="0.25">
      <c r="A449" s="4"/>
    </row>
    <row r="450" spans="1:1" ht="15.75" customHeight="1" x14ac:dyDescent="0.25">
      <c r="A450" s="4"/>
    </row>
    <row r="451" spans="1:1" ht="15.75" customHeight="1" x14ac:dyDescent="0.25">
      <c r="A451" s="4"/>
    </row>
    <row r="452" spans="1:1" ht="15.75" customHeight="1" x14ac:dyDescent="0.25">
      <c r="A452" s="4"/>
    </row>
    <row r="453" spans="1:1" ht="15.75" customHeight="1" x14ac:dyDescent="0.25">
      <c r="A453" s="4"/>
    </row>
    <row r="454" spans="1:1" ht="15.75" customHeight="1" x14ac:dyDescent="0.25">
      <c r="A454" s="4"/>
    </row>
    <row r="455" spans="1:1" ht="15.75" customHeight="1" x14ac:dyDescent="0.25">
      <c r="A455" s="4"/>
    </row>
    <row r="456" spans="1:1" ht="15.75" customHeight="1" x14ac:dyDescent="0.25">
      <c r="A456" s="4"/>
    </row>
    <row r="457" spans="1:1" ht="15.75" customHeight="1" x14ac:dyDescent="0.25">
      <c r="A457" s="4"/>
    </row>
    <row r="458" spans="1:1" ht="15.75" customHeight="1" x14ac:dyDescent="0.25">
      <c r="A458" s="4"/>
    </row>
    <row r="459" spans="1:1" ht="15.75" customHeight="1" x14ac:dyDescent="0.25">
      <c r="A459" s="4"/>
    </row>
    <row r="460" spans="1:1" ht="15.75" customHeight="1" x14ac:dyDescent="0.25">
      <c r="A460" s="4"/>
    </row>
    <row r="461" spans="1:1" ht="15.75" customHeight="1" x14ac:dyDescent="0.25">
      <c r="A461" s="4"/>
    </row>
    <row r="462" spans="1:1" ht="15.75" customHeight="1" x14ac:dyDescent="0.25">
      <c r="A462" s="4"/>
    </row>
    <row r="463" spans="1:1" ht="15.75" customHeight="1" x14ac:dyDescent="0.25">
      <c r="A463" s="4"/>
    </row>
    <row r="464" spans="1:1" ht="15.75" customHeight="1" x14ac:dyDescent="0.25">
      <c r="A464" s="4"/>
    </row>
    <row r="465" spans="1:1" ht="15.75" customHeight="1" x14ac:dyDescent="0.25">
      <c r="A465" s="4"/>
    </row>
    <row r="466" spans="1:1" ht="15.75" customHeight="1" x14ac:dyDescent="0.25">
      <c r="A466" s="4"/>
    </row>
    <row r="467" spans="1:1" ht="15.75" customHeight="1" x14ac:dyDescent="0.25">
      <c r="A467" s="4"/>
    </row>
    <row r="468" spans="1:1" ht="15.75" customHeight="1" x14ac:dyDescent="0.25">
      <c r="A468" s="4"/>
    </row>
    <row r="469" spans="1:1" ht="15.75" customHeight="1" x14ac:dyDescent="0.25">
      <c r="A469" s="4"/>
    </row>
    <row r="470" spans="1:1" ht="15.75" customHeight="1" x14ac:dyDescent="0.25">
      <c r="A470" s="4"/>
    </row>
    <row r="471" spans="1:1" ht="15.75" customHeight="1" x14ac:dyDescent="0.25">
      <c r="A471" s="4"/>
    </row>
    <row r="472" spans="1:1" ht="15.75" customHeight="1" x14ac:dyDescent="0.25">
      <c r="A472" s="4"/>
    </row>
    <row r="473" spans="1:1" ht="15.75" customHeight="1" x14ac:dyDescent="0.25">
      <c r="A473" s="4"/>
    </row>
    <row r="474" spans="1:1" ht="15.75" customHeight="1" x14ac:dyDescent="0.25">
      <c r="A474" s="4"/>
    </row>
    <row r="475" spans="1:1" ht="15.75" customHeight="1" x14ac:dyDescent="0.25">
      <c r="A475" s="4"/>
    </row>
    <row r="476" spans="1:1" ht="15.75" customHeight="1" x14ac:dyDescent="0.25">
      <c r="A476" s="4"/>
    </row>
    <row r="477" spans="1:1" ht="15.75" customHeight="1" x14ac:dyDescent="0.25">
      <c r="A477" s="4"/>
    </row>
    <row r="478" spans="1:1" ht="15.75" customHeight="1" x14ac:dyDescent="0.25">
      <c r="A478" s="4"/>
    </row>
    <row r="479" spans="1:1" ht="15.75" customHeight="1" x14ac:dyDescent="0.25">
      <c r="A479" s="4"/>
    </row>
    <row r="480" spans="1:1" ht="15.75" customHeight="1" x14ac:dyDescent="0.25">
      <c r="A480" s="4"/>
    </row>
    <row r="481" spans="1:1" ht="15.75" customHeight="1" x14ac:dyDescent="0.25">
      <c r="A481" s="4"/>
    </row>
    <row r="482" spans="1:1" ht="15.75" customHeight="1" x14ac:dyDescent="0.25">
      <c r="A482" s="4"/>
    </row>
    <row r="483" spans="1:1" ht="15.75" customHeight="1" x14ac:dyDescent="0.25">
      <c r="A483" s="4"/>
    </row>
    <row r="484" spans="1:1" ht="15.75" customHeight="1" x14ac:dyDescent="0.25">
      <c r="A484" s="4"/>
    </row>
    <row r="485" spans="1:1" ht="15.75" customHeight="1" x14ac:dyDescent="0.25">
      <c r="A485" s="4"/>
    </row>
    <row r="486" spans="1:1" ht="15.75" customHeight="1" x14ac:dyDescent="0.25">
      <c r="A486" s="4"/>
    </row>
    <row r="487" spans="1:1" ht="15.75" customHeight="1" x14ac:dyDescent="0.25">
      <c r="A487" s="4"/>
    </row>
    <row r="488" spans="1:1" ht="15.75" customHeight="1" x14ac:dyDescent="0.25">
      <c r="A488" s="4"/>
    </row>
    <row r="489" spans="1:1" ht="15.75" customHeight="1" x14ac:dyDescent="0.25">
      <c r="A489" s="4"/>
    </row>
    <row r="490" spans="1:1" ht="15.75" customHeight="1" x14ac:dyDescent="0.25">
      <c r="A490" s="4"/>
    </row>
    <row r="491" spans="1:1" ht="15.75" customHeight="1" x14ac:dyDescent="0.25">
      <c r="A491" s="4"/>
    </row>
    <row r="492" spans="1:1" ht="15.75" customHeight="1" x14ac:dyDescent="0.25">
      <c r="A492" s="4"/>
    </row>
    <row r="493" spans="1:1" ht="15.75" customHeight="1" x14ac:dyDescent="0.25">
      <c r="A493" s="4"/>
    </row>
    <row r="494" spans="1:1" ht="15.75" customHeight="1" x14ac:dyDescent="0.25">
      <c r="A494" s="4"/>
    </row>
    <row r="495" spans="1:1" ht="15.75" customHeight="1" x14ac:dyDescent="0.25">
      <c r="A495" s="4"/>
    </row>
    <row r="496" spans="1:1" ht="15.75" customHeight="1" x14ac:dyDescent="0.25">
      <c r="A496" s="4"/>
    </row>
    <row r="497" spans="1:1" ht="15.75" customHeight="1" x14ac:dyDescent="0.25">
      <c r="A497" s="4"/>
    </row>
    <row r="498" spans="1:1" ht="15.75" customHeight="1" x14ac:dyDescent="0.25">
      <c r="A498" s="4"/>
    </row>
    <row r="499" spans="1:1" ht="15.75" customHeight="1" x14ac:dyDescent="0.25">
      <c r="A499" s="4"/>
    </row>
    <row r="500" spans="1:1" ht="15.75" customHeight="1" x14ac:dyDescent="0.25">
      <c r="A500" s="4"/>
    </row>
    <row r="501" spans="1:1" ht="15.75" customHeight="1" x14ac:dyDescent="0.25">
      <c r="A501" s="4"/>
    </row>
    <row r="502" spans="1:1" ht="15.75" customHeight="1" x14ac:dyDescent="0.25">
      <c r="A502" s="4"/>
    </row>
    <row r="503" spans="1:1" ht="15.75" customHeight="1" x14ac:dyDescent="0.25">
      <c r="A503" s="4"/>
    </row>
    <row r="504" spans="1:1" ht="15.75" customHeight="1" x14ac:dyDescent="0.25">
      <c r="A504" s="4"/>
    </row>
    <row r="505" spans="1:1" ht="15.75" customHeight="1" x14ac:dyDescent="0.25">
      <c r="A505" s="4"/>
    </row>
    <row r="506" spans="1:1" ht="15.75" customHeight="1" x14ac:dyDescent="0.25">
      <c r="A506" s="4"/>
    </row>
    <row r="507" spans="1:1" ht="15.75" customHeight="1" x14ac:dyDescent="0.25">
      <c r="A507" s="4"/>
    </row>
    <row r="508" spans="1:1" ht="15.75" customHeight="1" x14ac:dyDescent="0.25">
      <c r="A508" s="4"/>
    </row>
    <row r="509" spans="1:1" ht="15.75" customHeight="1" x14ac:dyDescent="0.25">
      <c r="A509" s="4"/>
    </row>
    <row r="510" spans="1:1" ht="15.75" customHeight="1" x14ac:dyDescent="0.25">
      <c r="A510" s="4"/>
    </row>
    <row r="511" spans="1:1" ht="15.75" customHeight="1" x14ac:dyDescent="0.25">
      <c r="A511" s="4"/>
    </row>
    <row r="512" spans="1:1" ht="15.75" customHeight="1" x14ac:dyDescent="0.25">
      <c r="A512" s="4"/>
    </row>
    <row r="513" spans="1:1" ht="15.75" customHeight="1" x14ac:dyDescent="0.25">
      <c r="A513" s="4"/>
    </row>
    <row r="514" spans="1:1" ht="15.75" customHeight="1" x14ac:dyDescent="0.25">
      <c r="A514" s="4"/>
    </row>
    <row r="515" spans="1:1" ht="15.75" customHeight="1" x14ac:dyDescent="0.25">
      <c r="A515" s="4"/>
    </row>
    <row r="516" spans="1:1" ht="15.75" customHeight="1" x14ac:dyDescent="0.25">
      <c r="A516" s="4"/>
    </row>
    <row r="517" spans="1:1" ht="15.75" customHeight="1" x14ac:dyDescent="0.25">
      <c r="A517" s="4"/>
    </row>
    <row r="518" spans="1:1" ht="15.75" customHeight="1" x14ac:dyDescent="0.25">
      <c r="A518" s="4"/>
    </row>
    <row r="519" spans="1:1" ht="15.75" customHeight="1" x14ac:dyDescent="0.25">
      <c r="A519" s="4"/>
    </row>
    <row r="520" spans="1:1" ht="15.75" customHeight="1" x14ac:dyDescent="0.25">
      <c r="A520" s="4"/>
    </row>
    <row r="521" spans="1:1" ht="15.75" customHeight="1" x14ac:dyDescent="0.25">
      <c r="A521" s="4"/>
    </row>
    <row r="522" spans="1:1" ht="15.75" customHeight="1" x14ac:dyDescent="0.25">
      <c r="A522" s="4"/>
    </row>
    <row r="523" spans="1:1" ht="15.75" customHeight="1" x14ac:dyDescent="0.25">
      <c r="A523" s="4"/>
    </row>
    <row r="524" spans="1:1" ht="15.75" customHeight="1" x14ac:dyDescent="0.25">
      <c r="A524" s="4"/>
    </row>
    <row r="525" spans="1:1" ht="15.75" customHeight="1" x14ac:dyDescent="0.25">
      <c r="A525" s="4"/>
    </row>
    <row r="526" spans="1:1" ht="15.75" customHeight="1" x14ac:dyDescent="0.25">
      <c r="A526" s="4"/>
    </row>
    <row r="527" spans="1:1" ht="15.75" customHeight="1" x14ac:dyDescent="0.25">
      <c r="A527" s="4"/>
    </row>
    <row r="528" spans="1:1" ht="15.75" customHeight="1" x14ac:dyDescent="0.25">
      <c r="A528" s="4"/>
    </row>
    <row r="529" spans="1:1" ht="15.75" customHeight="1" x14ac:dyDescent="0.25">
      <c r="A529" s="4"/>
    </row>
    <row r="530" spans="1:1" ht="15.75" customHeight="1" x14ac:dyDescent="0.25">
      <c r="A530" s="4"/>
    </row>
    <row r="531" spans="1:1" ht="15.75" customHeight="1" x14ac:dyDescent="0.25">
      <c r="A531" s="4"/>
    </row>
    <row r="532" spans="1:1" ht="15.75" customHeight="1" x14ac:dyDescent="0.25">
      <c r="A532" s="4"/>
    </row>
    <row r="533" spans="1:1" ht="15.75" customHeight="1" x14ac:dyDescent="0.25">
      <c r="A533" s="4"/>
    </row>
    <row r="534" spans="1:1" ht="15.75" customHeight="1" x14ac:dyDescent="0.25">
      <c r="A534" s="4"/>
    </row>
    <row r="535" spans="1:1" ht="15.75" customHeight="1" x14ac:dyDescent="0.25">
      <c r="A535" s="4"/>
    </row>
    <row r="536" spans="1:1" ht="15.75" customHeight="1" x14ac:dyDescent="0.25">
      <c r="A536" s="4"/>
    </row>
    <row r="537" spans="1:1" ht="15.75" customHeight="1" x14ac:dyDescent="0.25">
      <c r="A537" s="4"/>
    </row>
    <row r="538" spans="1:1" ht="15.75" customHeight="1" x14ac:dyDescent="0.25">
      <c r="A538" s="4"/>
    </row>
    <row r="539" spans="1:1" ht="15.75" customHeight="1" x14ac:dyDescent="0.25">
      <c r="A539" s="4"/>
    </row>
    <row r="540" spans="1:1" ht="15.75" customHeight="1" x14ac:dyDescent="0.25">
      <c r="A540" s="4"/>
    </row>
    <row r="541" spans="1:1" ht="15.75" customHeight="1" x14ac:dyDescent="0.25">
      <c r="A541" s="4"/>
    </row>
    <row r="542" spans="1:1" ht="15.75" customHeight="1" x14ac:dyDescent="0.25">
      <c r="A542" s="4"/>
    </row>
    <row r="543" spans="1:1" ht="15.75" customHeight="1" x14ac:dyDescent="0.25">
      <c r="A543" s="4"/>
    </row>
    <row r="544" spans="1:1" ht="15.75" customHeight="1" x14ac:dyDescent="0.25">
      <c r="A544" s="4"/>
    </row>
    <row r="545" spans="1:1" ht="15.75" customHeight="1" x14ac:dyDescent="0.25">
      <c r="A545" s="4"/>
    </row>
    <row r="546" spans="1:1" ht="15.75" customHeight="1" x14ac:dyDescent="0.25">
      <c r="A546" s="4"/>
    </row>
    <row r="547" spans="1:1" ht="15.75" customHeight="1" x14ac:dyDescent="0.25">
      <c r="A547" s="4"/>
    </row>
    <row r="548" spans="1:1" ht="15.75" customHeight="1" x14ac:dyDescent="0.25">
      <c r="A548" s="4"/>
    </row>
    <row r="549" spans="1:1" ht="15.75" customHeight="1" x14ac:dyDescent="0.25">
      <c r="A549" s="4"/>
    </row>
    <row r="550" spans="1:1" ht="15.75" customHeight="1" x14ac:dyDescent="0.25">
      <c r="A550" s="4"/>
    </row>
    <row r="551" spans="1:1" ht="15.75" customHeight="1" x14ac:dyDescent="0.25">
      <c r="A551" s="4"/>
    </row>
    <row r="552" spans="1:1" ht="15.75" customHeight="1" x14ac:dyDescent="0.25">
      <c r="A552" s="4"/>
    </row>
    <row r="553" spans="1:1" ht="15.75" customHeight="1" x14ac:dyDescent="0.25">
      <c r="A553" s="4"/>
    </row>
    <row r="554" spans="1:1" ht="15.75" customHeight="1" x14ac:dyDescent="0.25">
      <c r="A554" s="4"/>
    </row>
    <row r="555" spans="1:1" ht="15.75" customHeight="1" x14ac:dyDescent="0.25">
      <c r="A555" s="4"/>
    </row>
    <row r="556" spans="1:1" ht="15.75" customHeight="1" x14ac:dyDescent="0.25">
      <c r="A556" s="4"/>
    </row>
    <row r="557" spans="1:1" ht="15.75" customHeight="1" x14ac:dyDescent="0.25">
      <c r="A557" s="4"/>
    </row>
    <row r="558" spans="1:1" ht="15.75" customHeight="1" x14ac:dyDescent="0.25">
      <c r="A558" s="4"/>
    </row>
    <row r="559" spans="1:1" ht="15.75" customHeight="1" x14ac:dyDescent="0.25">
      <c r="A559" s="4"/>
    </row>
    <row r="560" spans="1:1" ht="15.75" customHeight="1" x14ac:dyDescent="0.25">
      <c r="A560" s="4"/>
    </row>
    <row r="561" spans="1:1" ht="15.75" customHeight="1" x14ac:dyDescent="0.25">
      <c r="A561" s="4"/>
    </row>
    <row r="562" spans="1:1" ht="15.75" customHeight="1" x14ac:dyDescent="0.25">
      <c r="A562" s="4"/>
    </row>
    <row r="563" spans="1:1" ht="15.75" customHeight="1" x14ac:dyDescent="0.25">
      <c r="A563" s="4"/>
    </row>
    <row r="564" spans="1:1" ht="15.75" customHeight="1" x14ac:dyDescent="0.25">
      <c r="A564" s="4"/>
    </row>
    <row r="565" spans="1:1" ht="15.75" customHeight="1" x14ac:dyDescent="0.25">
      <c r="A565" s="4"/>
    </row>
    <row r="566" spans="1:1" ht="15.75" customHeight="1" x14ac:dyDescent="0.25">
      <c r="A566" s="4"/>
    </row>
    <row r="567" spans="1:1" ht="15.75" customHeight="1" x14ac:dyDescent="0.25">
      <c r="A567" s="4"/>
    </row>
    <row r="568" spans="1:1" ht="15.75" customHeight="1" x14ac:dyDescent="0.25">
      <c r="A568" s="4"/>
    </row>
    <row r="569" spans="1:1" ht="15.75" customHeight="1" x14ac:dyDescent="0.25">
      <c r="A569" s="4"/>
    </row>
    <row r="570" spans="1:1" ht="15.75" customHeight="1" x14ac:dyDescent="0.25">
      <c r="A570" s="4"/>
    </row>
    <row r="571" spans="1:1" ht="15.75" customHeight="1" x14ac:dyDescent="0.25">
      <c r="A571" s="4"/>
    </row>
    <row r="572" spans="1:1" ht="15.75" customHeight="1" x14ac:dyDescent="0.25">
      <c r="A572" s="4"/>
    </row>
    <row r="573" spans="1:1" ht="15.75" customHeight="1" x14ac:dyDescent="0.25">
      <c r="A573" s="4"/>
    </row>
    <row r="574" spans="1:1" ht="15.75" customHeight="1" x14ac:dyDescent="0.25">
      <c r="A574" s="4"/>
    </row>
    <row r="575" spans="1:1" ht="15.75" customHeight="1" x14ac:dyDescent="0.25">
      <c r="A575" s="4"/>
    </row>
    <row r="576" spans="1:1" ht="15.75" customHeight="1" x14ac:dyDescent="0.25">
      <c r="A576" s="4"/>
    </row>
    <row r="577" spans="1:1" ht="15.75" customHeight="1" x14ac:dyDescent="0.25">
      <c r="A577" s="4"/>
    </row>
    <row r="578" spans="1:1" ht="15.75" customHeight="1" x14ac:dyDescent="0.25">
      <c r="A578" s="4"/>
    </row>
    <row r="579" spans="1:1" ht="15.75" customHeight="1" x14ac:dyDescent="0.25">
      <c r="A579" s="4"/>
    </row>
    <row r="580" spans="1:1" ht="15.75" customHeight="1" x14ac:dyDescent="0.25">
      <c r="A580" s="4"/>
    </row>
    <row r="581" spans="1:1" ht="15.75" customHeight="1" x14ac:dyDescent="0.25">
      <c r="A581" s="4"/>
    </row>
    <row r="582" spans="1:1" ht="15.75" customHeight="1" x14ac:dyDescent="0.25">
      <c r="A582" s="4"/>
    </row>
    <row r="583" spans="1:1" ht="15.75" customHeight="1" x14ac:dyDescent="0.25">
      <c r="A583" s="4"/>
    </row>
    <row r="584" spans="1:1" ht="15.75" customHeight="1" x14ac:dyDescent="0.25">
      <c r="A584" s="4"/>
    </row>
    <row r="585" spans="1:1" ht="15.75" customHeight="1" x14ac:dyDescent="0.25">
      <c r="A585" s="4"/>
    </row>
    <row r="586" spans="1:1" ht="15.75" customHeight="1" x14ac:dyDescent="0.25">
      <c r="A586" s="4"/>
    </row>
    <row r="587" spans="1:1" ht="15.75" customHeight="1" x14ac:dyDescent="0.25">
      <c r="A587" s="4"/>
    </row>
    <row r="588" spans="1:1" ht="15.75" customHeight="1" x14ac:dyDescent="0.25">
      <c r="A588" s="4"/>
    </row>
    <row r="589" spans="1:1" ht="15.75" customHeight="1" x14ac:dyDescent="0.25">
      <c r="A589" s="4"/>
    </row>
    <row r="590" spans="1:1" ht="15.75" customHeight="1" x14ac:dyDescent="0.25">
      <c r="A590" s="4"/>
    </row>
    <row r="591" spans="1:1" ht="15.75" customHeight="1" x14ac:dyDescent="0.25">
      <c r="A591" s="4"/>
    </row>
    <row r="592" spans="1:1" ht="15.75" customHeight="1" x14ac:dyDescent="0.25">
      <c r="A592" s="4"/>
    </row>
    <row r="593" spans="1:1" ht="15.75" customHeight="1" x14ac:dyDescent="0.25">
      <c r="A593" s="4"/>
    </row>
    <row r="594" spans="1:1" ht="15.75" customHeight="1" x14ac:dyDescent="0.25">
      <c r="A594" s="4"/>
    </row>
    <row r="595" spans="1:1" ht="15.75" customHeight="1" x14ac:dyDescent="0.25">
      <c r="A595" s="4"/>
    </row>
    <row r="596" spans="1:1" ht="15.75" customHeight="1" x14ac:dyDescent="0.25">
      <c r="A596" s="4"/>
    </row>
    <row r="597" spans="1:1" ht="15.75" customHeight="1" x14ac:dyDescent="0.25">
      <c r="A597" s="4"/>
    </row>
    <row r="598" spans="1:1" ht="15.75" customHeight="1" x14ac:dyDescent="0.25">
      <c r="A598" s="4"/>
    </row>
    <row r="599" spans="1:1" ht="15.75" customHeight="1" x14ac:dyDescent="0.25">
      <c r="A599" s="4"/>
    </row>
    <row r="600" spans="1:1" ht="15.75" customHeight="1" x14ac:dyDescent="0.25">
      <c r="A600" s="4"/>
    </row>
    <row r="601" spans="1:1" ht="15.75" customHeight="1" x14ac:dyDescent="0.25">
      <c r="A601" s="4"/>
    </row>
    <row r="602" spans="1:1" ht="15.75" customHeight="1" x14ac:dyDescent="0.25">
      <c r="A602" s="4"/>
    </row>
    <row r="603" spans="1:1" ht="15.75" customHeight="1" x14ac:dyDescent="0.25">
      <c r="A603" s="4"/>
    </row>
    <row r="604" spans="1:1" ht="15.75" customHeight="1" x14ac:dyDescent="0.25">
      <c r="A604" s="4"/>
    </row>
    <row r="605" spans="1:1" ht="15.75" customHeight="1" x14ac:dyDescent="0.25">
      <c r="A605" s="4"/>
    </row>
    <row r="606" spans="1:1" ht="15.75" customHeight="1" x14ac:dyDescent="0.25">
      <c r="A606" s="4"/>
    </row>
    <row r="607" spans="1:1" ht="15.75" customHeight="1" x14ac:dyDescent="0.25">
      <c r="A607" s="4"/>
    </row>
    <row r="608" spans="1:1" ht="15.75" customHeight="1" x14ac:dyDescent="0.25">
      <c r="A608" s="4"/>
    </row>
    <row r="609" spans="1:1" ht="15.75" customHeight="1" x14ac:dyDescent="0.25">
      <c r="A609" s="4"/>
    </row>
    <row r="610" spans="1:1" ht="15.75" customHeight="1" x14ac:dyDescent="0.25">
      <c r="A610" s="4"/>
    </row>
    <row r="611" spans="1:1" ht="15.75" customHeight="1" x14ac:dyDescent="0.25">
      <c r="A611" s="4"/>
    </row>
    <row r="612" spans="1:1" ht="15.75" customHeight="1" x14ac:dyDescent="0.25">
      <c r="A612" s="4"/>
    </row>
    <row r="613" spans="1:1" ht="15.75" customHeight="1" x14ac:dyDescent="0.25">
      <c r="A613" s="4"/>
    </row>
    <row r="614" spans="1:1" ht="15.75" customHeight="1" x14ac:dyDescent="0.25">
      <c r="A614" s="4"/>
    </row>
    <row r="615" spans="1:1" ht="15.75" customHeight="1" x14ac:dyDescent="0.25">
      <c r="A615" s="4"/>
    </row>
    <row r="616" spans="1:1" ht="15.75" customHeight="1" x14ac:dyDescent="0.25">
      <c r="A616" s="4"/>
    </row>
    <row r="617" spans="1:1" ht="15.75" customHeight="1" x14ac:dyDescent="0.25">
      <c r="A617" s="4"/>
    </row>
    <row r="618" spans="1:1" ht="15.75" customHeight="1" x14ac:dyDescent="0.25">
      <c r="A618" s="4"/>
    </row>
    <row r="619" spans="1:1" ht="15.75" customHeight="1" x14ac:dyDescent="0.25">
      <c r="A619" s="4"/>
    </row>
    <row r="620" spans="1:1" ht="15.75" customHeight="1" x14ac:dyDescent="0.25">
      <c r="A620" s="4"/>
    </row>
    <row r="621" spans="1:1" ht="15.75" customHeight="1" x14ac:dyDescent="0.25">
      <c r="A621" s="4"/>
    </row>
    <row r="622" spans="1:1" ht="15.75" customHeight="1" x14ac:dyDescent="0.25">
      <c r="A622" s="4"/>
    </row>
    <row r="623" spans="1:1" ht="15.75" customHeight="1" x14ac:dyDescent="0.25">
      <c r="A623" s="4"/>
    </row>
    <row r="624" spans="1:1" ht="15.75" customHeight="1" x14ac:dyDescent="0.25">
      <c r="A624" s="4"/>
    </row>
    <row r="625" spans="1:1" ht="15.75" customHeight="1" x14ac:dyDescent="0.25">
      <c r="A625" s="4"/>
    </row>
    <row r="626" spans="1:1" ht="15.75" customHeight="1" x14ac:dyDescent="0.25">
      <c r="A626" s="4"/>
    </row>
    <row r="627" spans="1:1" ht="15.75" customHeight="1" x14ac:dyDescent="0.25">
      <c r="A627" s="4"/>
    </row>
    <row r="628" spans="1:1" ht="15.75" customHeight="1" x14ac:dyDescent="0.25">
      <c r="A628" s="4"/>
    </row>
    <row r="629" spans="1:1" ht="15.75" customHeight="1" x14ac:dyDescent="0.25">
      <c r="A629" s="4"/>
    </row>
    <row r="630" spans="1:1" ht="15.75" customHeight="1" x14ac:dyDescent="0.25">
      <c r="A630" s="4"/>
    </row>
    <row r="631" spans="1:1" ht="15.75" customHeight="1" x14ac:dyDescent="0.25">
      <c r="A631" s="4"/>
    </row>
    <row r="632" spans="1:1" ht="15.75" customHeight="1" x14ac:dyDescent="0.25">
      <c r="A632" s="4"/>
    </row>
    <row r="633" spans="1:1" ht="15.75" customHeight="1" x14ac:dyDescent="0.25">
      <c r="A633" s="4"/>
    </row>
    <row r="634" spans="1:1" ht="15.75" customHeight="1" x14ac:dyDescent="0.25">
      <c r="A634" s="4"/>
    </row>
    <row r="635" spans="1:1" ht="15.75" customHeight="1" x14ac:dyDescent="0.25">
      <c r="A635" s="4"/>
    </row>
    <row r="636" spans="1:1" ht="15.75" customHeight="1" x14ac:dyDescent="0.25">
      <c r="A636" s="4"/>
    </row>
    <row r="637" spans="1:1" ht="15.75" customHeight="1" x14ac:dyDescent="0.25">
      <c r="A637" s="4"/>
    </row>
    <row r="638" spans="1:1" ht="15.75" customHeight="1" x14ac:dyDescent="0.25">
      <c r="A638" s="4"/>
    </row>
    <row r="639" spans="1:1" ht="15.75" customHeight="1" x14ac:dyDescent="0.25">
      <c r="A639" s="4"/>
    </row>
    <row r="640" spans="1:1" ht="15.75" customHeight="1" x14ac:dyDescent="0.25">
      <c r="A640" s="4"/>
    </row>
    <row r="641" spans="1:1" ht="15.75" customHeight="1" x14ac:dyDescent="0.25">
      <c r="A641" s="4"/>
    </row>
    <row r="642" spans="1:1" ht="15.75" customHeight="1" x14ac:dyDescent="0.25">
      <c r="A642" s="4"/>
    </row>
    <row r="643" spans="1:1" ht="15.75" customHeight="1" x14ac:dyDescent="0.25">
      <c r="A643" s="4"/>
    </row>
    <row r="644" spans="1:1" ht="15.75" customHeight="1" x14ac:dyDescent="0.25">
      <c r="A644" s="4"/>
    </row>
    <row r="645" spans="1:1" ht="15.75" customHeight="1" x14ac:dyDescent="0.25">
      <c r="A645" s="4"/>
    </row>
    <row r="646" spans="1:1" ht="15.75" customHeight="1" x14ac:dyDescent="0.25">
      <c r="A646" s="4"/>
    </row>
    <row r="647" spans="1:1" ht="15.75" customHeight="1" x14ac:dyDescent="0.25">
      <c r="A647" s="4"/>
    </row>
    <row r="648" spans="1:1" ht="15.75" customHeight="1" x14ac:dyDescent="0.25">
      <c r="A648" s="4"/>
    </row>
    <row r="649" spans="1:1" ht="15.75" customHeight="1" x14ac:dyDescent="0.25">
      <c r="A649" s="4"/>
    </row>
    <row r="650" spans="1:1" ht="15.75" customHeight="1" x14ac:dyDescent="0.25">
      <c r="A650" s="4"/>
    </row>
    <row r="651" spans="1:1" ht="15.75" customHeight="1" x14ac:dyDescent="0.25">
      <c r="A651" s="4"/>
    </row>
    <row r="652" spans="1:1" ht="15.75" customHeight="1" x14ac:dyDescent="0.25">
      <c r="A652" s="4"/>
    </row>
    <row r="653" spans="1:1" ht="15.75" customHeight="1" x14ac:dyDescent="0.25">
      <c r="A653" s="4"/>
    </row>
    <row r="654" spans="1:1" ht="15.75" customHeight="1" x14ac:dyDescent="0.25">
      <c r="A654" s="4"/>
    </row>
    <row r="655" spans="1:1" ht="15.75" customHeight="1" x14ac:dyDescent="0.25">
      <c r="A655" s="4"/>
    </row>
    <row r="656" spans="1:1" ht="15.75" customHeight="1" x14ac:dyDescent="0.25">
      <c r="A656" s="4"/>
    </row>
    <row r="657" spans="1:1" ht="15.75" customHeight="1" x14ac:dyDescent="0.25">
      <c r="A657" s="4"/>
    </row>
    <row r="658" spans="1:1" ht="15.75" customHeight="1" x14ac:dyDescent="0.25">
      <c r="A658" s="4"/>
    </row>
    <row r="659" spans="1:1" ht="15.75" customHeight="1" x14ac:dyDescent="0.25">
      <c r="A659" s="4"/>
    </row>
    <row r="660" spans="1:1" ht="15.75" customHeight="1" x14ac:dyDescent="0.25">
      <c r="A660" s="4"/>
    </row>
    <row r="661" spans="1:1" ht="15.75" customHeight="1" x14ac:dyDescent="0.25">
      <c r="A661" s="4"/>
    </row>
    <row r="662" spans="1:1" ht="15.75" customHeight="1" x14ac:dyDescent="0.25">
      <c r="A662" s="4"/>
    </row>
    <row r="663" spans="1:1" ht="15.75" customHeight="1" x14ac:dyDescent="0.25">
      <c r="A663" s="4"/>
    </row>
    <row r="664" spans="1:1" ht="15.75" customHeight="1" x14ac:dyDescent="0.25">
      <c r="A664" s="4"/>
    </row>
    <row r="665" spans="1:1" ht="15.75" customHeight="1" x14ac:dyDescent="0.25">
      <c r="A665" s="4"/>
    </row>
    <row r="666" spans="1:1" ht="15.75" customHeight="1" x14ac:dyDescent="0.25">
      <c r="A666" s="4"/>
    </row>
    <row r="667" spans="1:1" ht="15.75" customHeight="1" x14ac:dyDescent="0.25">
      <c r="A667" s="4"/>
    </row>
    <row r="668" spans="1:1" ht="15.75" customHeight="1" x14ac:dyDescent="0.25">
      <c r="A668" s="4"/>
    </row>
    <row r="669" spans="1:1" ht="15.75" customHeight="1" x14ac:dyDescent="0.25">
      <c r="A669" s="4"/>
    </row>
    <row r="670" spans="1:1" ht="15.75" customHeight="1" x14ac:dyDescent="0.25">
      <c r="A670" s="4"/>
    </row>
    <row r="671" spans="1:1" ht="15.75" customHeight="1" x14ac:dyDescent="0.25">
      <c r="A671" s="4"/>
    </row>
    <row r="672" spans="1:1" ht="15.75" customHeight="1" x14ac:dyDescent="0.25">
      <c r="A672" s="4"/>
    </row>
    <row r="673" spans="1:1" ht="15.75" customHeight="1" x14ac:dyDescent="0.25">
      <c r="A673" s="4"/>
    </row>
    <row r="674" spans="1:1" ht="15.75" customHeight="1" x14ac:dyDescent="0.25">
      <c r="A674" s="4"/>
    </row>
    <row r="675" spans="1:1" ht="15.75" customHeight="1" x14ac:dyDescent="0.25">
      <c r="A675" s="4"/>
    </row>
    <row r="676" spans="1:1" ht="15.75" customHeight="1" x14ac:dyDescent="0.25">
      <c r="A676" s="4"/>
    </row>
    <row r="677" spans="1:1" ht="15.75" customHeight="1" x14ac:dyDescent="0.25">
      <c r="A677" s="4"/>
    </row>
    <row r="678" spans="1:1" ht="15.75" customHeight="1" x14ac:dyDescent="0.25">
      <c r="A678" s="4"/>
    </row>
    <row r="679" spans="1:1" ht="15.75" customHeight="1" x14ac:dyDescent="0.25">
      <c r="A679" s="4"/>
    </row>
    <row r="680" spans="1:1" ht="15.75" customHeight="1" x14ac:dyDescent="0.25">
      <c r="A680" s="4"/>
    </row>
    <row r="681" spans="1:1" ht="15.75" customHeight="1" x14ac:dyDescent="0.25">
      <c r="A681" s="4"/>
    </row>
    <row r="682" spans="1:1" ht="15.75" customHeight="1" x14ac:dyDescent="0.25">
      <c r="A682" s="4"/>
    </row>
    <row r="683" spans="1:1" ht="15.75" customHeight="1" x14ac:dyDescent="0.25">
      <c r="A683" s="4"/>
    </row>
    <row r="684" spans="1:1" ht="15.75" customHeight="1" x14ac:dyDescent="0.25">
      <c r="A684" s="4"/>
    </row>
    <row r="685" spans="1:1" ht="15.75" customHeight="1" x14ac:dyDescent="0.25">
      <c r="A685" s="4"/>
    </row>
    <row r="686" spans="1:1" ht="15.75" customHeight="1" x14ac:dyDescent="0.25">
      <c r="A686" s="4"/>
    </row>
    <row r="687" spans="1:1" ht="15.75" customHeight="1" x14ac:dyDescent="0.25">
      <c r="A687" s="4"/>
    </row>
    <row r="688" spans="1:1" ht="15.75" customHeight="1" x14ac:dyDescent="0.25">
      <c r="A688" s="4"/>
    </row>
    <row r="689" spans="1:1" ht="15.75" customHeight="1" x14ac:dyDescent="0.25">
      <c r="A689" s="4"/>
    </row>
    <row r="690" spans="1:1" ht="15.75" customHeight="1" x14ac:dyDescent="0.25">
      <c r="A690" s="4"/>
    </row>
    <row r="691" spans="1:1" ht="15.75" customHeight="1" x14ac:dyDescent="0.25">
      <c r="A691" s="4"/>
    </row>
    <row r="692" spans="1:1" ht="15.75" customHeight="1" x14ac:dyDescent="0.25">
      <c r="A692" s="4"/>
    </row>
    <row r="693" spans="1:1" ht="15.75" customHeight="1" x14ac:dyDescent="0.25">
      <c r="A693" s="4"/>
    </row>
    <row r="694" spans="1:1" ht="15.75" customHeight="1" x14ac:dyDescent="0.25">
      <c r="A694" s="4"/>
    </row>
    <row r="695" spans="1:1" ht="15.75" customHeight="1" x14ac:dyDescent="0.25">
      <c r="A695" s="4"/>
    </row>
    <row r="696" spans="1:1" ht="15.75" customHeight="1" x14ac:dyDescent="0.25">
      <c r="A696" s="4"/>
    </row>
    <row r="697" spans="1:1" ht="15.75" customHeight="1" x14ac:dyDescent="0.25">
      <c r="A697" s="4"/>
    </row>
    <row r="698" spans="1:1" ht="15.75" customHeight="1" x14ac:dyDescent="0.25">
      <c r="A698" s="4"/>
    </row>
    <row r="699" spans="1:1" ht="15.75" customHeight="1" x14ac:dyDescent="0.25">
      <c r="A699" s="4"/>
    </row>
    <row r="700" spans="1:1" ht="15.75" customHeight="1" x14ac:dyDescent="0.25">
      <c r="A700" s="4"/>
    </row>
    <row r="701" spans="1:1" ht="15.75" customHeight="1" x14ac:dyDescent="0.25">
      <c r="A701" s="4"/>
    </row>
    <row r="702" spans="1:1" ht="15.75" customHeight="1" x14ac:dyDescent="0.25">
      <c r="A702" s="4"/>
    </row>
    <row r="703" spans="1:1" ht="15.75" customHeight="1" x14ac:dyDescent="0.25">
      <c r="A703" s="4"/>
    </row>
    <row r="704" spans="1:1" ht="15.75" customHeight="1" x14ac:dyDescent="0.25">
      <c r="A704" s="4"/>
    </row>
    <row r="705" spans="1:1" ht="15.75" customHeight="1" x14ac:dyDescent="0.25">
      <c r="A705" s="4"/>
    </row>
    <row r="706" spans="1:1" ht="15.75" customHeight="1" x14ac:dyDescent="0.25">
      <c r="A706" s="4"/>
    </row>
    <row r="707" spans="1:1" ht="15.75" customHeight="1" x14ac:dyDescent="0.25">
      <c r="A707" s="4"/>
    </row>
    <row r="708" spans="1:1" ht="15.75" customHeight="1" x14ac:dyDescent="0.25">
      <c r="A708" s="4"/>
    </row>
    <row r="709" spans="1:1" ht="15.75" customHeight="1" x14ac:dyDescent="0.25">
      <c r="A709" s="4"/>
    </row>
    <row r="710" spans="1:1" ht="15.75" customHeight="1" x14ac:dyDescent="0.25">
      <c r="A710" s="4"/>
    </row>
    <row r="711" spans="1:1" ht="15.75" customHeight="1" x14ac:dyDescent="0.25">
      <c r="A711" s="4"/>
    </row>
    <row r="712" spans="1:1" ht="15.75" customHeight="1" x14ac:dyDescent="0.25">
      <c r="A712" s="4"/>
    </row>
    <row r="713" spans="1:1" ht="15.75" customHeight="1" x14ac:dyDescent="0.25">
      <c r="A713" s="4"/>
    </row>
    <row r="714" spans="1:1" ht="15.75" customHeight="1" x14ac:dyDescent="0.25">
      <c r="A714" s="4"/>
    </row>
    <row r="715" spans="1:1" ht="15.75" customHeight="1" x14ac:dyDescent="0.25">
      <c r="A715" s="4"/>
    </row>
    <row r="716" spans="1:1" ht="15.75" customHeight="1" x14ac:dyDescent="0.25">
      <c r="A716" s="4"/>
    </row>
    <row r="717" spans="1:1" ht="15.75" customHeight="1" x14ac:dyDescent="0.25">
      <c r="A717" s="4"/>
    </row>
    <row r="718" spans="1:1" ht="15.75" customHeight="1" x14ac:dyDescent="0.25">
      <c r="A718" s="4"/>
    </row>
    <row r="719" spans="1:1" ht="15.75" customHeight="1" x14ac:dyDescent="0.25">
      <c r="A719" s="4"/>
    </row>
    <row r="720" spans="1:1" ht="15.75" customHeight="1" x14ac:dyDescent="0.25">
      <c r="A720" s="4"/>
    </row>
    <row r="721" spans="1:1" ht="15.75" customHeight="1" x14ac:dyDescent="0.25">
      <c r="A721" s="4"/>
    </row>
    <row r="722" spans="1:1" ht="15.75" customHeight="1" x14ac:dyDescent="0.25">
      <c r="A722" s="4"/>
    </row>
    <row r="723" spans="1:1" ht="15.75" customHeight="1" x14ac:dyDescent="0.25">
      <c r="A723" s="4"/>
    </row>
    <row r="724" spans="1:1" ht="15.75" customHeight="1" x14ac:dyDescent="0.25">
      <c r="A724" s="4"/>
    </row>
    <row r="725" spans="1:1" ht="15.75" customHeight="1" x14ac:dyDescent="0.25">
      <c r="A725" s="4"/>
    </row>
    <row r="726" spans="1:1" ht="15.75" customHeight="1" x14ac:dyDescent="0.25">
      <c r="A726" s="4"/>
    </row>
    <row r="727" spans="1:1" ht="15.75" customHeight="1" x14ac:dyDescent="0.25">
      <c r="A727" s="4"/>
    </row>
    <row r="728" spans="1:1" ht="15.75" customHeight="1" x14ac:dyDescent="0.25">
      <c r="A728" s="4"/>
    </row>
    <row r="729" spans="1:1" ht="15.75" customHeight="1" x14ac:dyDescent="0.25">
      <c r="A729" s="4"/>
    </row>
    <row r="730" spans="1:1" ht="15.75" customHeight="1" x14ac:dyDescent="0.25">
      <c r="A730" s="4"/>
    </row>
    <row r="731" spans="1:1" ht="15.75" customHeight="1" x14ac:dyDescent="0.25">
      <c r="A731" s="4"/>
    </row>
    <row r="732" spans="1:1" ht="15.75" customHeight="1" x14ac:dyDescent="0.25">
      <c r="A732" s="4"/>
    </row>
    <row r="733" spans="1:1" ht="15.75" customHeight="1" x14ac:dyDescent="0.25">
      <c r="A733" s="4"/>
    </row>
    <row r="734" spans="1:1" ht="15.75" customHeight="1" x14ac:dyDescent="0.25">
      <c r="A734" s="4"/>
    </row>
    <row r="735" spans="1:1" ht="15.75" customHeight="1" x14ac:dyDescent="0.25">
      <c r="A735" s="4"/>
    </row>
    <row r="736" spans="1:1" ht="15.75" customHeight="1" x14ac:dyDescent="0.25">
      <c r="A736" s="4"/>
    </row>
    <row r="737" spans="1:1" ht="15.75" customHeight="1" x14ac:dyDescent="0.25">
      <c r="A737" s="4"/>
    </row>
    <row r="738" spans="1:1" ht="15.75" customHeight="1" x14ac:dyDescent="0.25">
      <c r="A738" s="4"/>
    </row>
    <row r="739" spans="1:1" ht="15.75" customHeight="1" x14ac:dyDescent="0.25">
      <c r="A739" s="4"/>
    </row>
    <row r="740" spans="1:1" ht="15.75" customHeight="1" x14ac:dyDescent="0.25">
      <c r="A740" s="4"/>
    </row>
    <row r="741" spans="1:1" ht="15.75" customHeight="1" x14ac:dyDescent="0.25">
      <c r="A741" s="4"/>
    </row>
    <row r="742" spans="1:1" ht="15.75" customHeight="1" x14ac:dyDescent="0.25">
      <c r="A742" s="4"/>
    </row>
    <row r="743" spans="1:1" ht="15.75" customHeight="1" x14ac:dyDescent="0.25">
      <c r="A743" s="4"/>
    </row>
    <row r="744" spans="1:1" ht="15.75" customHeight="1" x14ac:dyDescent="0.25">
      <c r="A744" s="4"/>
    </row>
    <row r="745" spans="1:1" ht="15.75" customHeight="1" x14ac:dyDescent="0.25">
      <c r="A745" s="4"/>
    </row>
    <row r="746" spans="1:1" ht="15.75" customHeight="1" x14ac:dyDescent="0.25">
      <c r="A746" s="4"/>
    </row>
    <row r="747" spans="1:1" ht="15.75" customHeight="1" x14ac:dyDescent="0.25">
      <c r="A747" s="4"/>
    </row>
    <row r="748" spans="1:1" ht="15.75" customHeight="1" x14ac:dyDescent="0.25">
      <c r="A748" s="4"/>
    </row>
    <row r="749" spans="1:1" ht="15.75" customHeight="1" x14ac:dyDescent="0.25">
      <c r="A749" s="4"/>
    </row>
    <row r="750" spans="1:1" ht="15.75" customHeight="1" x14ac:dyDescent="0.25">
      <c r="A750" s="4"/>
    </row>
    <row r="751" spans="1:1" ht="15.75" customHeight="1" x14ac:dyDescent="0.25">
      <c r="A751" s="4"/>
    </row>
    <row r="752" spans="1:1" ht="15.75" customHeight="1" x14ac:dyDescent="0.25">
      <c r="A752" s="4"/>
    </row>
    <row r="753" spans="1:1" ht="15.75" customHeight="1" x14ac:dyDescent="0.25">
      <c r="A753" s="4"/>
    </row>
    <row r="754" spans="1:1" ht="15.75" customHeight="1" x14ac:dyDescent="0.25">
      <c r="A754" s="4"/>
    </row>
    <row r="755" spans="1:1" ht="15.75" customHeight="1" x14ac:dyDescent="0.25">
      <c r="A755" s="4"/>
    </row>
    <row r="756" spans="1:1" ht="15.75" customHeight="1" x14ac:dyDescent="0.25">
      <c r="A756" s="4"/>
    </row>
    <row r="757" spans="1:1" ht="15.75" customHeight="1" x14ac:dyDescent="0.25">
      <c r="A757" s="4"/>
    </row>
    <row r="758" spans="1:1" ht="15.75" customHeight="1" x14ac:dyDescent="0.25">
      <c r="A758" s="4"/>
    </row>
    <row r="759" spans="1:1" ht="15.75" customHeight="1" x14ac:dyDescent="0.25">
      <c r="A759" s="4"/>
    </row>
    <row r="760" spans="1:1" ht="15.75" customHeight="1" x14ac:dyDescent="0.25">
      <c r="A760" s="4"/>
    </row>
    <row r="761" spans="1:1" ht="15.75" customHeight="1" x14ac:dyDescent="0.25">
      <c r="A761" s="4"/>
    </row>
    <row r="762" spans="1:1" ht="15.75" customHeight="1" x14ac:dyDescent="0.25">
      <c r="A762" s="4"/>
    </row>
    <row r="763" spans="1:1" ht="15.75" customHeight="1" x14ac:dyDescent="0.25">
      <c r="A763" s="4"/>
    </row>
    <row r="764" spans="1:1" ht="15.75" customHeight="1" x14ac:dyDescent="0.25">
      <c r="A764" s="4"/>
    </row>
    <row r="765" spans="1:1" ht="15.75" customHeight="1" x14ac:dyDescent="0.25">
      <c r="A765" s="4"/>
    </row>
    <row r="766" spans="1:1" ht="15.75" customHeight="1" x14ac:dyDescent="0.25">
      <c r="A766" s="4"/>
    </row>
    <row r="767" spans="1:1" ht="15.75" customHeight="1" x14ac:dyDescent="0.25">
      <c r="A767" s="4"/>
    </row>
    <row r="768" spans="1:1" ht="15.75" customHeight="1" x14ac:dyDescent="0.25">
      <c r="A768" s="4"/>
    </row>
    <row r="769" spans="1:1" ht="15.75" customHeight="1" x14ac:dyDescent="0.25">
      <c r="A769" s="4"/>
    </row>
    <row r="770" spans="1:1" ht="15.75" customHeight="1" x14ac:dyDescent="0.25">
      <c r="A770" s="4"/>
    </row>
    <row r="771" spans="1:1" ht="15.75" customHeight="1" x14ac:dyDescent="0.25">
      <c r="A771" s="4"/>
    </row>
    <row r="772" spans="1:1" ht="15.75" customHeight="1" x14ac:dyDescent="0.25">
      <c r="A772" s="4"/>
    </row>
    <row r="773" spans="1:1" ht="15.75" customHeight="1" x14ac:dyDescent="0.25">
      <c r="A773" s="4"/>
    </row>
    <row r="774" spans="1:1" ht="15.75" customHeight="1" x14ac:dyDescent="0.25">
      <c r="A774" s="4"/>
    </row>
    <row r="775" spans="1:1" ht="15.75" customHeight="1" x14ac:dyDescent="0.25">
      <c r="A775" s="4"/>
    </row>
    <row r="776" spans="1:1" ht="15.75" customHeight="1" x14ac:dyDescent="0.25">
      <c r="A776" s="4"/>
    </row>
    <row r="777" spans="1:1" ht="15.75" customHeight="1" x14ac:dyDescent="0.25">
      <c r="A777" s="4"/>
    </row>
    <row r="778" spans="1:1" ht="15.75" customHeight="1" x14ac:dyDescent="0.25">
      <c r="A778" s="4"/>
    </row>
    <row r="779" spans="1:1" ht="15.75" customHeight="1" x14ac:dyDescent="0.25">
      <c r="A779" s="4"/>
    </row>
    <row r="780" spans="1:1" ht="15.75" customHeight="1" x14ac:dyDescent="0.25">
      <c r="A780" s="4"/>
    </row>
    <row r="781" spans="1:1" ht="15.75" customHeight="1" x14ac:dyDescent="0.25">
      <c r="A781" s="4"/>
    </row>
    <row r="782" spans="1:1" ht="15.75" customHeight="1" x14ac:dyDescent="0.25">
      <c r="A782" s="4"/>
    </row>
    <row r="783" spans="1:1" ht="15.75" customHeight="1" x14ac:dyDescent="0.25">
      <c r="A783" s="4"/>
    </row>
    <row r="784" spans="1:1" ht="15.75" customHeight="1" x14ac:dyDescent="0.25">
      <c r="A784" s="4"/>
    </row>
    <row r="785" spans="1:1" ht="15.75" customHeight="1" x14ac:dyDescent="0.25">
      <c r="A785" s="4"/>
    </row>
    <row r="786" spans="1:1" ht="15.75" customHeight="1" x14ac:dyDescent="0.25">
      <c r="A786" s="4"/>
    </row>
    <row r="787" spans="1:1" ht="15.75" customHeight="1" x14ac:dyDescent="0.25">
      <c r="A787" s="4"/>
    </row>
    <row r="788" spans="1:1" ht="15.75" customHeight="1" x14ac:dyDescent="0.25">
      <c r="A788" s="4"/>
    </row>
    <row r="789" spans="1:1" ht="15.75" customHeight="1" x14ac:dyDescent="0.25">
      <c r="A789" s="4"/>
    </row>
    <row r="790" spans="1:1" ht="15.75" customHeight="1" x14ac:dyDescent="0.25">
      <c r="A790" s="4"/>
    </row>
    <row r="791" spans="1:1" ht="15.75" customHeight="1" x14ac:dyDescent="0.25">
      <c r="A791" s="4"/>
    </row>
    <row r="792" spans="1:1" ht="15.75" customHeight="1" x14ac:dyDescent="0.25">
      <c r="A792" s="4"/>
    </row>
    <row r="793" spans="1:1" ht="15.75" customHeight="1" x14ac:dyDescent="0.25">
      <c r="A793" s="4"/>
    </row>
    <row r="794" spans="1:1" ht="15.75" customHeight="1" x14ac:dyDescent="0.25">
      <c r="A794" s="4"/>
    </row>
    <row r="795" spans="1:1" ht="15.75" customHeight="1" x14ac:dyDescent="0.25">
      <c r="A795" s="4"/>
    </row>
    <row r="796" spans="1:1" ht="15.75" customHeight="1" x14ac:dyDescent="0.25">
      <c r="A796" s="4"/>
    </row>
    <row r="797" spans="1:1" ht="15.75" customHeight="1" x14ac:dyDescent="0.25">
      <c r="A797" s="4"/>
    </row>
    <row r="798" spans="1:1" ht="15.75" customHeight="1" x14ac:dyDescent="0.25">
      <c r="A798" s="4"/>
    </row>
    <row r="799" spans="1:1" ht="15.75" customHeight="1" x14ac:dyDescent="0.25">
      <c r="A799" s="4"/>
    </row>
    <row r="800" spans="1:1" ht="15.75" customHeight="1" x14ac:dyDescent="0.25">
      <c r="A800" s="4"/>
    </row>
    <row r="801" spans="1:1" ht="15.75" customHeight="1" x14ac:dyDescent="0.25">
      <c r="A801" s="4"/>
    </row>
    <row r="802" spans="1:1" ht="15.75" customHeight="1" x14ac:dyDescent="0.25">
      <c r="A802" s="4"/>
    </row>
    <row r="803" spans="1:1" ht="15.75" customHeight="1" x14ac:dyDescent="0.25">
      <c r="A803" s="4"/>
    </row>
    <row r="804" spans="1:1" ht="15.75" customHeight="1" x14ac:dyDescent="0.25">
      <c r="A804" s="4"/>
    </row>
    <row r="805" spans="1:1" ht="15.75" customHeight="1" x14ac:dyDescent="0.25">
      <c r="A805" s="4"/>
    </row>
    <row r="806" spans="1:1" ht="15.75" customHeight="1" x14ac:dyDescent="0.25">
      <c r="A806" s="4"/>
    </row>
    <row r="807" spans="1:1" ht="15.75" customHeight="1" x14ac:dyDescent="0.25">
      <c r="A807" s="4"/>
    </row>
    <row r="808" spans="1:1" ht="15.75" customHeight="1" x14ac:dyDescent="0.25">
      <c r="A808" s="4"/>
    </row>
    <row r="809" spans="1:1" ht="15.75" customHeight="1" x14ac:dyDescent="0.25">
      <c r="A809" s="4"/>
    </row>
    <row r="810" spans="1:1" ht="15.75" customHeight="1" x14ac:dyDescent="0.25">
      <c r="A810" s="4"/>
    </row>
    <row r="811" spans="1:1" ht="15.75" customHeight="1" x14ac:dyDescent="0.25">
      <c r="A811" s="4"/>
    </row>
    <row r="812" spans="1:1" ht="15.75" customHeight="1" x14ac:dyDescent="0.25">
      <c r="A812" s="4"/>
    </row>
    <row r="813" spans="1:1" ht="15.75" customHeight="1" x14ac:dyDescent="0.25">
      <c r="A813" s="4"/>
    </row>
    <row r="814" spans="1:1" ht="15.75" customHeight="1" x14ac:dyDescent="0.25">
      <c r="A814" s="4"/>
    </row>
    <row r="815" spans="1:1" ht="15.75" customHeight="1" x14ac:dyDescent="0.25">
      <c r="A815" s="4"/>
    </row>
    <row r="816" spans="1:1" ht="15.75" customHeight="1" x14ac:dyDescent="0.25">
      <c r="A816" s="4"/>
    </row>
    <row r="817" spans="1:1" ht="15.75" customHeight="1" x14ac:dyDescent="0.25">
      <c r="A817" s="4"/>
    </row>
    <row r="818" spans="1:1" ht="15.75" customHeight="1" x14ac:dyDescent="0.25">
      <c r="A818" s="4"/>
    </row>
    <row r="819" spans="1:1" ht="15.75" customHeight="1" x14ac:dyDescent="0.25">
      <c r="A819" s="4"/>
    </row>
    <row r="820" spans="1:1" ht="15.75" customHeight="1" x14ac:dyDescent="0.25">
      <c r="A820" s="4"/>
    </row>
    <row r="821" spans="1:1" ht="15.75" customHeight="1" x14ac:dyDescent="0.25">
      <c r="A821" s="4"/>
    </row>
    <row r="822" spans="1:1" ht="15.75" customHeight="1" x14ac:dyDescent="0.25">
      <c r="A822" s="4"/>
    </row>
    <row r="823" spans="1:1" ht="15.75" customHeight="1" x14ac:dyDescent="0.25">
      <c r="A823" s="4"/>
    </row>
    <row r="824" spans="1:1" ht="15.75" customHeight="1" x14ac:dyDescent="0.25">
      <c r="A824" s="4"/>
    </row>
    <row r="825" spans="1:1" ht="15.75" customHeight="1" x14ac:dyDescent="0.25">
      <c r="A825" s="4"/>
    </row>
    <row r="826" spans="1:1" ht="15.75" customHeight="1" x14ac:dyDescent="0.25">
      <c r="A826" s="4"/>
    </row>
    <row r="827" spans="1:1" ht="15.75" customHeight="1" x14ac:dyDescent="0.25">
      <c r="A827" s="4"/>
    </row>
    <row r="828" spans="1:1" ht="15.75" customHeight="1" x14ac:dyDescent="0.25">
      <c r="A828" s="4"/>
    </row>
    <row r="829" spans="1:1" ht="15.75" customHeight="1" x14ac:dyDescent="0.25">
      <c r="A829" s="4"/>
    </row>
    <row r="830" spans="1:1" ht="15.75" customHeight="1" x14ac:dyDescent="0.25">
      <c r="A830" s="4"/>
    </row>
    <row r="831" spans="1:1" ht="15.75" customHeight="1" x14ac:dyDescent="0.25">
      <c r="A831" s="4"/>
    </row>
    <row r="832" spans="1:1" ht="15.75" customHeight="1" x14ac:dyDescent="0.25">
      <c r="A832" s="4"/>
    </row>
    <row r="833" spans="1:1" ht="15.75" customHeight="1" x14ac:dyDescent="0.25">
      <c r="A833" s="4"/>
    </row>
    <row r="834" spans="1:1" ht="15.75" customHeight="1" x14ac:dyDescent="0.25">
      <c r="A834" s="4"/>
    </row>
    <row r="835" spans="1:1" ht="15.75" customHeight="1" x14ac:dyDescent="0.25">
      <c r="A835" s="4"/>
    </row>
    <row r="836" spans="1:1" ht="15.75" customHeight="1" x14ac:dyDescent="0.25">
      <c r="A836" s="4"/>
    </row>
    <row r="837" spans="1:1" ht="15.75" customHeight="1" x14ac:dyDescent="0.25">
      <c r="A837" s="4"/>
    </row>
    <row r="838" spans="1:1" ht="15.75" customHeight="1" x14ac:dyDescent="0.25">
      <c r="A838" s="4"/>
    </row>
    <row r="839" spans="1:1" ht="15.75" customHeight="1" x14ac:dyDescent="0.25">
      <c r="A839" s="4"/>
    </row>
    <row r="840" spans="1:1" ht="15.75" customHeight="1" x14ac:dyDescent="0.25">
      <c r="A840" s="4"/>
    </row>
    <row r="841" spans="1:1" ht="15.75" customHeight="1" x14ac:dyDescent="0.25">
      <c r="A841" s="4"/>
    </row>
    <row r="842" spans="1:1" ht="15.75" customHeight="1" x14ac:dyDescent="0.25">
      <c r="A842" s="4"/>
    </row>
    <row r="843" spans="1:1" ht="15.75" customHeight="1" x14ac:dyDescent="0.25">
      <c r="A843" s="4"/>
    </row>
    <row r="844" spans="1:1" ht="15.75" customHeight="1" x14ac:dyDescent="0.25">
      <c r="A844" s="4"/>
    </row>
    <row r="845" spans="1:1" ht="15.75" customHeight="1" x14ac:dyDescent="0.25">
      <c r="A845" s="4"/>
    </row>
    <row r="846" spans="1:1" ht="15.75" customHeight="1" x14ac:dyDescent="0.25">
      <c r="A846" s="4"/>
    </row>
    <row r="847" spans="1:1" ht="15.75" customHeight="1" x14ac:dyDescent="0.25">
      <c r="A847" s="4"/>
    </row>
    <row r="848" spans="1:1" ht="15.75" customHeight="1" x14ac:dyDescent="0.25">
      <c r="A848" s="4"/>
    </row>
    <row r="849" spans="1:1" ht="15.75" customHeight="1" x14ac:dyDescent="0.25">
      <c r="A849" s="4"/>
    </row>
    <row r="850" spans="1:1" ht="15.75" customHeight="1" x14ac:dyDescent="0.25">
      <c r="A850" s="4"/>
    </row>
    <row r="851" spans="1:1" ht="15.75" customHeight="1" x14ac:dyDescent="0.25">
      <c r="A851" s="4"/>
    </row>
    <row r="852" spans="1:1" ht="15.75" customHeight="1" x14ac:dyDescent="0.25">
      <c r="A852" s="4"/>
    </row>
    <row r="853" spans="1:1" ht="15.75" customHeight="1" x14ac:dyDescent="0.25">
      <c r="A853" s="4"/>
    </row>
    <row r="854" spans="1:1" ht="15.75" customHeight="1" x14ac:dyDescent="0.25">
      <c r="A854" s="4"/>
    </row>
    <row r="855" spans="1:1" ht="15.75" customHeight="1" x14ac:dyDescent="0.25">
      <c r="A855" s="4"/>
    </row>
    <row r="856" spans="1:1" ht="15.75" customHeight="1" x14ac:dyDescent="0.25">
      <c r="A856" s="4"/>
    </row>
    <row r="857" spans="1:1" ht="15.75" customHeight="1" x14ac:dyDescent="0.25">
      <c r="A857" s="4"/>
    </row>
    <row r="858" spans="1:1" ht="15.75" customHeight="1" x14ac:dyDescent="0.25">
      <c r="A858" s="4"/>
    </row>
    <row r="859" spans="1:1" ht="15.75" customHeight="1" x14ac:dyDescent="0.25">
      <c r="A859" s="4"/>
    </row>
    <row r="860" spans="1:1" ht="15.75" customHeight="1" x14ac:dyDescent="0.25">
      <c r="A860" s="4"/>
    </row>
    <row r="861" spans="1:1" ht="15.75" customHeight="1" x14ac:dyDescent="0.25">
      <c r="A861" s="4"/>
    </row>
    <row r="862" spans="1:1" ht="15.75" customHeight="1" x14ac:dyDescent="0.25">
      <c r="A862" s="4"/>
    </row>
    <row r="863" spans="1:1" ht="15.75" customHeight="1" x14ac:dyDescent="0.25">
      <c r="A863" s="4"/>
    </row>
    <row r="864" spans="1:1" ht="15.75" customHeight="1" x14ac:dyDescent="0.25">
      <c r="A864" s="4"/>
    </row>
    <row r="865" spans="1:1" ht="15.75" customHeight="1" x14ac:dyDescent="0.25">
      <c r="A865" s="4"/>
    </row>
    <row r="866" spans="1:1" ht="15.75" customHeight="1" x14ac:dyDescent="0.25">
      <c r="A866" s="4"/>
    </row>
    <row r="867" spans="1:1" ht="15.75" customHeight="1" x14ac:dyDescent="0.25">
      <c r="A867" s="4"/>
    </row>
    <row r="868" spans="1:1" ht="15.75" customHeight="1" x14ac:dyDescent="0.25">
      <c r="A868" s="4"/>
    </row>
    <row r="869" spans="1:1" ht="15.75" customHeight="1" x14ac:dyDescent="0.25">
      <c r="A869" s="4"/>
    </row>
    <row r="870" spans="1:1" ht="15.75" customHeight="1" x14ac:dyDescent="0.25">
      <c r="A870" s="4"/>
    </row>
    <row r="871" spans="1:1" ht="15.75" customHeight="1" x14ac:dyDescent="0.25">
      <c r="A871" s="4"/>
    </row>
    <row r="872" spans="1:1" ht="15.75" customHeight="1" x14ac:dyDescent="0.25">
      <c r="A872" s="4"/>
    </row>
    <row r="873" spans="1:1" ht="15.75" customHeight="1" x14ac:dyDescent="0.25">
      <c r="A873" s="4"/>
    </row>
    <row r="874" spans="1:1" ht="15.75" customHeight="1" x14ac:dyDescent="0.25">
      <c r="A874" s="4"/>
    </row>
    <row r="875" spans="1:1" ht="15.75" customHeight="1" x14ac:dyDescent="0.25">
      <c r="A875" s="4"/>
    </row>
    <row r="876" spans="1:1" ht="15.75" customHeight="1" x14ac:dyDescent="0.25">
      <c r="A876" s="4"/>
    </row>
    <row r="877" spans="1:1" ht="15.75" customHeight="1" x14ac:dyDescent="0.25">
      <c r="A877" s="4"/>
    </row>
    <row r="878" spans="1:1" ht="15.75" customHeight="1" x14ac:dyDescent="0.25">
      <c r="A878" s="4"/>
    </row>
    <row r="879" spans="1:1" ht="15.75" customHeight="1" x14ac:dyDescent="0.25">
      <c r="A879" s="4"/>
    </row>
    <row r="880" spans="1:1" ht="15.75" customHeight="1" x14ac:dyDescent="0.25">
      <c r="A880" s="4"/>
    </row>
    <row r="881" spans="1:1" ht="15.75" customHeight="1" x14ac:dyDescent="0.25">
      <c r="A881" s="4"/>
    </row>
    <row r="882" spans="1:1" ht="15.75" customHeight="1" x14ac:dyDescent="0.25">
      <c r="A882" s="4"/>
    </row>
    <row r="883" spans="1:1" ht="15.75" customHeight="1" x14ac:dyDescent="0.25">
      <c r="A883" s="4"/>
    </row>
    <row r="884" spans="1:1" ht="15.75" customHeight="1" x14ac:dyDescent="0.25">
      <c r="A884" s="4"/>
    </row>
    <row r="885" spans="1:1" ht="15.75" customHeight="1" x14ac:dyDescent="0.25">
      <c r="A885" s="4"/>
    </row>
    <row r="886" spans="1:1" ht="15.75" customHeight="1" x14ac:dyDescent="0.25">
      <c r="A886" s="4"/>
    </row>
    <row r="887" spans="1:1" ht="15.75" customHeight="1" x14ac:dyDescent="0.25">
      <c r="A887" s="4"/>
    </row>
    <row r="888" spans="1:1" ht="15.75" customHeight="1" x14ac:dyDescent="0.25">
      <c r="A888" s="4"/>
    </row>
    <row r="889" spans="1:1" ht="15.75" customHeight="1" x14ac:dyDescent="0.25">
      <c r="A889" s="4"/>
    </row>
    <row r="890" spans="1:1" ht="15.75" customHeight="1" x14ac:dyDescent="0.25">
      <c r="A890" s="4"/>
    </row>
    <row r="891" spans="1:1" ht="15.75" customHeight="1" x14ac:dyDescent="0.25">
      <c r="A891" s="4"/>
    </row>
    <row r="892" spans="1:1" ht="15.75" customHeight="1" x14ac:dyDescent="0.25">
      <c r="A892" s="4"/>
    </row>
    <row r="893" spans="1:1" ht="15.75" customHeight="1" x14ac:dyDescent="0.25">
      <c r="A893" s="4"/>
    </row>
    <row r="894" spans="1:1" ht="15.75" customHeight="1" x14ac:dyDescent="0.25">
      <c r="A894" s="4"/>
    </row>
    <row r="895" spans="1:1" ht="15.75" customHeight="1" x14ac:dyDescent="0.25">
      <c r="A895" s="4"/>
    </row>
    <row r="896" spans="1:1" ht="15.75" customHeight="1" x14ac:dyDescent="0.25">
      <c r="A896" s="4"/>
    </row>
    <row r="897" spans="1:1" ht="15.75" customHeight="1" x14ac:dyDescent="0.25">
      <c r="A897" s="4"/>
    </row>
    <row r="898" spans="1:1" ht="15.75" customHeight="1" x14ac:dyDescent="0.25">
      <c r="A898" s="4"/>
    </row>
    <row r="899" spans="1:1" ht="15.75" customHeight="1" x14ac:dyDescent="0.25">
      <c r="A899" s="4"/>
    </row>
    <row r="900" spans="1:1" ht="15.75" customHeight="1" x14ac:dyDescent="0.25">
      <c r="A900" s="4"/>
    </row>
    <row r="901" spans="1:1" ht="15.75" customHeight="1" x14ac:dyDescent="0.25">
      <c r="A901" s="4"/>
    </row>
    <row r="902" spans="1:1" ht="15.75" customHeight="1" x14ac:dyDescent="0.25">
      <c r="A902" s="4"/>
    </row>
    <row r="903" spans="1:1" ht="15.75" customHeight="1" x14ac:dyDescent="0.25">
      <c r="A903" s="4"/>
    </row>
    <row r="904" spans="1:1" ht="15.75" customHeight="1" x14ac:dyDescent="0.25">
      <c r="A904" s="4"/>
    </row>
    <row r="905" spans="1:1" ht="15.75" customHeight="1" x14ac:dyDescent="0.25">
      <c r="A905" s="4"/>
    </row>
    <row r="906" spans="1:1" ht="15.75" customHeight="1" x14ac:dyDescent="0.25">
      <c r="A906" s="4"/>
    </row>
    <row r="907" spans="1:1" ht="15.75" customHeight="1" x14ac:dyDescent="0.25">
      <c r="A907" s="4"/>
    </row>
    <row r="908" spans="1:1" ht="15.75" customHeight="1" x14ac:dyDescent="0.25">
      <c r="A908" s="4"/>
    </row>
    <row r="909" spans="1:1" ht="15.75" customHeight="1" x14ac:dyDescent="0.25">
      <c r="A909" s="4"/>
    </row>
    <row r="910" spans="1:1" ht="15.75" customHeight="1" x14ac:dyDescent="0.25">
      <c r="A910" s="4"/>
    </row>
    <row r="911" spans="1:1" ht="15.75" customHeight="1" x14ac:dyDescent="0.25">
      <c r="A911" s="4"/>
    </row>
    <row r="912" spans="1:1" ht="15.75" customHeight="1" x14ac:dyDescent="0.25">
      <c r="A912" s="4"/>
    </row>
    <row r="913" spans="1:1" ht="15.75" customHeight="1" x14ac:dyDescent="0.25">
      <c r="A913" s="4"/>
    </row>
    <row r="914" spans="1:1" ht="15.75" customHeight="1" x14ac:dyDescent="0.25">
      <c r="A914" s="4"/>
    </row>
    <row r="915" spans="1:1" ht="15.75" customHeight="1" x14ac:dyDescent="0.25">
      <c r="A915" s="4"/>
    </row>
    <row r="916" spans="1:1" ht="15.75" customHeight="1" x14ac:dyDescent="0.25">
      <c r="A916" s="4"/>
    </row>
    <row r="917" spans="1:1" ht="15.75" customHeight="1" x14ac:dyDescent="0.25">
      <c r="A917" s="4"/>
    </row>
    <row r="918" spans="1:1" ht="15.75" customHeight="1" x14ac:dyDescent="0.25">
      <c r="A918" s="4"/>
    </row>
    <row r="919" spans="1:1" ht="15.75" customHeight="1" x14ac:dyDescent="0.25">
      <c r="A919" s="4"/>
    </row>
    <row r="920" spans="1:1" ht="15.75" customHeight="1" x14ac:dyDescent="0.25">
      <c r="A920" s="4"/>
    </row>
    <row r="921" spans="1:1" ht="15.75" customHeight="1" x14ac:dyDescent="0.25">
      <c r="A921" s="4"/>
    </row>
    <row r="922" spans="1:1" ht="15.75" customHeight="1" x14ac:dyDescent="0.25">
      <c r="A922" s="4"/>
    </row>
    <row r="923" spans="1:1" ht="15.75" customHeight="1" x14ac:dyDescent="0.25">
      <c r="A923" s="4"/>
    </row>
    <row r="924" spans="1:1" ht="15.75" customHeight="1" x14ac:dyDescent="0.25">
      <c r="A924" s="4"/>
    </row>
    <row r="925" spans="1:1" ht="15.75" customHeight="1" x14ac:dyDescent="0.25">
      <c r="A925" s="4"/>
    </row>
    <row r="926" spans="1:1" ht="15.75" customHeight="1" x14ac:dyDescent="0.25">
      <c r="A926" s="4"/>
    </row>
    <row r="927" spans="1:1" ht="15.75" customHeight="1" x14ac:dyDescent="0.25">
      <c r="A927" s="4"/>
    </row>
    <row r="928" spans="1:1" ht="15.75" customHeight="1" x14ac:dyDescent="0.25">
      <c r="A928" s="4"/>
    </row>
    <row r="929" spans="1:1" ht="15.75" customHeight="1" x14ac:dyDescent="0.25">
      <c r="A929" s="4"/>
    </row>
    <row r="930" spans="1:1" ht="15.75" customHeight="1" x14ac:dyDescent="0.25">
      <c r="A930" s="4"/>
    </row>
    <row r="931" spans="1:1" ht="15.75" customHeight="1" x14ac:dyDescent="0.25">
      <c r="A931" s="4"/>
    </row>
    <row r="932" spans="1:1" ht="15.75" customHeight="1" x14ac:dyDescent="0.25">
      <c r="A932" s="4"/>
    </row>
    <row r="933" spans="1:1" ht="15.75" customHeight="1" x14ac:dyDescent="0.25">
      <c r="A933" s="4"/>
    </row>
    <row r="934" spans="1:1" ht="15.75" customHeight="1" x14ac:dyDescent="0.25">
      <c r="A934" s="4"/>
    </row>
    <row r="935" spans="1:1" ht="15.75" customHeight="1" x14ac:dyDescent="0.25">
      <c r="A935" s="4"/>
    </row>
    <row r="936" spans="1:1" ht="15.75" customHeight="1" x14ac:dyDescent="0.25">
      <c r="A936" s="4"/>
    </row>
    <row r="937" spans="1:1" ht="15.75" customHeight="1" x14ac:dyDescent="0.25">
      <c r="A937" s="4"/>
    </row>
    <row r="938" spans="1:1" ht="15.75" customHeight="1" x14ac:dyDescent="0.25">
      <c r="A938" s="4"/>
    </row>
    <row r="939" spans="1:1" ht="15.75" customHeight="1" x14ac:dyDescent="0.25">
      <c r="A939" s="4"/>
    </row>
    <row r="940" spans="1:1" ht="15.75" customHeight="1" x14ac:dyDescent="0.25">
      <c r="A940" s="4"/>
    </row>
    <row r="941" spans="1:1" ht="15.75" customHeight="1" x14ac:dyDescent="0.25">
      <c r="A941" s="4"/>
    </row>
    <row r="942" spans="1:1" ht="15.75" customHeight="1" x14ac:dyDescent="0.25">
      <c r="A942" s="4"/>
    </row>
    <row r="943" spans="1:1" ht="15.75" customHeight="1" x14ac:dyDescent="0.25">
      <c r="A943" s="4"/>
    </row>
    <row r="944" spans="1:1" ht="15.75" customHeight="1" x14ac:dyDescent="0.25">
      <c r="A944" s="4"/>
    </row>
    <row r="945" spans="1:1" ht="15.75" customHeight="1" x14ac:dyDescent="0.25">
      <c r="A945" s="4"/>
    </row>
    <row r="946" spans="1:1" ht="15.75" customHeight="1" x14ac:dyDescent="0.25">
      <c r="A946" s="4"/>
    </row>
    <row r="947" spans="1:1" ht="15.75" customHeight="1" x14ac:dyDescent="0.25">
      <c r="A947" s="4"/>
    </row>
    <row r="948" spans="1:1" ht="15.75" customHeight="1" x14ac:dyDescent="0.25">
      <c r="A948" s="4"/>
    </row>
    <row r="949" spans="1:1" ht="15.75" customHeight="1" x14ac:dyDescent="0.25">
      <c r="A949" s="4"/>
    </row>
    <row r="950" spans="1:1" ht="15.75" customHeight="1" x14ac:dyDescent="0.25">
      <c r="A950" s="4"/>
    </row>
    <row r="951" spans="1:1" ht="15.75" customHeight="1" x14ac:dyDescent="0.25">
      <c r="A951" s="4"/>
    </row>
    <row r="952" spans="1:1" ht="15.75" customHeight="1" x14ac:dyDescent="0.25">
      <c r="A952" s="4"/>
    </row>
    <row r="953" spans="1:1" ht="15.75" customHeight="1" x14ac:dyDescent="0.25">
      <c r="A953" s="4"/>
    </row>
    <row r="954" spans="1:1" ht="15.75" customHeight="1" x14ac:dyDescent="0.25">
      <c r="A954" s="4"/>
    </row>
    <row r="955" spans="1:1" ht="15.75" customHeight="1" x14ac:dyDescent="0.25">
      <c r="A955" s="4"/>
    </row>
    <row r="956" spans="1:1" ht="15.75" customHeight="1" x14ac:dyDescent="0.25">
      <c r="A956" s="4"/>
    </row>
    <row r="957" spans="1:1" ht="15.75" customHeight="1" x14ac:dyDescent="0.25">
      <c r="A957" s="4"/>
    </row>
    <row r="958" spans="1:1" ht="15.75" customHeight="1" x14ac:dyDescent="0.25">
      <c r="A958" s="4"/>
    </row>
    <row r="959" spans="1:1" ht="15.75" customHeight="1" x14ac:dyDescent="0.25">
      <c r="A959" s="4"/>
    </row>
    <row r="960" spans="1:1" ht="15.75" customHeight="1" x14ac:dyDescent="0.25">
      <c r="A960" s="4"/>
    </row>
    <row r="961" spans="1:1" ht="15.75" customHeight="1" x14ac:dyDescent="0.25">
      <c r="A961" s="4"/>
    </row>
    <row r="962" spans="1:1" ht="15.75" customHeight="1" x14ac:dyDescent="0.25">
      <c r="A962" s="4"/>
    </row>
    <row r="963" spans="1:1" ht="15.75" customHeight="1" x14ac:dyDescent="0.25">
      <c r="A963" s="4"/>
    </row>
    <row r="964" spans="1:1" ht="15.75" customHeight="1" x14ac:dyDescent="0.25">
      <c r="A964" s="4"/>
    </row>
    <row r="965" spans="1:1" ht="15.75" customHeight="1" x14ac:dyDescent="0.25">
      <c r="A965" s="4"/>
    </row>
    <row r="966" spans="1:1" ht="15.75" customHeight="1" x14ac:dyDescent="0.25">
      <c r="A966" s="4"/>
    </row>
    <row r="967" spans="1:1" ht="15.75" customHeight="1" x14ac:dyDescent="0.25">
      <c r="A967" s="4"/>
    </row>
    <row r="968" spans="1:1" ht="15.75" customHeight="1" x14ac:dyDescent="0.25">
      <c r="A968" s="4"/>
    </row>
    <row r="969" spans="1:1" ht="15.75" customHeight="1" x14ac:dyDescent="0.25">
      <c r="A969" s="4"/>
    </row>
    <row r="970" spans="1:1" ht="15.75" customHeight="1" x14ac:dyDescent="0.25">
      <c r="A970" s="4"/>
    </row>
    <row r="971" spans="1:1" ht="15.75" customHeight="1" x14ac:dyDescent="0.25">
      <c r="A971" s="4"/>
    </row>
    <row r="972" spans="1:1" ht="15.75" customHeight="1" x14ac:dyDescent="0.25">
      <c r="A972" s="4"/>
    </row>
    <row r="973" spans="1:1" ht="15.75" customHeight="1" x14ac:dyDescent="0.25">
      <c r="A973" s="4"/>
    </row>
    <row r="974" spans="1:1" ht="15.75" customHeight="1" x14ac:dyDescent="0.25">
      <c r="A974" s="4"/>
    </row>
    <row r="975" spans="1:1" ht="15.75" customHeight="1" x14ac:dyDescent="0.25">
      <c r="A975" s="4"/>
    </row>
    <row r="976" spans="1:1" ht="15.75" customHeight="1" x14ac:dyDescent="0.25">
      <c r="A976" s="4"/>
    </row>
    <row r="977" spans="1:1" ht="15.75" customHeight="1" x14ac:dyDescent="0.25">
      <c r="A977" s="4"/>
    </row>
    <row r="978" spans="1:1" ht="15.75" customHeight="1" x14ac:dyDescent="0.25">
      <c r="A978" s="4"/>
    </row>
    <row r="979" spans="1:1" ht="15.75" customHeight="1" x14ac:dyDescent="0.25">
      <c r="A979" s="4"/>
    </row>
    <row r="980" spans="1:1" ht="15.75" customHeight="1" x14ac:dyDescent="0.25">
      <c r="A980" s="4"/>
    </row>
    <row r="981" spans="1:1" ht="15.75" customHeight="1" x14ac:dyDescent="0.25">
      <c r="A981" s="4"/>
    </row>
    <row r="982" spans="1:1" ht="15.75" customHeight="1" x14ac:dyDescent="0.25">
      <c r="A982" s="4"/>
    </row>
    <row r="983" spans="1:1" ht="15.75" customHeight="1" x14ac:dyDescent="0.25">
      <c r="A983" s="4"/>
    </row>
    <row r="984" spans="1:1" ht="15.75" customHeight="1" x14ac:dyDescent="0.25">
      <c r="A984" s="4"/>
    </row>
    <row r="985" spans="1:1" ht="15.75" customHeight="1" x14ac:dyDescent="0.25">
      <c r="A985" s="4"/>
    </row>
    <row r="986" spans="1:1" ht="15.75" customHeight="1" x14ac:dyDescent="0.25">
      <c r="A986" s="4"/>
    </row>
    <row r="987" spans="1:1" ht="15.75" customHeight="1" x14ac:dyDescent="0.25">
      <c r="A987" s="4"/>
    </row>
    <row r="988" spans="1:1" ht="15.75" customHeight="1" x14ac:dyDescent="0.25">
      <c r="A988" s="4"/>
    </row>
    <row r="989" spans="1:1" ht="15.75" customHeight="1" x14ac:dyDescent="0.25">
      <c r="A989" s="4"/>
    </row>
    <row r="990" spans="1:1" ht="15.75" customHeight="1" x14ac:dyDescent="0.25">
      <c r="A990" s="4"/>
    </row>
    <row r="991" spans="1:1" ht="15.75" customHeight="1" x14ac:dyDescent="0.25">
      <c r="A991" s="4"/>
    </row>
    <row r="992" spans="1:1" ht="15.75" customHeight="1" x14ac:dyDescent="0.25">
      <c r="A992" s="4"/>
    </row>
    <row r="993" spans="1:1" ht="15.75" customHeight="1" x14ac:dyDescent="0.25">
      <c r="A993" s="4"/>
    </row>
    <row r="994" spans="1:1" ht="15.75" customHeight="1" x14ac:dyDescent="0.25">
      <c r="A994" s="4"/>
    </row>
    <row r="995" spans="1:1" ht="15.75" customHeight="1" x14ac:dyDescent="0.25">
      <c r="A995" s="4"/>
    </row>
    <row r="996" spans="1:1" ht="15.75" customHeight="1" x14ac:dyDescent="0.25">
      <c r="A996" s="4"/>
    </row>
    <row r="997" spans="1:1" ht="15.75" customHeight="1" x14ac:dyDescent="0.25">
      <c r="A997" s="4"/>
    </row>
    <row r="998" spans="1:1" ht="15.75" customHeight="1" x14ac:dyDescent="0.25">
      <c r="A998" s="4"/>
    </row>
    <row r="999" spans="1:1" ht="15.75" customHeight="1" x14ac:dyDescent="0.25">
      <c r="A999" s="4"/>
    </row>
    <row r="1000" spans="1:1" ht="15.75" customHeight="1" x14ac:dyDescent="0.25">
      <c r="A1000" s="4"/>
    </row>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4.42578125" defaultRowHeight="15" customHeight="1" x14ac:dyDescent="0.25"/>
  <cols>
    <col min="1" max="1" width="52" customWidth="1"/>
    <col min="2" max="2" width="14" customWidth="1"/>
    <col min="3" max="4" width="46" customWidth="1"/>
    <col min="5" max="5" width="36" customWidth="1"/>
    <col min="6" max="26" width="8.7109375" customWidth="1"/>
  </cols>
  <sheetData>
    <row r="1" spans="1:5" ht="17.25" customHeight="1" x14ac:dyDescent="0.25">
      <c r="A1" s="1" t="s">
        <v>5</v>
      </c>
      <c r="B1" s="4"/>
      <c r="C1" s="4"/>
      <c r="D1" s="4"/>
      <c r="E1" s="4"/>
    </row>
    <row r="2" spans="1:5" ht="15" customHeight="1" x14ac:dyDescent="0.25">
      <c r="A2" s="5" t="s">
        <v>10</v>
      </c>
      <c r="B2" s="4"/>
      <c r="C2" s="4"/>
      <c r="D2" s="4"/>
      <c r="E2" s="4"/>
    </row>
    <row r="3" spans="1:5" x14ac:dyDescent="0.25">
      <c r="A3" s="4"/>
      <c r="B3" s="4"/>
      <c r="C3" s="4"/>
      <c r="D3" s="4"/>
      <c r="E3" s="4"/>
    </row>
    <row r="4" spans="1:5" ht="26.25" customHeight="1" x14ac:dyDescent="0.25">
      <c r="A4" s="6" t="s">
        <v>15</v>
      </c>
      <c r="B4" s="6" t="s">
        <v>18</v>
      </c>
      <c r="C4" s="6" t="s">
        <v>19</v>
      </c>
      <c r="D4" s="6" t="s">
        <v>20</v>
      </c>
      <c r="E4" s="6" t="s">
        <v>22</v>
      </c>
    </row>
    <row r="5" spans="1:5" ht="33.75" customHeight="1" x14ac:dyDescent="0.25">
      <c r="A5" s="10" t="s">
        <v>24</v>
      </c>
      <c r="B5" s="12" t="s">
        <v>655</v>
      </c>
      <c r="C5" s="10" t="s">
        <v>26</v>
      </c>
      <c r="D5" s="10" t="s">
        <v>27</v>
      </c>
      <c r="E5" s="12" t="s">
        <v>656</v>
      </c>
    </row>
    <row r="6" spans="1:5" ht="33.75" customHeight="1" x14ac:dyDescent="0.25">
      <c r="A6" s="10" t="s">
        <v>28</v>
      </c>
      <c r="B6" s="12" t="s">
        <v>655</v>
      </c>
      <c r="C6" s="10" t="s">
        <v>29</v>
      </c>
      <c r="D6" s="10" t="s">
        <v>30</v>
      </c>
      <c r="E6" s="12" t="s">
        <v>657</v>
      </c>
    </row>
    <row r="7" spans="1:5" ht="33.75" customHeight="1" x14ac:dyDescent="0.25">
      <c r="A7" s="10" t="s">
        <v>31</v>
      </c>
      <c r="B7" s="12" t="s">
        <v>655</v>
      </c>
      <c r="C7" s="10" t="s">
        <v>32</v>
      </c>
      <c r="D7" s="10" t="s">
        <v>33</v>
      </c>
      <c r="E7" s="12" t="s">
        <v>658</v>
      </c>
    </row>
    <row r="8" spans="1:5" ht="33.75" customHeight="1" x14ac:dyDescent="0.25">
      <c r="A8" s="10" t="s">
        <v>34</v>
      </c>
      <c r="B8" s="12" t="s">
        <v>655</v>
      </c>
      <c r="C8" s="10" t="s">
        <v>35</v>
      </c>
      <c r="D8" s="10" t="s">
        <v>36</v>
      </c>
      <c r="E8" s="12" t="s">
        <v>659</v>
      </c>
    </row>
    <row r="9" spans="1:5" ht="33.75" customHeight="1" x14ac:dyDescent="0.25">
      <c r="A9" s="10" t="s">
        <v>37</v>
      </c>
      <c r="B9" s="12" t="s">
        <v>655</v>
      </c>
      <c r="C9" s="10" t="s">
        <v>38</v>
      </c>
      <c r="D9" s="10" t="s">
        <v>39</v>
      </c>
      <c r="E9" s="12" t="s">
        <v>660</v>
      </c>
    </row>
    <row r="10" spans="1:5" ht="61.5" customHeight="1" x14ac:dyDescent="0.25">
      <c r="A10" s="10" t="s">
        <v>40</v>
      </c>
      <c r="B10" s="12" t="s">
        <v>655</v>
      </c>
      <c r="C10" s="10" t="s">
        <v>41</v>
      </c>
      <c r="D10" s="10" t="s">
        <v>42</v>
      </c>
      <c r="E10" s="12" t="s">
        <v>661</v>
      </c>
    </row>
    <row r="11" spans="1:5" x14ac:dyDescent="0.25">
      <c r="A11" s="4"/>
      <c r="B11" s="4"/>
      <c r="C11" s="4"/>
      <c r="D11" s="4"/>
      <c r="E11" s="4"/>
    </row>
    <row r="12" spans="1:5" ht="15" customHeight="1" x14ac:dyDescent="0.25">
      <c r="A12" s="7" t="s">
        <v>43</v>
      </c>
      <c r="B12" s="9">
        <f>COUNTIF(B5:B10,"Có")</f>
        <v>0</v>
      </c>
      <c r="C12" s="4"/>
      <c r="D12" s="4"/>
      <c r="E12" s="4"/>
    </row>
    <row r="13" spans="1:5" ht="15" customHeight="1" x14ac:dyDescent="0.25">
      <c r="A13" s="5" t="s">
        <v>44</v>
      </c>
      <c r="B13" s="4"/>
      <c r="C13" s="4"/>
      <c r="D13" s="4"/>
      <c r="E13" s="4"/>
    </row>
    <row r="14" spans="1:5" x14ac:dyDescent="0.25">
      <c r="A14" s="4"/>
      <c r="B14" s="4"/>
      <c r="C14" s="4"/>
      <c r="D14" s="4"/>
      <c r="E14" s="4"/>
    </row>
    <row r="15" spans="1:5" x14ac:dyDescent="0.25">
      <c r="A15" s="4"/>
      <c r="B15" s="4"/>
      <c r="C15" s="4"/>
      <c r="D15" s="4"/>
      <c r="E15" s="4"/>
    </row>
    <row r="16" spans="1:5" x14ac:dyDescent="0.25">
      <c r="A16" s="4"/>
      <c r="B16" s="4"/>
      <c r="C16" s="4"/>
      <c r="D16" s="4"/>
      <c r="E16" s="4"/>
    </row>
    <row r="17" spans="1:5" x14ac:dyDescent="0.25">
      <c r="A17" s="4"/>
      <c r="B17" s="4"/>
      <c r="C17" s="4"/>
      <c r="D17" s="4"/>
      <c r="E17" s="4"/>
    </row>
    <row r="18" spans="1:5" x14ac:dyDescent="0.25">
      <c r="A18" s="4"/>
      <c r="B18" s="4"/>
      <c r="C18" s="4"/>
      <c r="D18" s="4"/>
      <c r="E18" s="4"/>
    </row>
    <row r="19" spans="1:5" x14ac:dyDescent="0.25">
      <c r="A19" s="4"/>
      <c r="B19" s="4"/>
      <c r="C19" s="4"/>
      <c r="D19" s="4"/>
      <c r="E19" s="4"/>
    </row>
    <row r="20" spans="1:5" x14ac:dyDescent="0.25">
      <c r="A20" s="4"/>
      <c r="B20" s="4"/>
      <c r="C20" s="4"/>
      <c r="D20" s="4"/>
      <c r="E20" s="4"/>
    </row>
    <row r="21" spans="1:5" ht="15.75" customHeight="1" x14ac:dyDescent="0.25">
      <c r="A21" s="4"/>
      <c r="B21" s="4"/>
      <c r="C21" s="4"/>
      <c r="D21" s="4"/>
      <c r="E21" s="4"/>
    </row>
    <row r="22" spans="1:5" ht="15.75" customHeight="1" x14ac:dyDescent="0.25">
      <c r="A22" s="4"/>
      <c r="B22" s="4"/>
      <c r="C22" s="4"/>
      <c r="D22" s="4"/>
      <c r="E22" s="4"/>
    </row>
    <row r="23" spans="1:5" ht="15.75" customHeight="1" x14ac:dyDescent="0.25">
      <c r="A23" s="4"/>
      <c r="B23" s="4"/>
      <c r="C23" s="4"/>
      <c r="D23" s="4"/>
      <c r="E23" s="4"/>
    </row>
    <row r="24" spans="1:5" ht="15.75" customHeight="1" x14ac:dyDescent="0.25">
      <c r="A24" s="4"/>
      <c r="B24" s="4"/>
      <c r="C24" s="4"/>
      <c r="D24" s="4"/>
      <c r="E24" s="4"/>
    </row>
    <row r="25" spans="1:5" ht="15.75" customHeight="1" x14ac:dyDescent="0.25">
      <c r="A25" s="4"/>
      <c r="B25" s="4"/>
      <c r="C25" s="4"/>
      <c r="D25" s="4"/>
      <c r="E25" s="4"/>
    </row>
    <row r="26" spans="1:5" ht="15.75" customHeight="1" x14ac:dyDescent="0.25">
      <c r="A26" s="4"/>
      <c r="B26" s="4"/>
      <c r="C26" s="4"/>
      <c r="D26" s="4"/>
      <c r="E26" s="4"/>
    </row>
    <row r="27" spans="1:5" ht="15.75" customHeight="1" x14ac:dyDescent="0.25">
      <c r="A27" s="4"/>
      <c r="B27" s="4"/>
      <c r="C27" s="4"/>
      <c r="D27" s="4"/>
      <c r="E27" s="4"/>
    </row>
    <row r="28" spans="1:5" ht="15.75" customHeight="1" x14ac:dyDescent="0.25">
      <c r="A28" s="4"/>
      <c r="B28" s="4"/>
      <c r="C28" s="4"/>
      <c r="D28" s="4"/>
      <c r="E28" s="4"/>
    </row>
    <row r="29" spans="1:5" ht="15.75" customHeight="1" x14ac:dyDescent="0.25">
      <c r="A29" s="4"/>
      <c r="B29" s="4"/>
      <c r="C29" s="4"/>
      <c r="D29" s="4"/>
      <c r="E29" s="4"/>
    </row>
    <row r="30" spans="1:5" ht="15.75" customHeight="1" x14ac:dyDescent="0.25">
      <c r="A30" s="4"/>
      <c r="B30" s="4"/>
      <c r="C30" s="4"/>
      <c r="D30" s="4"/>
      <c r="E30" s="4"/>
    </row>
    <row r="31" spans="1:5" ht="15.75" customHeight="1" x14ac:dyDescent="0.25">
      <c r="A31" s="4"/>
      <c r="B31" s="4"/>
      <c r="C31" s="4"/>
      <c r="D31" s="4"/>
      <c r="E31" s="4"/>
    </row>
    <row r="32" spans="1:5" ht="15.75" customHeight="1" x14ac:dyDescent="0.25">
      <c r="A32" s="4"/>
      <c r="B32" s="4"/>
      <c r="C32" s="4"/>
      <c r="D32" s="4"/>
      <c r="E32" s="4"/>
    </row>
    <row r="33" spans="1:5" ht="15.75" customHeight="1" x14ac:dyDescent="0.25">
      <c r="A33" s="4"/>
      <c r="B33" s="4"/>
      <c r="C33" s="4"/>
      <c r="D33" s="4"/>
      <c r="E33" s="4"/>
    </row>
    <row r="34" spans="1:5" ht="15.75" customHeight="1" x14ac:dyDescent="0.25">
      <c r="A34" s="4"/>
      <c r="B34" s="4"/>
      <c r="C34" s="4"/>
      <c r="D34" s="4"/>
      <c r="E34" s="4"/>
    </row>
    <row r="35" spans="1:5" ht="15.75" customHeight="1" x14ac:dyDescent="0.25">
      <c r="A35" s="4"/>
      <c r="B35" s="4"/>
      <c r="C35" s="4"/>
      <c r="D35" s="4"/>
      <c r="E35" s="4"/>
    </row>
    <row r="36" spans="1:5" ht="15.75" customHeight="1" x14ac:dyDescent="0.25">
      <c r="A36" s="4"/>
      <c r="B36" s="4"/>
      <c r="C36" s="4"/>
      <c r="D36" s="4"/>
      <c r="E36" s="4"/>
    </row>
    <row r="37" spans="1:5" ht="15.75" customHeight="1" x14ac:dyDescent="0.25">
      <c r="A37" s="4"/>
      <c r="B37" s="4"/>
      <c r="C37" s="4"/>
      <c r="D37" s="4"/>
      <c r="E37" s="4"/>
    </row>
    <row r="38" spans="1:5" ht="15.75" customHeight="1" x14ac:dyDescent="0.25">
      <c r="A38" s="4"/>
      <c r="B38" s="4"/>
      <c r="C38" s="4"/>
      <c r="D38" s="4"/>
      <c r="E38" s="4"/>
    </row>
    <row r="39" spans="1:5" ht="15.75" customHeight="1" x14ac:dyDescent="0.25">
      <c r="A39" s="4"/>
      <c r="B39" s="4"/>
      <c r="C39" s="4"/>
      <c r="D39" s="4"/>
      <c r="E39" s="4"/>
    </row>
    <row r="40" spans="1:5" ht="15.75" customHeight="1" x14ac:dyDescent="0.25">
      <c r="A40" s="4"/>
      <c r="B40" s="4"/>
      <c r="C40" s="4"/>
      <c r="D40" s="4"/>
      <c r="E40" s="4"/>
    </row>
    <row r="41" spans="1:5" ht="15.75" customHeight="1" x14ac:dyDescent="0.25">
      <c r="A41" s="4"/>
      <c r="B41" s="4"/>
      <c r="C41" s="4"/>
      <c r="D41" s="4"/>
      <c r="E41" s="4"/>
    </row>
    <row r="42" spans="1:5" ht="15.75" customHeight="1" x14ac:dyDescent="0.25">
      <c r="A42" s="4"/>
      <c r="B42" s="4"/>
      <c r="C42" s="4"/>
      <c r="D42" s="4"/>
      <c r="E42" s="4"/>
    </row>
    <row r="43" spans="1:5" ht="15.75" customHeight="1" x14ac:dyDescent="0.25">
      <c r="A43" s="4"/>
      <c r="B43" s="4"/>
      <c r="C43" s="4"/>
      <c r="D43" s="4"/>
      <c r="E43" s="4"/>
    </row>
    <row r="44" spans="1:5" ht="15.75" customHeight="1" x14ac:dyDescent="0.25">
      <c r="A44" s="4"/>
      <c r="B44" s="4"/>
      <c r="C44" s="4"/>
      <c r="D44" s="4"/>
      <c r="E44" s="4"/>
    </row>
    <row r="45" spans="1:5" ht="15.75" customHeight="1" x14ac:dyDescent="0.25">
      <c r="A45" s="4"/>
      <c r="B45" s="4"/>
      <c r="C45" s="4"/>
      <c r="D45" s="4"/>
      <c r="E45" s="4"/>
    </row>
    <row r="46" spans="1:5" ht="15.75" customHeight="1" x14ac:dyDescent="0.25">
      <c r="A46" s="4"/>
      <c r="B46" s="4"/>
      <c r="C46" s="4"/>
      <c r="D46" s="4"/>
      <c r="E46" s="4"/>
    </row>
    <row r="47" spans="1:5" ht="15.75" customHeight="1" x14ac:dyDescent="0.25">
      <c r="A47" s="4"/>
      <c r="B47" s="4"/>
      <c r="C47" s="4"/>
      <c r="D47" s="4"/>
      <c r="E47" s="4"/>
    </row>
    <row r="48" spans="1:5" ht="15.75" customHeight="1" x14ac:dyDescent="0.25">
      <c r="A48" s="4"/>
      <c r="B48" s="4"/>
      <c r="C48" s="4"/>
      <c r="D48" s="4"/>
      <c r="E48" s="4"/>
    </row>
    <row r="49" spans="1:5" ht="15.75" customHeight="1" x14ac:dyDescent="0.25">
      <c r="A49" s="4"/>
      <c r="B49" s="4"/>
      <c r="C49" s="4"/>
      <c r="D49" s="4"/>
      <c r="E49" s="4"/>
    </row>
    <row r="50" spans="1:5" ht="15.75" customHeight="1" x14ac:dyDescent="0.25">
      <c r="A50" s="4"/>
      <c r="B50" s="4"/>
      <c r="C50" s="4"/>
      <c r="D50" s="4"/>
      <c r="E50" s="4"/>
    </row>
    <row r="51" spans="1:5" ht="15.75" customHeight="1" x14ac:dyDescent="0.25">
      <c r="A51" s="4"/>
      <c r="B51" s="4"/>
      <c r="C51" s="4"/>
      <c r="D51" s="4"/>
      <c r="E51" s="4"/>
    </row>
    <row r="52" spans="1:5" ht="15.75" customHeight="1" x14ac:dyDescent="0.25">
      <c r="A52" s="4"/>
      <c r="B52" s="4"/>
      <c r="C52" s="4"/>
      <c r="D52" s="4"/>
      <c r="E52" s="4"/>
    </row>
    <row r="53" spans="1:5" ht="15.75" customHeight="1" x14ac:dyDescent="0.25">
      <c r="A53" s="4"/>
      <c r="B53" s="4"/>
      <c r="C53" s="4"/>
      <c r="D53" s="4"/>
      <c r="E53" s="4"/>
    </row>
    <row r="54" spans="1:5" ht="15.75" customHeight="1" x14ac:dyDescent="0.25">
      <c r="A54" s="4"/>
      <c r="B54" s="4"/>
      <c r="C54" s="4"/>
      <c r="D54" s="4"/>
      <c r="E54" s="4"/>
    </row>
    <row r="55" spans="1:5" ht="15.75" customHeight="1" x14ac:dyDescent="0.25">
      <c r="A55" s="4"/>
      <c r="B55" s="4"/>
      <c r="C55" s="4"/>
      <c r="D55" s="4"/>
      <c r="E55" s="4"/>
    </row>
    <row r="56" spans="1:5" ht="15.75" customHeight="1" x14ac:dyDescent="0.25">
      <c r="A56" s="4"/>
      <c r="B56" s="4"/>
      <c r="C56" s="4"/>
      <c r="D56" s="4"/>
      <c r="E56" s="4"/>
    </row>
    <row r="57" spans="1:5" ht="15.75" customHeight="1" x14ac:dyDescent="0.25">
      <c r="A57" s="4"/>
      <c r="B57" s="4"/>
      <c r="C57" s="4"/>
      <c r="D57" s="4"/>
      <c r="E57" s="4"/>
    </row>
    <row r="58" spans="1:5" ht="15.75" customHeight="1" x14ac:dyDescent="0.25">
      <c r="A58" s="4"/>
      <c r="B58" s="4"/>
      <c r="C58" s="4"/>
      <c r="D58" s="4"/>
      <c r="E58" s="4"/>
    </row>
    <row r="59" spans="1:5" ht="15.75" customHeight="1" x14ac:dyDescent="0.25">
      <c r="A59" s="4"/>
      <c r="B59" s="4"/>
      <c r="C59" s="4"/>
      <c r="D59" s="4"/>
      <c r="E59" s="4"/>
    </row>
    <row r="60" spans="1:5" ht="15.75" customHeight="1" x14ac:dyDescent="0.25">
      <c r="A60" s="4"/>
      <c r="B60" s="4"/>
      <c r="C60" s="4"/>
      <c r="D60" s="4"/>
      <c r="E60" s="4"/>
    </row>
    <row r="61" spans="1:5" ht="15.75" customHeight="1" x14ac:dyDescent="0.25">
      <c r="A61" s="4"/>
      <c r="B61" s="4"/>
      <c r="C61" s="4"/>
      <c r="D61" s="4"/>
      <c r="E61" s="4"/>
    </row>
    <row r="62" spans="1:5" ht="15.75" customHeight="1" x14ac:dyDescent="0.25">
      <c r="A62" s="4"/>
      <c r="B62" s="4"/>
      <c r="C62" s="4"/>
      <c r="D62" s="4"/>
      <c r="E62" s="4"/>
    </row>
    <row r="63" spans="1:5" ht="15.75" customHeight="1" x14ac:dyDescent="0.25">
      <c r="A63" s="4"/>
      <c r="B63" s="4"/>
      <c r="C63" s="4"/>
      <c r="D63" s="4"/>
      <c r="E63" s="4"/>
    </row>
    <row r="64" spans="1:5" ht="15.75" customHeight="1" x14ac:dyDescent="0.25">
      <c r="A64" s="4"/>
      <c r="B64" s="4"/>
      <c r="C64" s="4"/>
      <c r="D64" s="4"/>
      <c r="E64" s="4"/>
    </row>
    <row r="65" spans="1:5" ht="15.75" customHeight="1" x14ac:dyDescent="0.25">
      <c r="A65" s="4"/>
      <c r="B65" s="4"/>
      <c r="C65" s="4"/>
      <c r="D65" s="4"/>
      <c r="E65" s="4"/>
    </row>
    <row r="66" spans="1:5" ht="15.75" customHeight="1" x14ac:dyDescent="0.25">
      <c r="A66" s="4"/>
      <c r="B66" s="4"/>
      <c r="C66" s="4"/>
      <c r="D66" s="4"/>
      <c r="E66" s="4"/>
    </row>
    <row r="67" spans="1:5" ht="15.75" customHeight="1" x14ac:dyDescent="0.25">
      <c r="A67" s="4"/>
      <c r="B67" s="4"/>
      <c r="C67" s="4"/>
      <c r="D67" s="4"/>
      <c r="E67" s="4"/>
    </row>
    <row r="68" spans="1:5" ht="15.75" customHeight="1" x14ac:dyDescent="0.25">
      <c r="A68" s="4"/>
      <c r="B68" s="4"/>
      <c r="C68" s="4"/>
      <c r="D68" s="4"/>
      <c r="E68" s="4"/>
    </row>
    <row r="69" spans="1:5" ht="15.75" customHeight="1" x14ac:dyDescent="0.25">
      <c r="A69" s="4"/>
      <c r="B69" s="4"/>
      <c r="C69" s="4"/>
      <c r="D69" s="4"/>
      <c r="E69" s="4"/>
    </row>
    <row r="70" spans="1:5" ht="15.75" customHeight="1" x14ac:dyDescent="0.25">
      <c r="A70" s="4"/>
      <c r="B70" s="4"/>
      <c r="C70" s="4"/>
      <c r="D70" s="4"/>
      <c r="E70" s="4"/>
    </row>
    <row r="71" spans="1:5" ht="15.75" customHeight="1" x14ac:dyDescent="0.25">
      <c r="A71" s="4"/>
      <c r="B71" s="4"/>
      <c r="C71" s="4"/>
      <c r="D71" s="4"/>
      <c r="E71" s="4"/>
    </row>
    <row r="72" spans="1:5" ht="15.75" customHeight="1" x14ac:dyDescent="0.25">
      <c r="A72" s="4"/>
      <c r="B72" s="4"/>
      <c r="C72" s="4"/>
      <c r="D72" s="4"/>
      <c r="E72" s="4"/>
    </row>
    <row r="73" spans="1:5" ht="15.75" customHeight="1" x14ac:dyDescent="0.25">
      <c r="A73" s="4"/>
      <c r="B73" s="4"/>
      <c r="C73" s="4"/>
      <c r="D73" s="4"/>
      <c r="E73" s="4"/>
    </row>
    <row r="74" spans="1:5" ht="15.75" customHeight="1" x14ac:dyDescent="0.25">
      <c r="A74" s="4"/>
      <c r="B74" s="4"/>
      <c r="C74" s="4"/>
      <c r="D74" s="4"/>
      <c r="E74" s="4"/>
    </row>
    <row r="75" spans="1:5" ht="15.75" customHeight="1" x14ac:dyDescent="0.25">
      <c r="A75" s="4"/>
      <c r="B75" s="4"/>
      <c r="C75" s="4"/>
      <c r="D75" s="4"/>
      <c r="E75" s="4"/>
    </row>
    <row r="76" spans="1:5" ht="15.75" customHeight="1" x14ac:dyDescent="0.25">
      <c r="A76" s="4"/>
      <c r="B76" s="4"/>
      <c r="C76" s="4"/>
      <c r="D76" s="4"/>
      <c r="E76" s="4"/>
    </row>
    <row r="77" spans="1:5" ht="15.75" customHeight="1" x14ac:dyDescent="0.25">
      <c r="A77" s="4"/>
      <c r="B77" s="4"/>
      <c r="C77" s="4"/>
      <c r="D77" s="4"/>
      <c r="E77" s="4"/>
    </row>
    <row r="78" spans="1:5" ht="15.75" customHeight="1" x14ac:dyDescent="0.25">
      <c r="A78" s="4"/>
      <c r="B78" s="4"/>
      <c r="C78" s="4"/>
      <c r="D78" s="4"/>
      <c r="E78" s="4"/>
    </row>
    <row r="79" spans="1:5" ht="15.75" customHeight="1" x14ac:dyDescent="0.25">
      <c r="A79" s="4"/>
      <c r="B79" s="4"/>
      <c r="C79" s="4"/>
      <c r="D79" s="4"/>
      <c r="E79" s="4"/>
    </row>
    <row r="80" spans="1:5" ht="15.75" customHeight="1" x14ac:dyDescent="0.25">
      <c r="A80" s="4"/>
      <c r="B80" s="4"/>
      <c r="C80" s="4"/>
      <c r="D80" s="4"/>
      <c r="E80" s="4"/>
    </row>
    <row r="81" spans="1:5" ht="15.75" customHeight="1" x14ac:dyDescent="0.25">
      <c r="A81" s="4"/>
      <c r="B81" s="4"/>
      <c r="C81" s="4"/>
      <c r="D81" s="4"/>
      <c r="E81" s="4"/>
    </row>
    <row r="82" spans="1:5" ht="15.75" customHeight="1" x14ac:dyDescent="0.25">
      <c r="A82" s="4"/>
      <c r="B82" s="4"/>
      <c r="C82" s="4"/>
      <c r="D82" s="4"/>
      <c r="E82" s="4"/>
    </row>
    <row r="83" spans="1:5" ht="15.75" customHeight="1" x14ac:dyDescent="0.25">
      <c r="A83" s="4"/>
      <c r="B83" s="4"/>
      <c r="C83" s="4"/>
      <c r="D83" s="4"/>
      <c r="E83" s="4"/>
    </row>
    <row r="84" spans="1:5" ht="15.75" customHeight="1" x14ac:dyDescent="0.25">
      <c r="A84" s="4"/>
      <c r="B84" s="4"/>
      <c r="C84" s="4"/>
      <c r="D84" s="4"/>
      <c r="E84" s="4"/>
    </row>
    <row r="85" spans="1:5" ht="15.75" customHeight="1" x14ac:dyDescent="0.25">
      <c r="A85" s="4"/>
      <c r="B85" s="4"/>
      <c r="C85" s="4"/>
      <c r="D85" s="4"/>
      <c r="E85" s="4"/>
    </row>
    <row r="86" spans="1:5" ht="15.75" customHeight="1" x14ac:dyDescent="0.25">
      <c r="A86" s="4"/>
      <c r="B86" s="4"/>
      <c r="C86" s="4"/>
      <c r="D86" s="4"/>
      <c r="E86" s="4"/>
    </row>
    <row r="87" spans="1:5" ht="15.75" customHeight="1" x14ac:dyDescent="0.25">
      <c r="A87" s="4"/>
      <c r="B87" s="4"/>
      <c r="C87" s="4"/>
      <c r="D87" s="4"/>
      <c r="E87" s="4"/>
    </row>
    <row r="88" spans="1:5" ht="15.75" customHeight="1" x14ac:dyDescent="0.25">
      <c r="A88" s="4"/>
      <c r="B88" s="4"/>
      <c r="C88" s="4"/>
      <c r="D88" s="4"/>
      <c r="E88" s="4"/>
    </row>
    <row r="89" spans="1:5" ht="15.75" customHeight="1" x14ac:dyDescent="0.25">
      <c r="A89" s="4"/>
      <c r="B89" s="4"/>
      <c r="C89" s="4"/>
      <c r="D89" s="4"/>
      <c r="E89" s="4"/>
    </row>
    <row r="90" spans="1:5" ht="15.75" customHeight="1" x14ac:dyDescent="0.25">
      <c r="A90" s="4"/>
      <c r="B90" s="4"/>
      <c r="C90" s="4"/>
      <c r="D90" s="4"/>
      <c r="E90" s="4"/>
    </row>
    <row r="91" spans="1:5" ht="15.75" customHeight="1" x14ac:dyDescent="0.25">
      <c r="A91" s="4"/>
      <c r="B91" s="4"/>
      <c r="C91" s="4"/>
      <c r="D91" s="4"/>
      <c r="E91" s="4"/>
    </row>
    <row r="92" spans="1:5" ht="15.75" customHeight="1" x14ac:dyDescent="0.25">
      <c r="A92" s="4"/>
      <c r="B92" s="4"/>
      <c r="C92" s="4"/>
      <c r="D92" s="4"/>
      <c r="E92" s="4"/>
    </row>
    <row r="93" spans="1:5" ht="15.75" customHeight="1" x14ac:dyDescent="0.25">
      <c r="A93" s="4"/>
      <c r="B93" s="4"/>
      <c r="C93" s="4"/>
      <c r="D93" s="4"/>
      <c r="E93" s="4"/>
    </row>
    <row r="94" spans="1:5" ht="15.75" customHeight="1" x14ac:dyDescent="0.25">
      <c r="A94" s="4"/>
      <c r="B94" s="4"/>
      <c r="C94" s="4"/>
      <c r="D94" s="4"/>
      <c r="E94" s="4"/>
    </row>
    <row r="95" spans="1:5" ht="15.75" customHeight="1" x14ac:dyDescent="0.25">
      <c r="A95" s="4"/>
      <c r="B95" s="4"/>
      <c r="C95" s="4"/>
      <c r="D95" s="4"/>
      <c r="E95" s="4"/>
    </row>
    <row r="96" spans="1:5" ht="15.75" customHeight="1" x14ac:dyDescent="0.25">
      <c r="A96" s="4"/>
      <c r="B96" s="4"/>
      <c r="C96" s="4"/>
      <c r="D96" s="4"/>
      <c r="E96" s="4"/>
    </row>
    <row r="97" spans="1:5" ht="15.75" customHeight="1" x14ac:dyDescent="0.25">
      <c r="A97" s="4"/>
      <c r="B97" s="4"/>
      <c r="C97" s="4"/>
      <c r="D97" s="4"/>
      <c r="E97" s="4"/>
    </row>
    <row r="98" spans="1:5" ht="15.75" customHeight="1" x14ac:dyDescent="0.25">
      <c r="A98" s="4"/>
      <c r="B98" s="4"/>
      <c r="C98" s="4"/>
      <c r="D98" s="4"/>
      <c r="E98" s="4"/>
    </row>
    <row r="99" spans="1:5" ht="15.75" customHeight="1" x14ac:dyDescent="0.25">
      <c r="A99" s="4"/>
      <c r="B99" s="4"/>
      <c r="C99" s="4"/>
      <c r="D99" s="4"/>
      <c r="E99" s="4"/>
    </row>
    <row r="100" spans="1:5" ht="15.75" customHeight="1" x14ac:dyDescent="0.25">
      <c r="A100" s="4"/>
      <c r="B100" s="4"/>
      <c r="C100" s="4"/>
      <c r="D100" s="4"/>
      <c r="E100" s="4"/>
    </row>
    <row r="101" spans="1:5" ht="15.75" customHeight="1" x14ac:dyDescent="0.25">
      <c r="A101" s="4"/>
      <c r="B101" s="4"/>
      <c r="C101" s="4"/>
      <c r="D101" s="4"/>
      <c r="E101" s="4"/>
    </row>
    <row r="102" spans="1:5" ht="15.75" customHeight="1" x14ac:dyDescent="0.25">
      <c r="A102" s="4"/>
      <c r="B102" s="4"/>
      <c r="C102" s="4"/>
      <c r="D102" s="4"/>
      <c r="E102" s="4"/>
    </row>
    <row r="103" spans="1:5" ht="15.75" customHeight="1" x14ac:dyDescent="0.25">
      <c r="A103" s="4"/>
      <c r="B103" s="4"/>
      <c r="C103" s="4"/>
      <c r="D103" s="4"/>
      <c r="E103" s="4"/>
    </row>
    <row r="104" spans="1:5" ht="15.75" customHeight="1" x14ac:dyDescent="0.25">
      <c r="A104" s="4"/>
      <c r="B104" s="4"/>
      <c r="C104" s="4"/>
      <c r="D104" s="4"/>
      <c r="E104" s="4"/>
    </row>
    <row r="105" spans="1:5" ht="15.75" customHeight="1" x14ac:dyDescent="0.25">
      <c r="A105" s="4"/>
      <c r="B105" s="4"/>
      <c r="C105" s="4"/>
      <c r="D105" s="4"/>
      <c r="E105" s="4"/>
    </row>
    <row r="106" spans="1:5" ht="15.75" customHeight="1" x14ac:dyDescent="0.25">
      <c r="A106" s="4"/>
      <c r="B106" s="4"/>
      <c r="C106" s="4"/>
      <c r="D106" s="4"/>
      <c r="E106" s="4"/>
    </row>
    <row r="107" spans="1:5" ht="15.75" customHeight="1" x14ac:dyDescent="0.25">
      <c r="A107" s="4"/>
      <c r="B107" s="4"/>
      <c r="C107" s="4"/>
      <c r="D107" s="4"/>
      <c r="E107" s="4"/>
    </row>
    <row r="108" spans="1:5" ht="15.75" customHeight="1" x14ac:dyDescent="0.25">
      <c r="A108" s="4"/>
      <c r="B108" s="4"/>
      <c r="C108" s="4"/>
      <c r="D108" s="4"/>
      <c r="E108" s="4"/>
    </row>
    <row r="109" spans="1:5" ht="15.75" customHeight="1" x14ac:dyDescent="0.25">
      <c r="A109" s="4"/>
      <c r="B109" s="4"/>
      <c r="C109" s="4"/>
      <c r="D109" s="4"/>
      <c r="E109" s="4"/>
    </row>
    <row r="110" spans="1:5" ht="15.75" customHeight="1" x14ac:dyDescent="0.25">
      <c r="A110" s="4"/>
      <c r="B110" s="4"/>
      <c r="C110" s="4"/>
      <c r="D110" s="4"/>
      <c r="E110" s="4"/>
    </row>
    <row r="111" spans="1:5" ht="15.75" customHeight="1" x14ac:dyDescent="0.25">
      <c r="A111" s="4"/>
      <c r="B111" s="4"/>
      <c r="C111" s="4"/>
      <c r="D111" s="4"/>
      <c r="E111" s="4"/>
    </row>
    <row r="112" spans="1:5" ht="15.75" customHeight="1" x14ac:dyDescent="0.25">
      <c r="A112" s="4"/>
      <c r="B112" s="4"/>
      <c r="C112" s="4"/>
      <c r="D112" s="4"/>
      <c r="E112" s="4"/>
    </row>
    <row r="113" spans="1:5" ht="15.75" customHeight="1" x14ac:dyDescent="0.25">
      <c r="A113" s="4"/>
      <c r="B113" s="4"/>
      <c r="C113" s="4"/>
      <c r="D113" s="4"/>
      <c r="E113" s="4"/>
    </row>
    <row r="114" spans="1:5" ht="15.75" customHeight="1" x14ac:dyDescent="0.25">
      <c r="A114" s="4"/>
      <c r="B114" s="4"/>
      <c r="C114" s="4"/>
      <c r="D114" s="4"/>
      <c r="E114" s="4"/>
    </row>
    <row r="115" spans="1:5" ht="15.75" customHeight="1" x14ac:dyDescent="0.25">
      <c r="A115" s="4"/>
      <c r="B115" s="4"/>
      <c r="C115" s="4"/>
      <c r="D115" s="4"/>
      <c r="E115" s="4"/>
    </row>
    <row r="116" spans="1:5" ht="15.75" customHeight="1" x14ac:dyDescent="0.25">
      <c r="A116" s="4"/>
      <c r="B116" s="4"/>
      <c r="C116" s="4"/>
      <c r="D116" s="4"/>
      <c r="E116" s="4"/>
    </row>
    <row r="117" spans="1:5" ht="15.75" customHeight="1" x14ac:dyDescent="0.25">
      <c r="A117" s="4"/>
      <c r="B117" s="4"/>
      <c r="C117" s="4"/>
      <c r="D117" s="4"/>
      <c r="E117" s="4"/>
    </row>
    <row r="118" spans="1:5" ht="15.75" customHeight="1" x14ac:dyDescent="0.25">
      <c r="A118" s="4"/>
      <c r="B118" s="4"/>
      <c r="C118" s="4"/>
      <c r="D118" s="4"/>
      <c r="E118" s="4"/>
    </row>
    <row r="119" spans="1:5" ht="15.75" customHeight="1" x14ac:dyDescent="0.25">
      <c r="A119" s="4"/>
      <c r="B119" s="4"/>
      <c r="C119" s="4"/>
      <c r="D119" s="4"/>
      <c r="E119" s="4"/>
    </row>
    <row r="120" spans="1:5" ht="15.75" customHeight="1" x14ac:dyDescent="0.25">
      <c r="A120" s="4"/>
      <c r="B120" s="4"/>
      <c r="C120" s="4"/>
      <c r="D120" s="4"/>
      <c r="E120" s="4"/>
    </row>
    <row r="121" spans="1:5" ht="15.75" customHeight="1" x14ac:dyDescent="0.25">
      <c r="A121" s="4"/>
      <c r="B121" s="4"/>
      <c r="C121" s="4"/>
      <c r="D121" s="4"/>
      <c r="E121" s="4"/>
    </row>
    <row r="122" spans="1:5" ht="15.75" customHeight="1" x14ac:dyDescent="0.25">
      <c r="A122" s="4"/>
      <c r="B122" s="4"/>
      <c r="C122" s="4"/>
      <c r="D122" s="4"/>
      <c r="E122" s="4"/>
    </row>
    <row r="123" spans="1:5" ht="15.75" customHeight="1" x14ac:dyDescent="0.25">
      <c r="A123" s="4"/>
      <c r="B123" s="4"/>
      <c r="C123" s="4"/>
      <c r="D123" s="4"/>
      <c r="E123" s="4"/>
    </row>
    <row r="124" spans="1:5" ht="15.75" customHeight="1" x14ac:dyDescent="0.25">
      <c r="A124" s="4"/>
      <c r="B124" s="4"/>
      <c r="C124" s="4"/>
      <c r="D124" s="4"/>
      <c r="E124" s="4"/>
    </row>
    <row r="125" spans="1:5" ht="15.75" customHeight="1" x14ac:dyDescent="0.25">
      <c r="A125" s="4"/>
      <c r="B125" s="4"/>
      <c r="C125" s="4"/>
      <c r="D125" s="4"/>
      <c r="E125" s="4"/>
    </row>
    <row r="126" spans="1:5" ht="15.75" customHeight="1" x14ac:dyDescent="0.25">
      <c r="A126" s="4"/>
      <c r="B126" s="4"/>
      <c r="C126" s="4"/>
      <c r="D126" s="4"/>
      <c r="E126" s="4"/>
    </row>
    <row r="127" spans="1:5" ht="15.75" customHeight="1" x14ac:dyDescent="0.25">
      <c r="A127" s="4"/>
      <c r="B127" s="4"/>
      <c r="C127" s="4"/>
      <c r="D127" s="4"/>
      <c r="E127" s="4"/>
    </row>
    <row r="128" spans="1:5" ht="15.75" customHeight="1" x14ac:dyDescent="0.25">
      <c r="A128" s="4"/>
      <c r="B128" s="4"/>
      <c r="C128" s="4"/>
      <c r="D128" s="4"/>
      <c r="E128" s="4"/>
    </row>
    <row r="129" spans="1:5" ht="15.75" customHeight="1" x14ac:dyDescent="0.25">
      <c r="A129" s="4"/>
      <c r="B129" s="4"/>
      <c r="C129" s="4"/>
      <c r="D129" s="4"/>
      <c r="E129" s="4"/>
    </row>
    <row r="130" spans="1:5" ht="15.75" customHeight="1" x14ac:dyDescent="0.25">
      <c r="A130" s="4"/>
      <c r="B130" s="4"/>
      <c r="C130" s="4"/>
      <c r="D130" s="4"/>
      <c r="E130" s="4"/>
    </row>
    <row r="131" spans="1:5" ht="15.75" customHeight="1" x14ac:dyDescent="0.25">
      <c r="A131" s="4"/>
      <c r="B131" s="4"/>
      <c r="C131" s="4"/>
      <c r="D131" s="4"/>
      <c r="E131" s="4"/>
    </row>
    <row r="132" spans="1:5" ht="15.75" customHeight="1" x14ac:dyDescent="0.25">
      <c r="A132" s="4"/>
      <c r="B132" s="4"/>
      <c r="C132" s="4"/>
      <c r="D132" s="4"/>
      <c r="E132" s="4"/>
    </row>
    <row r="133" spans="1:5" ht="15.75" customHeight="1" x14ac:dyDescent="0.25">
      <c r="A133" s="4"/>
      <c r="B133" s="4"/>
      <c r="C133" s="4"/>
      <c r="D133" s="4"/>
      <c r="E133" s="4"/>
    </row>
    <row r="134" spans="1:5" ht="15.75" customHeight="1" x14ac:dyDescent="0.25">
      <c r="A134" s="4"/>
      <c r="B134" s="4"/>
      <c r="C134" s="4"/>
      <c r="D134" s="4"/>
      <c r="E134" s="4"/>
    </row>
    <row r="135" spans="1:5" ht="15.75" customHeight="1" x14ac:dyDescent="0.25">
      <c r="A135" s="4"/>
      <c r="B135" s="4"/>
      <c r="C135" s="4"/>
      <c r="D135" s="4"/>
      <c r="E135" s="4"/>
    </row>
    <row r="136" spans="1:5" ht="15.75" customHeight="1" x14ac:dyDescent="0.25">
      <c r="A136" s="4"/>
      <c r="B136" s="4"/>
      <c r="C136" s="4"/>
      <c r="D136" s="4"/>
      <c r="E136" s="4"/>
    </row>
    <row r="137" spans="1:5" ht="15.75" customHeight="1" x14ac:dyDescent="0.25">
      <c r="A137" s="4"/>
      <c r="B137" s="4"/>
      <c r="C137" s="4"/>
      <c r="D137" s="4"/>
      <c r="E137" s="4"/>
    </row>
    <row r="138" spans="1:5" ht="15.75" customHeight="1" x14ac:dyDescent="0.25">
      <c r="A138" s="4"/>
      <c r="B138" s="4"/>
      <c r="C138" s="4"/>
      <c r="D138" s="4"/>
      <c r="E138" s="4"/>
    </row>
    <row r="139" spans="1:5" ht="15.75" customHeight="1" x14ac:dyDescent="0.25">
      <c r="A139" s="4"/>
      <c r="B139" s="4"/>
      <c r="C139" s="4"/>
      <c r="D139" s="4"/>
      <c r="E139" s="4"/>
    </row>
    <row r="140" spans="1:5" ht="15.75" customHeight="1" x14ac:dyDescent="0.25">
      <c r="A140" s="4"/>
      <c r="B140" s="4"/>
      <c r="C140" s="4"/>
      <c r="D140" s="4"/>
      <c r="E140" s="4"/>
    </row>
    <row r="141" spans="1:5" ht="15.75" customHeight="1" x14ac:dyDescent="0.25">
      <c r="A141" s="4"/>
      <c r="B141" s="4"/>
      <c r="C141" s="4"/>
      <c r="D141" s="4"/>
      <c r="E141" s="4"/>
    </row>
    <row r="142" spans="1:5" ht="15.75" customHeight="1" x14ac:dyDescent="0.25">
      <c r="A142" s="4"/>
      <c r="B142" s="4"/>
      <c r="C142" s="4"/>
      <c r="D142" s="4"/>
      <c r="E142" s="4"/>
    </row>
    <row r="143" spans="1:5" ht="15.75" customHeight="1" x14ac:dyDescent="0.25">
      <c r="A143" s="4"/>
      <c r="B143" s="4"/>
      <c r="C143" s="4"/>
      <c r="D143" s="4"/>
      <c r="E143" s="4"/>
    </row>
    <row r="144" spans="1:5" ht="15.75" customHeight="1" x14ac:dyDescent="0.25">
      <c r="A144" s="4"/>
      <c r="B144" s="4"/>
      <c r="C144" s="4"/>
      <c r="D144" s="4"/>
      <c r="E144" s="4"/>
    </row>
    <row r="145" spans="1:5" ht="15.75" customHeight="1" x14ac:dyDescent="0.25">
      <c r="A145" s="4"/>
      <c r="B145" s="4"/>
      <c r="C145" s="4"/>
      <c r="D145" s="4"/>
      <c r="E145" s="4"/>
    </row>
    <row r="146" spans="1:5" ht="15.75" customHeight="1" x14ac:dyDescent="0.25">
      <c r="A146" s="4"/>
      <c r="B146" s="4"/>
      <c r="C146" s="4"/>
      <c r="D146" s="4"/>
      <c r="E146" s="4"/>
    </row>
    <row r="147" spans="1:5" ht="15.75" customHeight="1" x14ac:dyDescent="0.25">
      <c r="A147" s="4"/>
      <c r="B147" s="4"/>
      <c r="C147" s="4"/>
      <c r="D147" s="4"/>
      <c r="E147" s="4"/>
    </row>
    <row r="148" spans="1:5" ht="15.75" customHeight="1" x14ac:dyDescent="0.25">
      <c r="A148" s="4"/>
      <c r="B148" s="4"/>
      <c r="C148" s="4"/>
      <c r="D148" s="4"/>
      <c r="E148" s="4"/>
    </row>
    <row r="149" spans="1:5" ht="15.75" customHeight="1" x14ac:dyDescent="0.25">
      <c r="A149" s="4"/>
      <c r="B149" s="4"/>
      <c r="C149" s="4"/>
      <c r="D149" s="4"/>
      <c r="E149" s="4"/>
    </row>
    <row r="150" spans="1:5" ht="15.75" customHeight="1" x14ac:dyDescent="0.25">
      <c r="A150" s="4"/>
      <c r="B150" s="4"/>
      <c r="C150" s="4"/>
      <c r="D150" s="4"/>
      <c r="E150" s="4"/>
    </row>
    <row r="151" spans="1:5" ht="15.75" customHeight="1" x14ac:dyDescent="0.25">
      <c r="A151" s="4"/>
      <c r="B151" s="4"/>
      <c r="C151" s="4"/>
      <c r="D151" s="4"/>
      <c r="E151" s="4"/>
    </row>
    <row r="152" spans="1:5" ht="15.75" customHeight="1" x14ac:dyDescent="0.25">
      <c r="A152" s="4"/>
      <c r="B152" s="4"/>
      <c r="C152" s="4"/>
      <c r="D152" s="4"/>
      <c r="E152" s="4"/>
    </row>
    <row r="153" spans="1:5" ht="15.75" customHeight="1" x14ac:dyDescent="0.25">
      <c r="A153" s="4"/>
      <c r="B153" s="4"/>
      <c r="C153" s="4"/>
      <c r="D153" s="4"/>
      <c r="E153" s="4"/>
    </row>
    <row r="154" spans="1:5" ht="15.75" customHeight="1" x14ac:dyDescent="0.25">
      <c r="A154" s="4"/>
      <c r="B154" s="4"/>
      <c r="C154" s="4"/>
      <c r="D154" s="4"/>
      <c r="E154" s="4"/>
    </row>
    <row r="155" spans="1:5" ht="15.75" customHeight="1" x14ac:dyDescent="0.25">
      <c r="A155" s="4"/>
      <c r="B155" s="4"/>
      <c r="C155" s="4"/>
      <c r="D155" s="4"/>
      <c r="E155" s="4"/>
    </row>
    <row r="156" spans="1:5" ht="15.75" customHeight="1" x14ac:dyDescent="0.25">
      <c r="A156" s="4"/>
      <c r="B156" s="4"/>
      <c r="C156" s="4"/>
      <c r="D156" s="4"/>
      <c r="E156" s="4"/>
    </row>
    <row r="157" spans="1:5" ht="15.75" customHeight="1" x14ac:dyDescent="0.25">
      <c r="A157" s="4"/>
      <c r="B157" s="4"/>
      <c r="C157" s="4"/>
      <c r="D157" s="4"/>
      <c r="E157" s="4"/>
    </row>
    <row r="158" spans="1:5" ht="15.75" customHeight="1" x14ac:dyDescent="0.25">
      <c r="A158" s="4"/>
      <c r="B158" s="4"/>
      <c r="C158" s="4"/>
      <c r="D158" s="4"/>
      <c r="E158" s="4"/>
    </row>
    <row r="159" spans="1:5" ht="15.75" customHeight="1" x14ac:dyDescent="0.25">
      <c r="A159" s="4"/>
      <c r="B159" s="4"/>
      <c r="C159" s="4"/>
      <c r="D159" s="4"/>
      <c r="E159" s="4"/>
    </row>
    <row r="160" spans="1:5" ht="15.75" customHeight="1" x14ac:dyDescent="0.25">
      <c r="A160" s="4"/>
      <c r="B160" s="4"/>
      <c r="C160" s="4"/>
      <c r="D160" s="4"/>
      <c r="E160" s="4"/>
    </row>
    <row r="161" spans="1:5" ht="15.75" customHeight="1" x14ac:dyDescent="0.25">
      <c r="A161" s="4"/>
      <c r="B161" s="4"/>
      <c r="C161" s="4"/>
      <c r="D161" s="4"/>
      <c r="E161" s="4"/>
    </row>
    <row r="162" spans="1:5" ht="15.75" customHeight="1" x14ac:dyDescent="0.25">
      <c r="A162" s="4"/>
      <c r="B162" s="4"/>
      <c r="C162" s="4"/>
      <c r="D162" s="4"/>
      <c r="E162" s="4"/>
    </row>
    <row r="163" spans="1:5" ht="15.75" customHeight="1" x14ac:dyDescent="0.25">
      <c r="A163" s="4"/>
      <c r="B163" s="4"/>
      <c r="C163" s="4"/>
      <c r="D163" s="4"/>
      <c r="E163" s="4"/>
    </row>
    <row r="164" spans="1:5" ht="15.75" customHeight="1" x14ac:dyDescent="0.25">
      <c r="A164" s="4"/>
      <c r="B164" s="4"/>
      <c r="C164" s="4"/>
      <c r="D164" s="4"/>
      <c r="E164" s="4"/>
    </row>
    <row r="165" spans="1:5" ht="15.75" customHeight="1" x14ac:dyDescent="0.25">
      <c r="A165" s="4"/>
      <c r="B165" s="4"/>
      <c r="C165" s="4"/>
      <c r="D165" s="4"/>
      <c r="E165" s="4"/>
    </row>
    <row r="166" spans="1:5" ht="15.75" customHeight="1" x14ac:dyDescent="0.25">
      <c r="A166" s="4"/>
      <c r="B166" s="4"/>
      <c r="C166" s="4"/>
      <c r="D166" s="4"/>
      <c r="E166" s="4"/>
    </row>
    <row r="167" spans="1:5" ht="15.75" customHeight="1" x14ac:dyDescent="0.25">
      <c r="A167" s="4"/>
      <c r="B167" s="4"/>
      <c r="C167" s="4"/>
      <c r="D167" s="4"/>
      <c r="E167" s="4"/>
    </row>
    <row r="168" spans="1:5" ht="15.75" customHeight="1" x14ac:dyDescent="0.25">
      <c r="A168" s="4"/>
      <c r="B168" s="4"/>
      <c r="C168" s="4"/>
      <c r="D168" s="4"/>
      <c r="E168" s="4"/>
    </row>
    <row r="169" spans="1:5" ht="15.75" customHeight="1" x14ac:dyDescent="0.25">
      <c r="A169" s="4"/>
      <c r="B169" s="4"/>
      <c r="C169" s="4"/>
      <c r="D169" s="4"/>
      <c r="E169" s="4"/>
    </row>
    <row r="170" spans="1:5" ht="15.75" customHeight="1" x14ac:dyDescent="0.25">
      <c r="A170" s="4"/>
      <c r="B170" s="4"/>
      <c r="C170" s="4"/>
      <c r="D170" s="4"/>
      <c r="E170" s="4"/>
    </row>
    <row r="171" spans="1:5" ht="15.75" customHeight="1" x14ac:dyDescent="0.25">
      <c r="A171" s="4"/>
      <c r="B171" s="4"/>
      <c r="C171" s="4"/>
      <c r="D171" s="4"/>
      <c r="E171" s="4"/>
    </row>
    <row r="172" spans="1:5" ht="15.75" customHeight="1" x14ac:dyDescent="0.25">
      <c r="A172" s="4"/>
      <c r="B172" s="4"/>
      <c r="C172" s="4"/>
      <c r="D172" s="4"/>
      <c r="E172" s="4"/>
    </row>
    <row r="173" spans="1:5" ht="15.75" customHeight="1" x14ac:dyDescent="0.25">
      <c r="A173" s="4"/>
      <c r="B173" s="4"/>
      <c r="C173" s="4"/>
      <c r="D173" s="4"/>
      <c r="E173" s="4"/>
    </row>
    <row r="174" spans="1:5" ht="15.75" customHeight="1" x14ac:dyDescent="0.25">
      <c r="A174" s="4"/>
      <c r="B174" s="4"/>
      <c r="C174" s="4"/>
      <c r="D174" s="4"/>
      <c r="E174" s="4"/>
    </row>
    <row r="175" spans="1:5" ht="15.75" customHeight="1" x14ac:dyDescent="0.25">
      <c r="A175" s="4"/>
      <c r="B175" s="4"/>
      <c r="C175" s="4"/>
      <c r="D175" s="4"/>
      <c r="E175" s="4"/>
    </row>
    <row r="176" spans="1:5" ht="15.75" customHeight="1" x14ac:dyDescent="0.25">
      <c r="A176" s="4"/>
      <c r="B176" s="4"/>
      <c r="C176" s="4"/>
      <c r="D176" s="4"/>
      <c r="E176" s="4"/>
    </row>
    <row r="177" spans="1:5" ht="15.75" customHeight="1" x14ac:dyDescent="0.25">
      <c r="A177" s="4"/>
      <c r="B177" s="4"/>
      <c r="C177" s="4"/>
      <c r="D177" s="4"/>
      <c r="E177" s="4"/>
    </row>
    <row r="178" spans="1:5" ht="15.75" customHeight="1" x14ac:dyDescent="0.25">
      <c r="A178" s="4"/>
      <c r="B178" s="4"/>
      <c r="C178" s="4"/>
      <c r="D178" s="4"/>
      <c r="E178" s="4"/>
    </row>
    <row r="179" spans="1:5" ht="15.75" customHeight="1" x14ac:dyDescent="0.25">
      <c r="A179" s="4"/>
      <c r="B179" s="4"/>
      <c r="C179" s="4"/>
      <c r="D179" s="4"/>
      <c r="E179" s="4"/>
    </row>
    <row r="180" spans="1:5" ht="15.75" customHeight="1" x14ac:dyDescent="0.25">
      <c r="A180" s="4"/>
      <c r="B180" s="4"/>
      <c r="C180" s="4"/>
      <c r="D180" s="4"/>
      <c r="E180" s="4"/>
    </row>
    <row r="181" spans="1:5" ht="15.75" customHeight="1" x14ac:dyDescent="0.25">
      <c r="A181" s="4"/>
      <c r="B181" s="4"/>
      <c r="C181" s="4"/>
      <c r="D181" s="4"/>
      <c r="E181" s="4"/>
    </row>
    <row r="182" spans="1:5" ht="15.75" customHeight="1" x14ac:dyDescent="0.25">
      <c r="A182" s="4"/>
      <c r="B182" s="4"/>
      <c r="C182" s="4"/>
      <c r="D182" s="4"/>
      <c r="E182" s="4"/>
    </row>
    <row r="183" spans="1:5" ht="15.75" customHeight="1" x14ac:dyDescent="0.25">
      <c r="A183" s="4"/>
      <c r="B183" s="4"/>
      <c r="C183" s="4"/>
      <c r="D183" s="4"/>
      <c r="E183" s="4"/>
    </row>
    <row r="184" spans="1:5" ht="15.75" customHeight="1" x14ac:dyDescent="0.25">
      <c r="A184" s="4"/>
      <c r="B184" s="4"/>
      <c r="C184" s="4"/>
      <c r="D184" s="4"/>
      <c r="E184" s="4"/>
    </row>
    <row r="185" spans="1:5" ht="15.75" customHeight="1" x14ac:dyDescent="0.25">
      <c r="A185" s="4"/>
      <c r="B185" s="4"/>
      <c r="C185" s="4"/>
      <c r="D185" s="4"/>
      <c r="E185" s="4"/>
    </row>
    <row r="186" spans="1:5" ht="15.75" customHeight="1" x14ac:dyDescent="0.25">
      <c r="A186" s="4"/>
      <c r="B186" s="4"/>
      <c r="C186" s="4"/>
      <c r="D186" s="4"/>
      <c r="E186" s="4"/>
    </row>
    <row r="187" spans="1:5" ht="15.75" customHeight="1" x14ac:dyDescent="0.25">
      <c r="A187" s="4"/>
      <c r="B187" s="4"/>
      <c r="C187" s="4"/>
      <c r="D187" s="4"/>
      <c r="E187" s="4"/>
    </row>
    <row r="188" spans="1:5" ht="15.75" customHeight="1" x14ac:dyDescent="0.25">
      <c r="A188" s="4"/>
      <c r="B188" s="4"/>
      <c r="C188" s="4"/>
      <c r="D188" s="4"/>
      <c r="E188" s="4"/>
    </row>
    <row r="189" spans="1:5" ht="15.75" customHeight="1" x14ac:dyDescent="0.25">
      <c r="A189" s="4"/>
      <c r="B189" s="4"/>
      <c r="C189" s="4"/>
      <c r="D189" s="4"/>
      <c r="E189" s="4"/>
    </row>
    <row r="190" spans="1:5" ht="15.75" customHeight="1" x14ac:dyDescent="0.25">
      <c r="A190" s="4"/>
      <c r="B190" s="4"/>
      <c r="C190" s="4"/>
      <c r="D190" s="4"/>
      <c r="E190" s="4"/>
    </row>
    <row r="191" spans="1:5" ht="15.75" customHeight="1" x14ac:dyDescent="0.25">
      <c r="A191" s="4"/>
      <c r="B191" s="4"/>
      <c r="C191" s="4"/>
      <c r="D191" s="4"/>
      <c r="E191" s="4"/>
    </row>
    <row r="192" spans="1:5" ht="15.75" customHeight="1" x14ac:dyDescent="0.25">
      <c r="A192" s="4"/>
      <c r="B192" s="4"/>
      <c r="C192" s="4"/>
      <c r="D192" s="4"/>
      <c r="E192" s="4"/>
    </row>
    <row r="193" spans="1:5" ht="15.75" customHeight="1" x14ac:dyDescent="0.25">
      <c r="A193" s="4"/>
      <c r="B193" s="4"/>
      <c r="C193" s="4"/>
      <c r="D193" s="4"/>
      <c r="E193" s="4"/>
    </row>
    <row r="194" spans="1:5" ht="15.75" customHeight="1" x14ac:dyDescent="0.25">
      <c r="A194" s="4"/>
      <c r="B194" s="4"/>
      <c r="C194" s="4"/>
      <c r="D194" s="4"/>
      <c r="E194" s="4"/>
    </row>
    <row r="195" spans="1:5" ht="15.75" customHeight="1" x14ac:dyDescent="0.25">
      <c r="A195" s="4"/>
      <c r="B195" s="4"/>
      <c r="C195" s="4"/>
      <c r="D195" s="4"/>
      <c r="E195" s="4"/>
    </row>
    <row r="196" spans="1:5" ht="15.75" customHeight="1" x14ac:dyDescent="0.25">
      <c r="A196" s="4"/>
      <c r="B196" s="4"/>
      <c r="C196" s="4"/>
      <c r="D196" s="4"/>
      <c r="E196" s="4"/>
    </row>
    <row r="197" spans="1:5" ht="15.75" customHeight="1" x14ac:dyDescent="0.25">
      <c r="A197" s="4"/>
      <c r="B197" s="4"/>
      <c r="C197" s="4"/>
      <c r="D197" s="4"/>
      <c r="E197" s="4"/>
    </row>
    <row r="198" spans="1:5" ht="15.75" customHeight="1" x14ac:dyDescent="0.25">
      <c r="A198" s="4"/>
      <c r="B198" s="4"/>
      <c r="C198" s="4"/>
      <c r="D198" s="4"/>
      <c r="E198" s="4"/>
    </row>
    <row r="199" spans="1:5" ht="15.75" customHeight="1" x14ac:dyDescent="0.25">
      <c r="A199" s="4"/>
      <c r="B199" s="4"/>
      <c r="C199" s="4"/>
      <c r="D199" s="4"/>
      <c r="E199" s="4"/>
    </row>
    <row r="200" spans="1:5" ht="15.75" customHeight="1" x14ac:dyDescent="0.25">
      <c r="A200" s="4"/>
      <c r="B200" s="4"/>
      <c r="C200" s="4"/>
      <c r="D200" s="4"/>
      <c r="E200" s="4"/>
    </row>
    <row r="201" spans="1:5" ht="15.75" customHeight="1" x14ac:dyDescent="0.25">
      <c r="A201" s="4"/>
      <c r="B201" s="4"/>
      <c r="C201" s="4"/>
      <c r="D201" s="4"/>
      <c r="E201" s="4"/>
    </row>
    <row r="202" spans="1:5" ht="15.75" customHeight="1" x14ac:dyDescent="0.25">
      <c r="A202" s="4"/>
      <c r="B202" s="4"/>
      <c r="C202" s="4"/>
      <c r="D202" s="4"/>
      <c r="E202" s="4"/>
    </row>
    <row r="203" spans="1:5" ht="15.75" customHeight="1" x14ac:dyDescent="0.25">
      <c r="A203" s="4"/>
      <c r="B203" s="4"/>
      <c r="C203" s="4"/>
      <c r="D203" s="4"/>
      <c r="E203" s="4"/>
    </row>
    <row r="204" spans="1:5" ht="15.75" customHeight="1" x14ac:dyDescent="0.25">
      <c r="A204" s="4"/>
      <c r="B204" s="4"/>
      <c r="C204" s="4"/>
      <c r="D204" s="4"/>
      <c r="E204" s="4"/>
    </row>
    <row r="205" spans="1:5" ht="15.75" customHeight="1" x14ac:dyDescent="0.25">
      <c r="A205" s="4"/>
      <c r="B205" s="4"/>
      <c r="C205" s="4"/>
      <c r="D205" s="4"/>
      <c r="E205" s="4"/>
    </row>
    <row r="206" spans="1:5" ht="15.75" customHeight="1" x14ac:dyDescent="0.25">
      <c r="A206" s="4"/>
      <c r="B206" s="4"/>
      <c r="C206" s="4"/>
      <c r="D206" s="4"/>
      <c r="E206" s="4"/>
    </row>
    <row r="207" spans="1:5" ht="15.75" customHeight="1" x14ac:dyDescent="0.25">
      <c r="A207" s="4"/>
      <c r="B207" s="4"/>
      <c r="C207" s="4"/>
      <c r="D207" s="4"/>
      <c r="E207" s="4"/>
    </row>
    <row r="208" spans="1:5" ht="15.75" customHeight="1" x14ac:dyDescent="0.25">
      <c r="A208" s="4"/>
      <c r="B208" s="4"/>
      <c r="C208" s="4"/>
      <c r="D208" s="4"/>
      <c r="E208" s="4"/>
    </row>
    <row r="209" spans="1:5" ht="15.75" customHeight="1" x14ac:dyDescent="0.25">
      <c r="A209" s="4"/>
      <c r="B209" s="4"/>
      <c r="C209" s="4"/>
      <c r="D209" s="4"/>
      <c r="E209" s="4"/>
    </row>
    <row r="210" spans="1:5" ht="15.75" customHeight="1" x14ac:dyDescent="0.25">
      <c r="A210" s="4"/>
      <c r="B210" s="4"/>
      <c r="C210" s="4"/>
      <c r="D210" s="4"/>
      <c r="E210" s="4"/>
    </row>
    <row r="211" spans="1:5" ht="15.75" customHeight="1" x14ac:dyDescent="0.25">
      <c r="A211" s="4"/>
      <c r="B211" s="4"/>
      <c r="C211" s="4"/>
      <c r="D211" s="4"/>
      <c r="E211" s="4"/>
    </row>
    <row r="212" spans="1:5" ht="15.75" customHeight="1" x14ac:dyDescent="0.25">
      <c r="A212" s="4"/>
      <c r="B212" s="4"/>
      <c r="C212" s="4"/>
      <c r="D212" s="4"/>
      <c r="E212" s="4"/>
    </row>
    <row r="213" spans="1:5" ht="15.75" customHeight="1" x14ac:dyDescent="0.25">
      <c r="A213" s="4"/>
      <c r="B213" s="4"/>
      <c r="C213" s="4"/>
      <c r="D213" s="4"/>
      <c r="E213" s="4"/>
    </row>
    <row r="214" spans="1:5" ht="15.75" customHeight="1" x14ac:dyDescent="0.25">
      <c r="A214" s="4"/>
      <c r="B214" s="4"/>
      <c r="C214" s="4"/>
      <c r="D214" s="4"/>
      <c r="E214" s="4"/>
    </row>
    <row r="215" spans="1:5" ht="15.75" customHeight="1" x14ac:dyDescent="0.25">
      <c r="A215" s="4"/>
      <c r="B215" s="4"/>
      <c r="C215" s="4"/>
      <c r="D215" s="4"/>
      <c r="E215" s="4"/>
    </row>
    <row r="216" spans="1:5" ht="15.75" customHeight="1" x14ac:dyDescent="0.25">
      <c r="A216" s="4"/>
      <c r="B216" s="4"/>
      <c r="C216" s="4"/>
      <c r="D216" s="4"/>
      <c r="E216" s="4"/>
    </row>
    <row r="217" spans="1:5" ht="15.75" customHeight="1" x14ac:dyDescent="0.25">
      <c r="A217" s="4"/>
      <c r="B217" s="4"/>
      <c r="C217" s="4"/>
      <c r="D217" s="4"/>
      <c r="E217" s="4"/>
    </row>
    <row r="218" spans="1:5" ht="15.75" customHeight="1" x14ac:dyDescent="0.25">
      <c r="A218" s="4"/>
      <c r="B218" s="4"/>
      <c r="C218" s="4"/>
      <c r="D218" s="4"/>
      <c r="E218" s="4"/>
    </row>
    <row r="219" spans="1:5" ht="15.75" customHeight="1" x14ac:dyDescent="0.25">
      <c r="A219" s="4"/>
      <c r="B219" s="4"/>
      <c r="C219" s="4"/>
      <c r="D219" s="4"/>
      <c r="E219" s="4"/>
    </row>
    <row r="220" spans="1:5" ht="15.75" customHeight="1" x14ac:dyDescent="0.25">
      <c r="A220" s="4"/>
      <c r="B220" s="4"/>
      <c r="C220" s="4"/>
      <c r="D220" s="4"/>
      <c r="E220" s="4"/>
    </row>
    <row r="221" spans="1:5" ht="15.75" customHeight="1" x14ac:dyDescent="0.25">
      <c r="A221" s="4"/>
      <c r="B221" s="4"/>
      <c r="C221" s="4"/>
      <c r="D221" s="4"/>
      <c r="E221" s="4"/>
    </row>
    <row r="222" spans="1:5" ht="15.75" customHeight="1" x14ac:dyDescent="0.25">
      <c r="A222" s="4"/>
      <c r="B222" s="4"/>
      <c r="C222" s="4"/>
      <c r="D222" s="4"/>
      <c r="E222" s="4"/>
    </row>
    <row r="223" spans="1:5" ht="15.75" customHeight="1" x14ac:dyDescent="0.25">
      <c r="A223" s="4"/>
      <c r="B223" s="4"/>
      <c r="C223" s="4"/>
      <c r="D223" s="4"/>
      <c r="E223" s="4"/>
    </row>
    <row r="224" spans="1:5" ht="15.75" customHeight="1" x14ac:dyDescent="0.25">
      <c r="A224" s="4"/>
      <c r="B224" s="4"/>
      <c r="C224" s="4"/>
      <c r="D224" s="4"/>
      <c r="E224" s="4"/>
    </row>
    <row r="225" spans="1:5" ht="15.75" customHeight="1" x14ac:dyDescent="0.25">
      <c r="A225" s="4"/>
      <c r="B225" s="4"/>
      <c r="C225" s="4"/>
      <c r="D225" s="4"/>
      <c r="E225" s="4"/>
    </row>
    <row r="226" spans="1:5" ht="15.75" customHeight="1" x14ac:dyDescent="0.25">
      <c r="A226" s="4"/>
      <c r="B226" s="4"/>
      <c r="C226" s="4"/>
      <c r="D226" s="4"/>
      <c r="E226" s="4"/>
    </row>
    <row r="227" spans="1:5" ht="15.75" customHeight="1" x14ac:dyDescent="0.25">
      <c r="A227" s="4"/>
      <c r="B227" s="4"/>
      <c r="C227" s="4"/>
      <c r="D227" s="4"/>
      <c r="E227" s="4"/>
    </row>
    <row r="228" spans="1:5" ht="15.75" customHeight="1" x14ac:dyDescent="0.25">
      <c r="A228" s="4"/>
      <c r="B228" s="4"/>
      <c r="C228" s="4"/>
      <c r="D228" s="4"/>
      <c r="E228" s="4"/>
    </row>
    <row r="229" spans="1:5" ht="15.75" customHeight="1" x14ac:dyDescent="0.25">
      <c r="A229" s="4"/>
      <c r="B229" s="4"/>
      <c r="C229" s="4"/>
      <c r="D229" s="4"/>
      <c r="E229" s="4"/>
    </row>
    <row r="230" spans="1:5" ht="15.75" customHeight="1" x14ac:dyDescent="0.25">
      <c r="A230" s="4"/>
      <c r="B230" s="4"/>
      <c r="C230" s="4"/>
      <c r="D230" s="4"/>
      <c r="E230" s="4"/>
    </row>
    <row r="231" spans="1:5" ht="15.75" customHeight="1" x14ac:dyDescent="0.25">
      <c r="A231" s="4"/>
      <c r="B231" s="4"/>
      <c r="C231" s="4"/>
      <c r="D231" s="4"/>
      <c r="E231" s="4"/>
    </row>
    <row r="232" spans="1:5" ht="15.75" customHeight="1" x14ac:dyDescent="0.25">
      <c r="A232" s="4"/>
      <c r="B232" s="4"/>
      <c r="C232" s="4"/>
      <c r="D232" s="4"/>
      <c r="E232" s="4"/>
    </row>
    <row r="233" spans="1:5" ht="15.75" customHeight="1" x14ac:dyDescent="0.25">
      <c r="A233" s="4"/>
      <c r="B233" s="4"/>
      <c r="C233" s="4"/>
      <c r="D233" s="4"/>
      <c r="E233" s="4"/>
    </row>
    <row r="234" spans="1:5" ht="15.75" customHeight="1" x14ac:dyDescent="0.25">
      <c r="A234" s="4"/>
      <c r="B234" s="4"/>
      <c r="C234" s="4"/>
      <c r="D234" s="4"/>
      <c r="E234" s="4"/>
    </row>
    <row r="235" spans="1:5" ht="15.75" customHeight="1" x14ac:dyDescent="0.25">
      <c r="A235" s="4"/>
      <c r="B235" s="4"/>
      <c r="C235" s="4"/>
      <c r="D235" s="4"/>
      <c r="E235" s="4"/>
    </row>
    <row r="236" spans="1:5" ht="15.75" customHeight="1" x14ac:dyDescent="0.25">
      <c r="A236" s="4"/>
      <c r="B236" s="4"/>
      <c r="C236" s="4"/>
      <c r="D236" s="4"/>
      <c r="E236" s="4"/>
    </row>
    <row r="237" spans="1:5" ht="15.75" customHeight="1" x14ac:dyDescent="0.25">
      <c r="A237" s="4"/>
      <c r="B237" s="4"/>
      <c r="C237" s="4"/>
      <c r="D237" s="4"/>
      <c r="E237" s="4"/>
    </row>
    <row r="238" spans="1:5" ht="15.75" customHeight="1" x14ac:dyDescent="0.25">
      <c r="A238" s="4"/>
      <c r="B238" s="4"/>
      <c r="C238" s="4"/>
      <c r="D238" s="4"/>
      <c r="E238" s="4"/>
    </row>
    <row r="239" spans="1:5" ht="15.75" customHeight="1" x14ac:dyDescent="0.25">
      <c r="A239" s="4"/>
      <c r="B239" s="4"/>
      <c r="C239" s="4"/>
      <c r="D239" s="4"/>
      <c r="E239" s="4"/>
    </row>
    <row r="240" spans="1:5" ht="15.75" customHeight="1" x14ac:dyDescent="0.25">
      <c r="A240" s="4"/>
      <c r="B240" s="4"/>
      <c r="C240" s="4"/>
      <c r="D240" s="4"/>
      <c r="E240" s="4"/>
    </row>
    <row r="241" spans="1:5" ht="15.75" customHeight="1" x14ac:dyDescent="0.25">
      <c r="A241" s="4"/>
      <c r="B241" s="4"/>
      <c r="C241" s="4"/>
      <c r="D241" s="4"/>
      <c r="E241" s="4"/>
    </row>
    <row r="242" spans="1:5" ht="15.75" customHeight="1" x14ac:dyDescent="0.25">
      <c r="A242" s="4"/>
      <c r="B242" s="4"/>
      <c r="C242" s="4"/>
      <c r="D242" s="4"/>
      <c r="E242" s="4"/>
    </row>
    <row r="243" spans="1:5" ht="15.75" customHeight="1" x14ac:dyDescent="0.25">
      <c r="A243" s="4"/>
      <c r="B243" s="4"/>
      <c r="C243" s="4"/>
      <c r="D243" s="4"/>
      <c r="E243" s="4"/>
    </row>
    <row r="244" spans="1:5" ht="15.75" customHeight="1" x14ac:dyDescent="0.25">
      <c r="A244" s="4"/>
      <c r="B244" s="4"/>
      <c r="C244" s="4"/>
      <c r="D244" s="4"/>
      <c r="E244" s="4"/>
    </row>
    <row r="245" spans="1:5" ht="15.75" customHeight="1" x14ac:dyDescent="0.25">
      <c r="A245" s="4"/>
      <c r="B245" s="4"/>
      <c r="C245" s="4"/>
      <c r="D245" s="4"/>
      <c r="E245" s="4"/>
    </row>
    <row r="246" spans="1:5" ht="15.75" customHeight="1" x14ac:dyDescent="0.25">
      <c r="A246" s="4"/>
      <c r="B246" s="4"/>
      <c r="C246" s="4"/>
      <c r="D246" s="4"/>
      <c r="E246" s="4"/>
    </row>
    <row r="247" spans="1:5" ht="15.75" customHeight="1" x14ac:dyDescent="0.25">
      <c r="A247" s="4"/>
      <c r="B247" s="4"/>
      <c r="C247" s="4"/>
      <c r="D247" s="4"/>
      <c r="E247" s="4"/>
    </row>
    <row r="248" spans="1:5" ht="15.75" customHeight="1" x14ac:dyDescent="0.25">
      <c r="A248" s="4"/>
      <c r="B248" s="4"/>
      <c r="C248" s="4"/>
      <c r="D248" s="4"/>
      <c r="E248" s="4"/>
    </row>
    <row r="249" spans="1:5" ht="15.75" customHeight="1" x14ac:dyDescent="0.25">
      <c r="A249" s="4"/>
      <c r="B249" s="4"/>
      <c r="C249" s="4"/>
      <c r="D249" s="4"/>
      <c r="E249" s="4"/>
    </row>
    <row r="250" spans="1:5" ht="15.75" customHeight="1" x14ac:dyDescent="0.25">
      <c r="A250" s="4"/>
      <c r="B250" s="4"/>
      <c r="C250" s="4"/>
      <c r="D250" s="4"/>
      <c r="E250" s="4"/>
    </row>
    <row r="251" spans="1:5" ht="15.75" customHeight="1" x14ac:dyDescent="0.25">
      <c r="A251" s="4"/>
      <c r="B251" s="4"/>
      <c r="C251" s="4"/>
      <c r="D251" s="4"/>
      <c r="E251" s="4"/>
    </row>
    <row r="252" spans="1:5" ht="15.75" customHeight="1" x14ac:dyDescent="0.25">
      <c r="A252" s="4"/>
      <c r="B252" s="4"/>
      <c r="C252" s="4"/>
      <c r="D252" s="4"/>
      <c r="E252" s="4"/>
    </row>
    <row r="253" spans="1:5" ht="15.75" customHeight="1" x14ac:dyDescent="0.25">
      <c r="A253" s="4"/>
      <c r="B253" s="4"/>
      <c r="C253" s="4"/>
      <c r="D253" s="4"/>
      <c r="E253" s="4"/>
    </row>
    <row r="254" spans="1:5" ht="15.75" customHeight="1" x14ac:dyDescent="0.25">
      <c r="A254" s="4"/>
      <c r="B254" s="4"/>
      <c r="C254" s="4"/>
      <c r="D254" s="4"/>
      <c r="E254" s="4"/>
    </row>
    <row r="255" spans="1:5" ht="15.75" customHeight="1" x14ac:dyDescent="0.25">
      <c r="A255" s="4"/>
      <c r="B255" s="4"/>
      <c r="C255" s="4"/>
      <c r="D255" s="4"/>
      <c r="E255" s="4"/>
    </row>
    <row r="256" spans="1:5" ht="15.75" customHeight="1" x14ac:dyDescent="0.25">
      <c r="A256" s="4"/>
      <c r="B256" s="4"/>
      <c r="C256" s="4"/>
      <c r="D256" s="4"/>
      <c r="E256" s="4"/>
    </row>
    <row r="257" spans="1:5" ht="15.75" customHeight="1" x14ac:dyDescent="0.25">
      <c r="A257" s="4"/>
      <c r="B257" s="4"/>
      <c r="C257" s="4"/>
      <c r="D257" s="4"/>
      <c r="E257" s="4"/>
    </row>
    <row r="258" spans="1:5" ht="15.75" customHeight="1" x14ac:dyDescent="0.25">
      <c r="A258" s="4"/>
      <c r="B258" s="4"/>
      <c r="C258" s="4"/>
      <c r="D258" s="4"/>
      <c r="E258" s="4"/>
    </row>
    <row r="259" spans="1:5" ht="15.75" customHeight="1" x14ac:dyDescent="0.25">
      <c r="A259" s="4"/>
      <c r="B259" s="4"/>
      <c r="C259" s="4"/>
      <c r="D259" s="4"/>
      <c r="E259" s="4"/>
    </row>
    <row r="260" spans="1:5" ht="15.75" customHeight="1" x14ac:dyDescent="0.25">
      <c r="A260" s="4"/>
      <c r="B260" s="4"/>
      <c r="C260" s="4"/>
      <c r="D260" s="4"/>
      <c r="E260" s="4"/>
    </row>
    <row r="261" spans="1:5" ht="15.75" customHeight="1" x14ac:dyDescent="0.25">
      <c r="A261" s="4"/>
      <c r="B261" s="4"/>
      <c r="C261" s="4"/>
      <c r="D261" s="4"/>
      <c r="E261" s="4"/>
    </row>
    <row r="262" spans="1:5" ht="15.75" customHeight="1" x14ac:dyDescent="0.25">
      <c r="A262" s="4"/>
      <c r="B262" s="4"/>
      <c r="C262" s="4"/>
      <c r="D262" s="4"/>
      <c r="E262" s="4"/>
    </row>
    <row r="263" spans="1:5" ht="15.75" customHeight="1" x14ac:dyDescent="0.25">
      <c r="A263" s="4"/>
      <c r="B263" s="4"/>
      <c r="C263" s="4"/>
      <c r="D263" s="4"/>
      <c r="E263" s="4"/>
    </row>
    <row r="264" spans="1:5" ht="15.75" customHeight="1" x14ac:dyDescent="0.25">
      <c r="A264" s="4"/>
      <c r="B264" s="4"/>
      <c r="C264" s="4"/>
      <c r="D264" s="4"/>
      <c r="E264" s="4"/>
    </row>
    <row r="265" spans="1:5" ht="15.75" customHeight="1" x14ac:dyDescent="0.25">
      <c r="A265" s="4"/>
      <c r="B265" s="4"/>
      <c r="C265" s="4"/>
      <c r="D265" s="4"/>
      <c r="E265" s="4"/>
    </row>
    <row r="266" spans="1:5" ht="15.75" customHeight="1" x14ac:dyDescent="0.25">
      <c r="A266" s="4"/>
      <c r="B266" s="4"/>
      <c r="C266" s="4"/>
      <c r="D266" s="4"/>
      <c r="E266" s="4"/>
    </row>
    <row r="267" spans="1:5" ht="15.75" customHeight="1" x14ac:dyDescent="0.25">
      <c r="A267" s="4"/>
      <c r="B267" s="4"/>
      <c r="C267" s="4"/>
      <c r="D267" s="4"/>
      <c r="E267" s="4"/>
    </row>
    <row r="268" spans="1:5" ht="15.75" customHeight="1" x14ac:dyDescent="0.25">
      <c r="A268" s="4"/>
      <c r="B268" s="4"/>
      <c r="C268" s="4"/>
      <c r="D268" s="4"/>
      <c r="E268" s="4"/>
    </row>
    <row r="269" spans="1:5" ht="15.75" customHeight="1" x14ac:dyDescent="0.25">
      <c r="A269" s="4"/>
      <c r="B269" s="4"/>
      <c r="C269" s="4"/>
      <c r="D269" s="4"/>
      <c r="E269" s="4"/>
    </row>
    <row r="270" spans="1:5" ht="15.75" customHeight="1" x14ac:dyDescent="0.25">
      <c r="A270" s="4"/>
      <c r="B270" s="4"/>
      <c r="C270" s="4"/>
      <c r="D270" s="4"/>
      <c r="E270" s="4"/>
    </row>
    <row r="271" spans="1:5" ht="15.75" customHeight="1" x14ac:dyDescent="0.25">
      <c r="A271" s="4"/>
      <c r="B271" s="4"/>
      <c r="C271" s="4"/>
      <c r="D271" s="4"/>
      <c r="E271" s="4"/>
    </row>
    <row r="272" spans="1:5" ht="15.75" customHeight="1" x14ac:dyDescent="0.25">
      <c r="A272" s="4"/>
      <c r="B272" s="4"/>
      <c r="C272" s="4"/>
      <c r="D272" s="4"/>
      <c r="E272" s="4"/>
    </row>
    <row r="273" spans="1:5" ht="15.75" customHeight="1" x14ac:dyDescent="0.25">
      <c r="A273" s="4"/>
      <c r="B273" s="4"/>
      <c r="C273" s="4"/>
      <c r="D273" s="4"/>
      <c r="E273" s="4"/>
    </row>
    <row r="274" spans="1:5" ht="15.75" customHeight="1" x14ac:dyDescent="0.25">
      <c r="A274" s="4"/>
      <c r="B274" s="4"/>
      <c r="C274" s="4"/>
      <c r="D274" s="4"/>
      <c r="E274" s="4"/>
    </row>
    <row r="275" spans="1:5" ht="15.75" customHeight="1" x14ac:dyDescent="0.25">
      <c r="A275" s="4"/>
      <c r="B275" s="4"/>
      <c r="C275" s="4"/>
      <c r="D275" s="4"/>
      <c r="E275" s="4"/>
    </row>
    <row r="276" spans="1:5" ht="15.75" customHeight="1" x14ac:dyDescent="0.25">
      <c r="A276" s="4"/>
      <c r="B276" s="4"/>
      <c r="C276" s="4"/>
      <c r="D276" s="4"/>
      <c r="E276" s="4"/>
    </row>
    <row r="277" spans="1:5" ht="15.75" customHeight="1" x14ac:dyDescent="0.25">
      <c r="A277" s="4"/>
      <c r="B277" s="4"/>
      <c r="C277" s="4"/>
      <c r="D277" s="4"/>
      <c r="E277" s="4"/>
    </row>
    <row r="278" spans="1:5" ht="15.75" customHeight="1" x14ac:dyDescent="0.25">
      <c r="A278" s="4"/>
      <c r="B278" s="4"/>
      <c r="C278" s="4"/>
      <c r="D278" s="4"/>
      <c r="E278" s="4"/>
    </row>
    <row r="279" spans="1:5" ht="15.75" customHeight="1" x14ac:dyDescent="0.25">
      <c r="A279" s="4"/>
      <c r="B279" s="4"/>
      <c r="C279" s="4"/>
      <c r="D279" s="4"/>
      <c r="E279" s="4"/>
    </row>
    <row r="280" spans="1:5" ht="15.75" customHeight="1" x14ac:dyDescent="0.25">
      <c r="A280" s="4"/>
      <c r="B280" s="4"/>
      <c r="C280" s="4"/>
      <c r="D280" s="4"/>
      <c r="E280" s="4"/>
    </row>
    <row r="281" spans="1:5" ht="15.75" customHeight="1" x14ac:dyDescent="0.25">
      <c r="A281" s="4"/>
      <c r="B281" s="4"/>
      <c r="C281" s="4"/>
      <c r="D281" s="4"/>
      <c r="E281" s="4"/>
    </row>
    <row r="282" spans="1:5" ht="15.75" customHeight="1" x14ac:dyDescent="0.25">
      <c r="A282" s="4"/>
      <c r="B282" s="4"/>
      <c r="C282" s="4"/>
      <c r="D282" s="4"/>
      <c r="E282" s="4"/>
    </row>
    <row r="283" spans="1:5" ht="15.75" customHeight="1" x14ac:dyDescent="0.25">
      <c r="A283" s="4"/>
      <c r="B283" s="4"/>
      <c r="C283" s="4"/>
      <c r="D283" s="4"/>
      <c r="E283" s="4"/>
    </row>
    <row r="284" spans="1:5" ht="15.75" customHeight="1" x14ac:dyDescent="0.25">
      <c r="A284" s="4"/>
      <c r="B284" s="4"/>
      <c r="C284" s="4"/>
      <c r="D284" s="4"/>
      <c r="E284" s="4"/>
    </row>
    <row r="285" spans="1:5" ht="15.75" customHeight="1" x14ac:dyDescent="0.25">
      <c r="A285" s="4"/>
      <c r="B285" s="4"/>
      <c r="C285" s="4"/>
      <c r="D285" s="4"/>
      <c r="E285" s="4"/>
    </row>
    <row r="286" spans="1:5" ht="15.75" customHeight="1" x14ac:dyDescent="0.25">
      <c r="A286" s="4"/>
      <c r="B286" s="4"/>
      <c r="C286" s="4"/>
      <c r="D286" s="4"/>
      <c r="E286" s="4"/>
    </row>
    <row r="287" spans="1:5" ht="15.75" customHeight="1" x14ac:dyDescent="0.25">
      <c r="A287" s="4"/>
      <c r="B287" s="4"/>
      <c r="C287" s="4"/>
      <c r="D287" s="4"/>
      <c r="E287" s="4"/>
    </row>
    <row r="288" spans="1:5" ht="15.75" customHeight="1" x14ac:dyDescent="0.25">
      <c r="A288" s="4"/>
      <c r="B288" s="4"/>
      <c r="C288" s="4"/>
      <c r="D288" s="4"/>
      <c r="E288" s="4"/>
    </row>
    <row r="289" spans="1:5" ht="15.75" customHeight="1" x14ac:dyDescent="0.25">
      <c r="A289" s="4"/>
      <c r="B289" s="4"/>
      <c r="C289" s="4"/>
      <c r="D289" s="4"/>
      <c r="E289" s="4"/>
    </row>
    <row r="290" spans="1:5" ht="15.75" customHeight="1" x14ac:dyDescent="0.25">
      <c r="A290" s="4"/>
      <c r="B290" s="4"/>
      <c r="C290" s="4"/>
      <c r="D290" s="4"/>
      <c r="E290" s="4"/>
    </row>
    <row r="291" spans="1:5" ht="15.75" customHeight="1" x14ac:dyDescent="0.25">
      <c r="A291" s="4"/>
      <c r="B291" s="4"/>
      <c r="C291" s="4"/>
      <c r="D291" s="4"/>
      <c r="E291" s="4"/>
    </row>
    <row r="292" spans="1:5" ht="15.75" customHeight="1" x14ac:dyDescent="0.25">
      <c r="A292" s="4"/>
      <c r="B292" s="4"/>
      <c r="C292" s="4"/>
      <c r="D292" s="4"/>
      <c r="E292" s="4"/>
    </row>
    <row r="293" spans="1:5" ht="15.75" customHeight="1" x14ac:dyDescent="0.25">
      <c r="A293" s="4"/>
      <c r="B293" s="4"/>
      <c r="C293" s="4"/>
      <c r="D293" s="4"/>
      <c r="E293" s="4"/>
    </row>
    <row r="294" spans="1:5" ht="15.75" customHeight="1" x14ac:dyDescent="0.25">
      <c r="A294" s="4"/>
      <c r="B294" s="4"/>
      <c r="C294" s="4"/>
      <c r="D294" s="4"/>
      <c r="E294" s="4"/>
    </row>
    <row r="295" spans="1:5" ht="15.75" customHeight="1" x14ac:dyDescent="0.25">
      <c r="A295" s="4"/>
      <c r="B295" s="4"/>
      <c r="C295" s="4"/>
      <c r="D295" s="4"/>
      <c r="E295" s="4"/>
    </row>
    <row r="296" spans="1:5" ht="15.75" customHeight="1" x14ac:dyDescent="0.25">
      <c r="A296" s="4"/>
      <c r="B296" s="4"/>
      <c r="C296" s="4"/>
      <c r="D296" s="4"/>
      <c r="E296" s="4"/>
    </row>
    <row r="297" spans="1:5" ht="15.75" customHeight="1" x14ac:dyDescent="0.25">
      <c r="A297" s="4"/>
      <c r="B297" s="4"/>
      <c r="C297" s="4"/>
      <c r="D297" s="4"/>
      <c r="E297" s="4"/>
    </row>
    <row r="298" spans="1:5" ht="15.75" customHeight="1" x14ac:dyDescent="0.25">
      <c r="A298" s="4"/>
      <c r="B298" s="4"/>
      <c r="C298" s="4"/>
      <c r="D298" s="4"/>
      <c r="E298" s="4"/>
    </row>
    <row r="299" spans="1:5" ht="15.75" customHeight="1" x14ac:dyDescent="0.25">
      <c r="A299" s="4"/>
      <c r="B299" s="4"/>
      <c r="C299" s="4"/>
      <c r="D299" s="4"/>
      <c r="E299" s="4"/>
    </row>
    <row r="300" spans="1:5" ht="15.75" customHeight="1" x14ac:dyDescent="0.25">
      <c r="A300" s="4"/>
      <c r="B300" s="4"/>
      <c r="C300" s="4"/>
      <c r="D300" s="4"/>
      <c r="E300" s="4"/>
    </row>
    <row r="301" spans="1:5" ht="15.75" customHeight="1" x14ac:dyDescent="0.25">
      <c r="A301" s="4"/>
      <c r="B301" s="4"/>
      <c r="C301" s="4"/>
      <c r="D301" s="4"/>
      <c r="E301" s="4"/>
    </row>
    <row r="302" spans="1:5" ht="15.75" customHeight="1" x14ac:dyDescent="0.25">
      <c r="A302" s="4"/>
      <c r="B302" s="4"/>
      <c r="C302" s="4"/>
      <c r="D302" s="4"/>
      <c r="E302" s="4"/>
    </row>
    <row r="303" spans="1:5" ht="15.75" customHeight="1" x14ac:dyDescent="0.25">
      <c r="A303" s="4"/>
      <c r="B303" s="4"/>
      <c r="C303" s="4"/>
      <c r="D303" s="4"/>
      <c r="E303" s="4"/>
    </row>
    <row r="304" spans="1:5" ht="15.75" customHeight="1" x14ac:dyDescent="0.25">
      <c r="A304" s="4"/>
      <c r="B304" s="4"/>
      <c r="C304" s="4"/>
      <c r="D304" s="4"/>
      <c r="E304" s="4"/>
    </row>
    <row r="305" spans="1:5" ht="15.75" customHeight="1" x14ac:dyDescent="0.25">
      <c r="A305" s="4"/>
      <c r="B305" s="4"/>
      <c r="C305" s="4"/>
      <c r="D305" s="4"/>
      <c r="E305" s="4"/>
    </row>
    <row r="306" spans="1:5" ht="15.75" customHeight="1" x14ac:dyDescent="0.25">
      <c r="A306" s="4"/>
      <c r="B306" s="4"/>
      <c r="C306" s="4"/>
      <c r="D306" s="4"/>
      <c r="E306" s="4"/>
    </row>
    <row r="307" spans="1:5" ht="15.75" customHeight="1" x14ac:dyDescent="0.25">
      <c r="A307" s="4"/>
      <c r="B307" s="4"/>
      <c r="C307" s="4"/>
      <c r="D307" s="4"/>
      <c r="E307" s="4"/>
    </row>
    <row r="308" spans="1:5" ht="15.75" customHeight="1" x14ac:dyDescent="0.25">
      <c r="A308" s="4"/>
      <c r="B308" s="4"/>
      <c r="C308" s="4"/>
      <c r="D308" s="4"/>
      <c r="E308" s="4"/>
    </row>
    <row r="309" spans="1:5" ht="15.75" customHeight="1" x14ac:dyDescent="0.25">
      <c r="A309" s="4"/>
      <c r="B309" s="4"/>
      <c r="C309" s="4"/>
      <c r="D309" s="4"/>
      <c r="E309" s="4"/>
    </row>
    <row r="310" spans="1:5" ht="15.75" customHeight="1" x14ac:dyDescent="0.25">
      <c r="A310" s="4"/>
      <c r="B310" s="4"/>
      <c r="C310" s="4"/>
      <c r="D310" s="4"/>
      <c r="E310" s="4"/>
    </row>
    <row r="311" spans="1:5" ht="15.75" customHeight="1" x14ac:dyDescent="0.25">
      <c r="A311" s="4"/>
      <c r="B311" s="4"/>
      <c r="C311" s="4"/>
      <c r="D311" s="4"/>
      <c r="E311" s="4"/>
    </row>
    <row r="312" spans="1:5" ht="15.75" customHeight="1" x14ac:dyDescent="0.25">
      <c r="A312" s="4"/>
      <c r="B312" s="4"/>
      <c r="C312" s="4"/>
      <c r="D312" s="4"/>
      <c r="E312" s="4"/>
    </row>
    <row r="313" spans="1:5" ht="15.75" customHeight="1" x14ac:dyDescent="0.25">
      <c r="A313" s="4"/>
      <c r="B313" s="4"/>
      <c r="C313" s="4"/>
      <c r="D313" s="4"/>
      <c r="E313" s="4"/>
    </row>
    <row r="314" spans="1:5" ht="15.75" customHeight="1" x14ac:dyDescent="0.25">
      <c r="A314" s="4"/>
      <c r="B314" s="4"/>
      <c r="C314" s="4"/>
      <c r="D314" s="4"/>
      <c r="E314" s="4"/>
    </row>
    <row r="315" spans="1:5" ht="15.75" customHeight="1" x14ac:dyDescent="0.25">
      <c r="A315" s="4"/>
      <c r="B315" s="4"/>
      <c r="C315" s="4"/>
      <c r="D315" s="4"/>
      <c r="E315" s="4"/>
    </row>
    <row r="316" spans="1:5" ht="15.75" customHeight="1" x14ac:dyDescent="0.25">
      <c r="A316" s="4"/>
      <c r="B316" s="4"/>
      <c r="C316" s="4"/>
      <c r="D316" s="4"/>
      <c r="E316" s="4"/>
    </row>
    <row r="317" spans="1:5" ht="15.75" customHeight="1" x14ac:dyDescent="0.25">
      <c r="A317" s="4"/>
      <c r="B317" s="4"/>
      <c r="C317" s="4"/>
      <c r="D317" s="4"/>
      <c r="E317" s="4"/>
    </row>
    <row r="318" spans="1:5" ht="15.75" customHeight="1" x14ac:dyDescent="0.25">
      <c r="A318" s="4"/>
      <c r="B318" s="4"/>
      <c r="C318" s="4"/>
      <c r="D318" s="4"/>
      <c r="E318" s="4"/>
    </row>
    <row r="319" spans="1:5" ht="15.75" customHeight="1" x14ac:dyDescent="0.25">
      <c r="A319" s="4"/>
      <c r="B319" s="4"/>
      <c r="C319" s="4"/>
      <c r="D319" s="4"/>
      <c r="E319" s="4"/>
    </row>
    <row r="320" spans="1:5" ht="15.75" customHeight="1" x14ac:dyDescent="0.25">
      <c r="A320" s="4"/>
      <c r="B320" s="4"/>
      <c r="C320" s="4"/>
      <c r="D320" s="4"/>
      <c r="E320" s="4"/>
    </row>
    <row r="321" spans="1:5" ht="15.75" customHeight="1" x14ac:dyDescent="0.25">
      <c r="A321" s="4"/>
      <c r="B321" s="4"/>
      <c r="C321" s="4"/>
      <c r="D321" s="4"/>
      <c r="E321" s="4"/>
    </row>
    <row r="322" spans="1:5" ht="15.75" customHeight="1" x14ac:dyDescent="0.25">
      <c r="A322" s="4"/>
      <c r="B322" s="4"/>
      <c r="C322" s="4"/>
      <c r="D322" s="4"/>
      <c r="E322" s="4"/>
    </row>
    <row r="323" spans="1:5" ht="15.75" customHeight="1" x14ac:dyDescent="0.25">
      <c r="A323" s="4"/>
      <c r="B323" s="4"/>
      <c r="C323" s="4"/>
      <c r="D323" s="4"/>
      <c r="E323" s="4"/>
    </row>
    <row r="324" spans="1:5" ht="15.75" customHeight="1" x14ac:dyDescent="0.25">
      <c r="A324" s="4"/>
      <c r="B324" s="4"/>
      <c r="C324" s="4"/>
      <c r="D324" s="4"/>
      <c r="E324" s="4"/>
    </row>
    <row r="325" spans="1:5" ht="15.75" customHeight="1" x14ac:dyDescent="0.25">
      <c r="A325" s="4"/>
      <c r="B325" s="4"/>
      <c r="C325" s="4"/>
      <c r="D325" s="4"/>
      <c r="E325" s="4"/>
    </row>
    <row r="326" spans="1:5" ht="15.75" customHeight="1" x14ac:dyDescent="0.25">
      <c r="A326" s="4"/>
      <c r="B326" s="4"/>
      <c r="C326" s="4"/>
      <c r="D326" s="4"/>
      <c r="E326" s="4"/>
    </row>
    <row r="327" spans="1:5" ht="15.75" customHeight="1" x14ac:dyDescent="0.25">
      <c r="A327" s="4"/>
      <c r="B327" s="4"/>
      <c r="C327" s="4"/>
      <c r="D327" s="4"/>
      <c r="E327" s="4"/>
    </row>
    <row r="328" spans="1:5" ht="15.75" customHeight="1" x14ac:dyDescent="0.25">
      <c r="A328" s="4"/>
      <c r="B328" s="4"/>
      <c r="C328" s="4"/>
      <c r="D328" s="4"/>
      <c r="E328" s="4"/>
    </row>
    <row r="329" spans="1:5" ht="15.75" customHeight="1" x14ac:dyDescent="0.25">
      <c r="A329" s="4"/>
      <c r="B329" s="4"/>
      <c r="C329" s="4"/>
      <c r="D329" s="4"/>
      <c r="E329" s="4"/>
    </row>
    <row r="330" spans="1:5" ht="15.75" customHeight="1" x14ac:dyDescent="0.25">
      <c r="A330" s="4"/>
      <c r="B330" s="4"/>
      <c r="C330" s="4"/>
      <c r="D330" s="4"/>
      <c r="E330" s="4"/>
    </row>
    <row r="331" spans="1:5" ht="15.75" customHeight="1" x14ac:dyDescent="0.25">
      <c r="A331" s="4"/>
      <c r="B331" s="4"/>
      <c r="C331" s="4"/>
      <c r="D331" s="4"/>
      <c r="E331" s="4"/>
    </row>
    <row r="332" spans="1:5" ht="15.75" customHeight="1" x14ac:dyDescent="0.25">
      <c r="A332" s="4"/>
      <c r="B332" s="4"/>
      <c r="C332" s="4"/>
      <c r="D332" s="4"/>
      <c r="E332" s="4"/>
    </row>
    <row r="333" spans="1:5" ht="15.75" customHeight="1" x14ac:dyDescent="0.25">
      <c r="A333" s="4"/>
      <c r="B333" s="4"/>
      <c r="C333" s="4"/>
      <c r="D333" s="4"/>
      <c r="E333" s="4"/>
    </row>
    <row r="334" spans="1:5" ht="15.75" customHeight="1" x14ac:dyDescent="0.25">
      <c r="A334" s="4"/>
      <c r="B334" s="4"/>
      <c r="C334" s="4"/>
      <c r="D334" s="4"/>
      <c r="E334" s="4"/>
    </row>
    <row r="335" spans="1:5" ht="15.75" customHeight="1" x14ac:dyDescent="0.25">
      <c r="A335" s="4"/>
      <c r="B335" s="4"/>
      <c r="C335" s="4"/>
      <c r="D335" s="4"/>
      <c r="E335" s="4"/>
    </row>
    <row r="336" spans="1:5" ht="15.75" customHeight="1" x14ac:dyDescent="0.25">
      <c r="A336" s="4"/>
      <c r="B336" s="4"/>
      <c r="C336" s="4"/>
      <c r="D336" s="4"/>
      <c r="E336" s="4"/>
    </row>
    <row r="337" spans="1:5" ht="15.75" customHeight="1" x14ac:dyDescent="0.25">
      <c r="A337" s="4"/>
      <c r="B337" s="4"/>
      <c r="C337" s="4"/>
      <c r="D337" s="4"/>
      <c r="E337" s="4"/>
    </row>
    <row r="338" spans="1:5" ht="15.75" customHeight="1" x14ac:dyDescent="0.25">
      <c r="A338" s="4"/>
      <c r="B338" s="4"/>
      <c r="C338" s="4"/>
      <c r="D338" s="4"/>
      <c r="E338" s="4"/>
    </row>
    <row r="339" spans="1:5" ht="15.75" customHeight="1" x14ac:dyDescent="0.25">
      <c r="A339" s="4"/>
      <c r="B339" s="4"/>
      <c r="C339" s="4"/>
      <c r="D339" s="4"/>
      <c r="E339" s="4"/>
    </row>
    <row r="340" spans="1:5" ht="15.75" customHeight="1" x14ac:dyDescent="0.25">
      <c r="A340" s="4"/>
      <c r="B340" s="4"/>
      <c r="C340" s="4"/>
      <c r="D340" s="4"/>
      <c r="E340" s="4"/>
    </row>
    <row r="341" spans="1:5" ht="15.75" customHeight="1" x14ac:dyDescent="0.25">
      <c r="A341" s="4"/>
      <c r="B341" s="4"/>
      <c r="C341" s="4"/>
      <c r="D341" s="4"/>
      <c r="E341" s="4"/>
    </row>
    <row r="342" spans="1:5" ht="15.75" customHeight="1" x14ac:dyDescent="0.25">
      <c r="A342" s="4"/>
      <c r="B342" s="4"/>
      <c r="C342" s="4"/>
      <c r="D342" s="4"/>
      <c r="E342" s="4"/>
    </row>
    <row r="343" spans="1:5" ht="15.75" customHeight="1" x14ac:dyDescent="0.25">
      <c r="A343" s="4"/>
      <c r="B343" s="4"/>
      <c r="C343" s="4"/>
      <c r="D343" s="4"/>
      <c r="E343" s="4"/>
    </row>
    <row r="344" spans="1:5" ht="15.75" customHeight="1" x14ac:dyDescent="0.25">
      <c r="A344" s="4"/>
      <c r="B344" s="4"/>
      <c r="C344" s="4"/>
      <c r="D344" s="4"/>
      <c r="E344" s="4"/>
    </row>
    <row r="345" spans="1:5" ht="15.75" customHeight="1" x14ac:dyDescent="0.25">
      <c r="A345" s="4"/>
      <c r="B345" s="4"/>
      <c r="C345" s="4"/>
      <c r="D345" s="4"/>
      <c r="E345" s="4"/>
    </row>
    <row r="346" spans="1:5" ht="15.75" customHeight="1" x14ac:dyDescent="0.25">
      <c r="A346" s="4"/>
      <c r="B346" s="4"/>
      <c r="C346" s="4"/>
      <c r="D346" s="4"/>
      <c r="E346" s="4"/>
    </row>
    <row r="347" spans="1:5" ht="15.75" customHeight="1" x14ac:dyDescent="0.25">
      <c r="A347" s="4"/>
      <c r="B347" s="4"/>
      <c r="C347" s="4"/>
      <c r="D347" s="4"/>
      <c r="E347" s="4"/>
    </row>
    <row r="348" spans="1:5" ht="15.75" customHeight="1" x14ac:dyDescent="0.25">
      <c r="A348" s="4"/>
      <c r="B348" s="4"/>
      <c r="C348" s="4"/>
      <c r="D348" s="4"/>
      <c r="E348" s="4"/>
    </row>
    <row r="349" spans="1:5" ht="15.75" customHeight="1" x14ac:dyDescent="0.25">
      <c r="A349" s="4"/>
      <c r="B349" s="4"/>
      <c r="C349" s="4"/>
      <c r="D349" s="4"/>
      <c r="E349" s="4"/>
    </row>
    <row r="350" spans="1:5" ht="15.75" customHeight="1" x14ac:dyDescent="0.25">
      <c r="A350" s="4"/>
      <c r="B350" s="4"/>
      <c r="C350" s="4"/>
      <c r="D350" s="4"/>
      <c r="E350" s="4"/>
    </row>
    <row r="351" spans="1:5" ht="15.75" customHeight="1" x14ac:dyDescent="0.25">
      <c r="A351" s="4"/>
      <c r="B351" s="4"/>
      <c r="C351" s="4"/>
      <c r="D351" s="4"/>
      <c r="E351" s="4"/>
    </row>
    <row r="352" spans="1:5" ht="15.75" customHeight="1" x14ac:dyDescent="0.25">
      <c r="A352" s="4"/>
      <c r="B352" s="4"/>
      <c r="C352" s="4"/>
      <c r="D352" s="4"/>
      <c r="E352" s="4"/>
    </row>
    <row r="353" spans="1:5" ht="15.75" customHeight="1" x14ac:dyDescent="0.25">
      <c r="A353" s="4"/>
      <c r="B353" s="4"/>
      <c r="C353" s="4"/>
      <c r="D353" s="4"/>
      <c r="E353" s="4"/>
    </row>
    <row r="354" spans="1:5" ht="15.75" customHeight="1" x14ac:dyDescent="0.25">
      <c r="A354" s="4"/>
      <c r="B354" s="4"/>
      <c r="C354" s="4"/>
      <c r="D354" s="4"/>
      <c r="E354" s="4"/>
    </row>
    <row r="355" spans="1:5" ht="15.75" customHeight="1" x14ac:dyDescent="0.25">
      <c r="A355" s="4"/>
      <c r="B355" s="4"/>
      <c r="C355" s="4"/>
      <c r="D355" s="4"/>
      <c r="E355" s="4"/>
    </row>
    <row r="356" spans="1:5" ht="15.75" customHeight="1" x14ac:dyDescent="0.25">
      <c r="A356" s="4"/>
      <c r="B356" s="4"/>
      <c r="C356" s="4"/>
      <c r="D356" s="4"/>
      <c r="E356" s="4"/>
    </row>
    <row r="357" spans="1:5" ht="15.75" customHeight="1" x14ac:dyDescent="0.25">
      <c r="A357" s="4"/>
      <c r="B357" s="4"/>
      <c r="C357" s="4"/>
      <c r="D357" s="4"/>
      <c r="E357" s="4"/>
    </row>
    <row r="358" spans="1:5" ht="15.75" customHeight="1" x14ac:dyDescent="0.25">
      <c r="A358" s="4"/>
      <c r="B358" s="4"/>
      <c r="C358" s="4"/>
      <c r="D358" s="4"/>
      <c r="E358" s="4"/>
    </row>
    <row r="359" spans="1:5" ht="15.75" customHeight="1" x14ac:dyDescent="0.25">
      <c r="A359" s="4"/>
      <c r="B359" s="4"/>
      <c r="C359" s="4"/>
      <c r="D359" s="4"/>
      <c r="E359" s="4"/>
    </row>
    <row r="360" spans="1:5" ht="15.75" customHeight="1" x14ac:dyDescent="0.25">
      <c r="A360" s="4"/>
      <c r="B360" s="4"/>
      <c r="C360" s="4"/>
      <c r="D360" s="4"/>
      <c r="E360" s="4"/>
    </row>
    <row r="361" spans="1:5" ht="15.75" customHeight="1" x14ac:dyDescent="0.25">
      <c r="A361" s="4"/>
      <c r="B361" s="4"/>
      <c r="C361" s="4"/>
      <c r="D361" s="4"/>
      <c r="E361" s="4"/>
    </row>
    <row r="362" spans="1:5" ht="15.75" customHeight="1" x14ac:dyDescent="0.25">
      <c r="A362" s="4"/>
      <c r="B362" s="4"/>
      <c r="C362" s="4"/>
      <c r="D362" s="4"/>
      <c r="E362" s="4"/>
    </row>
    <row r="363" spans="1:5" ht="15.75" customHeight="1" x14ac:dyDescent="0.25">
      <c r="A363" s="4"/>
      <c r="B363" s="4"/>
      <c r="C363" s="4"/>
      <c r="D363" s="4"/>
      <c r="E363" s="4"/>
    </row>
    <row r="364" spans="1:5" ht="15.75" customHeight="1" x14ac:dyDescent="0.25">
      <c r="A364" s="4"/>
      <c r="B364" s="4"/>
      <c r="C364" s="4"/>
      <c r="D364" s="4"/>
      <c r="E364" s="4"/>
    </row>
    <row r="365" spans="1:5" ht="15.75" customHeight="1" x14ac:dyDescent="0.25">
      <c r="A365" s="4"/>
      <c r="B365" s="4"/>
      <c r="C365" s="4"/>
      <c r="D365" s="4"/>
      <c r="E365" s="4"/>
    </row>
    <row r="366" spans="1:5" ht="15.75" customHeight="1" x14ac:dyDescent="0.25">
      <c r="A366" s="4"/>
      <c r="B366" s="4"/>
      <c r="C366" s="4"/>
      <c r="D366" s="4"/>
      <c r="E366" s="4"/>
    </row>
    <row r="367" spans="1:5" ht="15.75" customHeight="1" x14ac:dyDescent="0.25">
      <c r="A367" s="4"/>
      <c r="B367" s="4"/>
      <c r="C367" s="4"/>
      <c r="D367" s="4"/>
      <c r="E367" s="4"/>
    </row>
    <row r="368" spans="1:5" ht="15.75" customHeight="1" x14ac:dyDescent="0.25">
      <c r="A368" s="4"/>
      <c r="B368" s="4"/>
      <c r="C368" s="4"/>
      <c r="D368" s="4"/>
      <c r="E368" s="4"/>
    </row>
    <row r="369" spans="1:5" ht="15.75" customHeight="1" x14ac:dyDescent="0.25">
      <c r="A369" s="4"/>
      <c r="B369" s="4"/>
      <c r="C369" s="4"/>
      <c r="D369" s="4"/>
      <c r="E369" s="4"/>
    </row>
    <row r="370" spans="1:5" ht="15.75" customHeight="1" x14ac:dyDescent="0.25">
      <c r="A370" s="4"/>
      <c r="B370" s="4"/>
      <c r="C370" s="4"/>
      <c r="D370" s="4"/>
      <c r="E370" s="4"/>
    </row>
    <row r="371" spans="1:5" ht="15.75" customHeight="1" x14ac:dyDescent="0.25">
      <c r="A371" s="4"/>
      <c r="B371" s="4"/>
      <c r="C371" s="4"/>
      <c r="D371" s="4"/>
      <c r="E371" s="4"/>
    </row>
    <row r="372" spans="1:5" ht="15.75" customHeight="1" x14ac:dyDescent="0.25">
      <c r="A372" s="4"/>
      <c r="B372" s="4"/>
      <c r="C372" s="4"/>
      <c r="D372" s="4"/>
      <c r="E372" s="4"/>
    </row>
    <row r="373" spans="1:5" ht="15.75" customHeight="1" x14ac:dyDescent="0.25">
      <c r="A373" s="4"/>
      <c r="B373" s="4"/>
      <c r="C373" s="4"/>
      <c r="D373" s="4"/>
      <c r="E373" s="4"/>
    </row>
    <row r="374" spans="1:5" ht="15.75" customHeight="1" x14ac:dyDescent="0.25">
      <c r="A374" s="4"/>
      <c r="B374" s="4"/>
      <c r="C374" s="4"/>
      <c r="D374" s="4"/>
      <c r="E374" s="4"/>
    </row>
    <row r="375" spans="1:5" ht="15.75" customHeight="1" x14ac:dyDescent="0.25">
      <c r="A375" s="4"/>
      <c r="B375" s="4"/>
      <c r="C375" s="4"/>
      <c r="D375" s="4"/>
      <c r="E375" s="4"/>
    </row>
    <row r="376" spans="1:5" ht="15.75" customHeight="1" x14ac:dyDescent="0.25">
      <c r="A376" s="4"/>
      <c r="B376" s="4"/>
      <c r="C376" s="4"/>
      <c r="D376" s="4"/>
      <c r="E376" s="4"/>
    </row>
    <row r="377" spans="1:5" ht="15.75" customHeight="1" x14ac:dyDescent="0.25">
      <c r="A377" s="4"/>
      <c r="B377" s="4"/>
      <c r="C377" s="4"/>
      <c r="D377" s="4"/>
      <c r="E377" s="4"/>
    </row>
    <row r="378" spans="1:5" ht="15.75" customHeight="1" x14ac:dyDescent="0.25">
      <c r="A378" s="4"/>
      <c r="B378" s="4"/>
      <c r="C378" s="4"/>
      <c r="D378" s="4"/>
      <c r="E378" s="4"/>
    </row>
    <row r="379" spans="1:5" ht="15.75" customHeight="1" x14ac:dyDescent="0.25">
      <c r="A379" s="4"/>
      <c r="B379" s="4"/>
      <c r="C379" s="4"/>
      <c r="D379" s="4"/>
      <c r="E379" s="4"/>
    </row>
    <row r="380" spans="1:5" ht="15.75" customHeight="1" x14ac:dyDescent="0.25">
      <c r="A380" s="4"/>
      <c r="B380" s="4"/>
      <c r="C380" s="4"/>
      <c r="D380" s="4"/>
      <c r="E380" s="4"/>
    </row>
    <row r="381" spans="1:5" ht="15.75" customHeight="1" x14ac:dyDescent="0.25">
      <c r="A381" s="4"/>
      <c r="B381" s="4"/>
      <c r="C381" s="4"/>
      <c r="D381" s="4"/>
      <c r="E381" s="4"/>
    </row>
    <row r="382" spans="1:5" ht="15.75" customHeight="1" x14ac:dyDescent="0.25">
      <c r="A382" s="4"/>
      <c r="B382" s="4"/>
      <c r="C382" s="4"/>
      <c r="D382" s="4"/>
      <c r="E382" s="4"/>
    </row>
    <row r="383" spans="1:5" ht="15.75" customHeight="1" x14ac:dyDescent="0.25">
      <c r="A383" s="4"/>
      <c r="B383" s="4"/>
      <c r="C383" s="4"/>
      <c r="D383" s="4"/>
      <c r="E383" s="4"/>
    </row>
    <row r="384" spans="1:5" ht="15.75" customHeight="1" x14ac:dyDescent="0.25">
      <c r="A384" s="4"/>
      <c r="B384" s="4"/>
      <c r="C384" s="4"/>
      <c r="D384" s="4"/>
      <c r="E384" s="4"/>
    </row>
    <row r="385" spans="1:5" ht="15.75" customHeight="1" x14ac:dyDescent="0.25">
      <c r="A385" s="4"/>
      <c r="B385" s="4"/>
      <c r="C385" s="4"/>
      <c r="D385" s="4"/>
      <c r="E385" s="4"/>
    </row>
    <row r="386" spans="1:5" ht="15.75" customHeight="1" x14ac:dyDescent="0.25">
      <c r="A386" s="4"/>
      <c r="B386" s="4"/>
      <c r="C386" s="4"/>
      <c r="D386" s="4"/>
      <c r="E386" s="4"/>
    </row>
    <row r="387" spans="1:5" ht="15.75" customHeight="1" x14ac:dyDescent="0.25">
      <c r="A387" s="4"/>
      <c r="B387" s="4"/>
      <c r="C387" s="4"/>
      <c r="D387" s="4"/>
      <c r="E387" s="4"/>
    </row>
    <row r="388" spans="1:5" ht="15.75" customHeight="1" x14ac:dyDescent="0.25">
      <c r="A388" s="4"/>
      <c r="B388" s="4"/>
      <c r="C388" s="4"/>
      <c r="D388" s="4"/>
      <c r="E388" s="4"/>
    </row>
    <row r="389" spans="1:5" ht="15.75" customHeight="1" x14ac:dyDescent="0.25">
      <c r="A389" s="4"/>
      <c r="B389" s="4"/>
      <c r="C389" s="4"/>
      <c r="D389" s="4"/>
      <c r="E389" s="4"/>
    </row>
    <row r="390" spans="1:5" ht="15.75" customHeight="1" x14ac:dyDescent="0.25">
      <c r="A390" s="4"/>
      <c r="B390" s="4"/>
      <c r="C390" s="4"/>
      <c r="D390" s="4"/>
      <c r="E390" s="4"/>
    </row>
    <row r="391" spans="1:5" ht="15.75" customHeight="1" x14ac:dyDescent="0.25">
      <c r="A391" s="4"/>
      <c r="B391" s="4"/>
      <c r="C391" s="4"/>
      <c r="D391" s="4"/>
      <c r="E391" s="4"/>
    </row>
    <row r="392" spans="1:5" ht="15.75" customHeight="1" x14ac:dyDescent="0.25">
      <c r="A392" s="4"/>
      <c r="B392" s="4"/>
      <c r="C392" s="4"/>
      <c r="D392" s="4"/>
      <c r="E392" s="4"/>
    </row>
    <row r="393" spans="1:5" ht="15.75" customHeight="1" x14ac:dyDescent="0.25">
      <c r="A393" s="4"/>
      <c r="B393" s="4"/>
      <c r="C393" s="4"/>
      <c r="D393" s="4"/>
      <c r="E393" s="4"/>
    </row>
    <row r="394" spans="1:5" ht="15.75" customHeight="1" x14ac:dyDescent="0.25">
      <c r="A394" s="4"/>
      <c r="B394" s="4"/>
      <c r="C394" s="4"/>
      <c r="D394" s="4"/>
      <c r="E394" s="4"/>
    </row>
    <row r="395" spans="1:5" ht="15.75" customHeight="1" x14ac:dyDescent="0.25">
      <c r="A395" s="4"/>
      <c r="B395" s="4"/>
      <c r="C395" s="4"/>
      <c r="D395" s="4"/>
      <c r="E395" s="4"/>
    </row>
    <row r="396" spans="1:5" ht="15.75" customHeight="1" x14ac:dyDescent="0.25">
      <c r="A396" s="4"/>
      <c r="B396" s="4"/>
      <c r="C396" s="4"/>
      <c r="D396" s="4"/>
      <c r="E396" s="4"/>
    </row>
    <row r="397" spans="1:5" ht="15.75" customHeight="1" x14ac:dyDescent="0.25">
      <c r="A397" s="4"/>
      <c r="B397" s="4"/>
      <c r="C397" s="4"/>
      <c r="D397" s="4"/>
      <c r="E397" s="4"/>
    </row>
    <row r="398" spans="1:5" ht="15.75" customHeight="1" x14ac:dyDescent="0.25">
      <c r="A398" s="4"/>
      <c r="B398" s="4"/>
      <c r="C398" s="4"/>
      <c r="D398" s="4"/>
      <c r="E398" s="4"/>
    </row>
    <row r="399" spans="1:5" ht="15.75" customHeight="1" x14ac:dyDescent="0.25">
      <c r="A399" s="4"/>
      <c r="B399" s="4"/>
      <c r="C399" s="4"/>
      <c r="D399" s="4"/>
      <c r="E399" s="4"/>
    </row>
    <row r="400" spans="1:5" ht="15.75" customHeight="1" x14ac:dyDescent="0.25">
      <c r="A400" s="4"/>
      <c r="B400" s="4"/>
      <c r="C400" s="4"/>
      <c r="D400" s="4"/>
      <c r="E400" s="4"/>
    </row>
    <row r="401" spans="1:5" ht="15.75" customHeight="1" x14ac:dyDescent="0.25">
      <c r="A401" s="4"/>
      <c r="B401" s="4"/>
      <c r="C401" s="4"/>
      <c r="D401" s="4"/>
      <c r="E401" s="4"/>
    </row>
    <row r="402" spans="1:5" ht="15.75" customHeight="1" x14ac:dyDescent="0.25">
      <c r="A402" s="4"/>
      <c r="B402" s="4"/>
      <c r="C402" s="4"/>
      <c r="D402" s="4"/>
      <c r="E402" s="4"/>
    </row>
    <row r="403" spans="1:5" ht="15.75" customHeight="1" x14ac:dyDescent="0.25">
      <c r="A403" s="4"/>
      <c r="B403" s="4"/>
      <c r="C403" s="4"/>
      <c r="D403" s="4"/>
      <c r="E403" s="4"/>
    </row>
    <row r="404" spans="1:5" ht="15.75" customHeight="1" x14ac:dyDescent="0.25">
      <c r="A404" s="4"/>
      <c r="B404" s="4"/>
      <c r="C404" s="4"/>
      <c r="D404" s="4"/>
      <c r="E404" s="4"/>
    </row>
    <row r="405" spans="1:5" ht="15.75" customHeight="1" x14ac:dyDescent="0.25">
      <c r="A405" s="4"/>
      <c r="B405" s="4"/>
      <c r="C405" s="4"/>
      <c r="D405" s="4"/>
      <c r="E405" s="4"/>
    </row>
    <row r="406" spans="1:5" ht="15.75" customHeight="1" x14ac:dyDescent="0.25">
      <c r="A406" s="4"/>
      <c r="B406" s="4"/>
      <c r="C406" s="4"/>
      <c r="D406" s="4"/>
      <c r="E406" s="4"/>
    </row>
    <row r="407" spans="1:5" ht="15.75" customHeight="1" x14ac:dyDescent="0.25">
      <c r="A407" s="4"/>
      <c r="B407" s="4"/>
      <c r="C407" s="4"/>
      <c r="D407" s="4"/>
      <c r="E407" s="4"/>
    </row>
    <row r="408" spans="1:5" ht="15.75" customHeight="1" x14ac:dyDescent="0.25">
      <c r="A408" s="4"/>
      <c r="B408" s="4"/>
      <c r="C408" s="4"/>
      <c r="D408" s="4"/>
      <c r="E408" s="4"/>
    </row>
    <row r="409" spans="1:5" ht="15.75" customHeight="1" x14ac:dyDescent="0.25">
      <c r="A409" s="4"/>
      <c r="B409" s="4"/>
      <c r="C409" s="4"/>
      <c r="D409" s="4"/>
      <c r="E409" s="4"/>
    </row>
    <row r="410" spans="1:5" ht="15.75" customHeight="1" x14ac:dyDescent="0.25">
      <c r="A410" s="4"/>
      <c r="B410" s="4"/>
      <c r="C410" s="4"/>
      <c r="D410" s="4"/>
      <c r="E410" s="4"/>
    </row>
    <row r="411" spans="1:5" ht="15.75" customHeight="1" x14ac:dyDescent="0.25">
      <c r="A411" s="4"/>
      <c r="B411" s="4"/>
      <c r="C411" s="4"/>
      <c r="D411" s="4"/>
      <c r="E411" s="4"/>
    </row>
    <row r="412" spans="1:5" ht="15.75" customHeight="1" x14ac:dyDescent="0.25">
      <c r="A412" s="4"/>
      <c r="B412" s="4"/>
      <c r="C412" s="4"/>
      <c r="D412" s="4"/>
      <c r="E412" s="4"/>
    </row>
    <row r="413" spans="1:5" ht="15.75" customHeight="1" x14ac:dyDescent="0.25">
      <c r="A413" s="4"/>
      <c r="B413" s="4"/>
      <c r="C413" s="4"/>
      <c r="D413" s="4"/>
      <c r="E413" s="4"/>
    </row>
    <row r="414" spans="1:5" ht="15.75" customHeight="1" x14ac:dyDescent="0.25">
      <c r="A414" s="4"/>
      <c r="B414" s="4"/>
      <c r="C414" s="4"/>
      <c r="D414" s="4"/>
      <c r="E414" s="4"/>
    </row>
    <row r="415" spans="1:5" ht="15.75" customHeight="1" x14ac:dyDescent="0.25">
      <c r="A415" s="4"/>
      <c r="B415" s="4"/>
      <c r="C415" s="4"/>
      <c r="D415" s="4"/>
      <c r="E415" s="4"/>
    </row>
    <row r="416" spans="1:5" ht="15.75" customHeight="1" x14ac:dyDescent="0.25">
      <c r="A416" s="4"/>
      <c r="B416" s="4"/>
      <c r="C416" s="4"/>
      <c r="D416" s="4"/>
      <c r="E416" s="4"/>
    </row>
    <row r="417" spans="1:5" ht="15.75" customHeight="1" x14ac:dyDescent="0.25">
      <c r="A417" s="4"/>
      <c r="B417" s="4"/>
      <c r="C417" s="4"/>
      <c r="D417" s="4"/>
      <c r="E417" s="4"/>
    </row>
    <row r="418" spans="1:5" ht="15.75" customHeight="1" x14ac:dyDescent="0.25">
      <c r="A418" s="4"/>
      <c r="B418" s="4"/>
      <c r="C418" s="4"/>
      <c r="D418" s="4"/>
      <c r="E418" s="4"/>
    </row>
    <row r="419" spans="1:5" ht="15.75" customHeight="1" x14ac:dyDescent="0.25">
      <c r="A419" s="4"/>
      <c r="B419" s="4"/>
      <c r="C419" s="4"/>
      <c r="D419" s="4"/>
      <c r="E419" s="4"/>
    </row>
    <row r="420" spans="1:5" ht="15.75" customHeight="1" x14ac:dyDescent="0.25">
      <c r="A420" s="4"/>
      <c r="B420" s="4"/>
      <c r="C420" s="4"/>
      <c r="D420" s="4"/>
      <c r="E420" s="4"/>
    </row>
    <row r="421" spans="1:5" ht="15.75" customHeight="1" x14ac:dyDescent="0.25">
      <c r="A421" s="4"/>
      <c r="B421" s="4"/>
      <c r="C421" s="4"/>
      <c r="D421" s="4"/>
      <c r="E421" s="4"/>
    </row>
    <row r="422" spans="1:5" ht="15.75" customHeight="1" x14ac:dyDescent="0.25">
      <c r="A422" s="4"/>
      <c r="B422" s="4"/>
      <c r="C422" s="4"/>
      <c r="D422" s="4"/>
      <c r="E422" s="4"/>
    </row>
    <row r="423" spans="1:5" ht="15.75" customHeight="1" x14ac:dyDescent="0.25">
      <c r="A423" s="4"/>
      <c r="B423" s="4"/>
      <c r="C423" s="4"/>
      <c r="D423" s="4"/>
      <c r="E423" s="4"/>
    </row>
    <row r="424" spans="1:5" ht="15.75" customHeight="1" x14ac:dyDescent="0.25">
      <c r="A424" s="4"/>
      <c r="B424" s="4"/>
      <c r="C424" s="4"/>
      <c r="D424" s="4"/>
      <c r="E424" s="4"/>
    </row>
    <row r="425" spans="1:5" ht="15.75" customHeight="1" x14ac:dyDescent="0.25">
      <c r="A425" s="4"/>
      <c r="B425" s="4"/>
      <c r="C425" s="4"/>
      <c r="D425" s="4"/>
      <c r="E425" s="4"/>
    </row>
    <row r="426" spans="1:5" ht="15.75" customHeight="1" x14ac:dyDescent="0.25">
      <c r="A426" s="4"/>
      <c r="B426" s="4"/>
      <c r="C426" s="4"/>
      <c r="D426" s="4"/>
      <c r="E426" s="4"/>
    </row>
    <row r="427" spans="1:5" ht="15.75" customHeight="1" x14ac:dyDescent="0.25">
      <c r="A427" s="4"/>
      <c r="B427" s="4"/>
      <c r="C427" s="4"/>
      <c r="D427" s="4"/>
      <c r="E427" s="4"/>
    </row>
    <row r="428" spans="1:5" ht="15.75" customHeight="1" x14ac:dyDescent="0.25">
      <c r="A428" s="4"/>
      <c r="B428" s="4"/>
      <c r="C428" s="4"/>
      <c r="D428" s="4"/>
      <c r="E428" s="4"/>
    </row>
    <row r="429" spans="1:5" ht="15.75" customHeight="1" x14ac:dyDescent="0.25">
      <c r="A429" s="4"/>
      <c r="B429" s="4"/>
      <c r="C429" s="4"/>
      <c r="D429" s="4"/>
      <c r="E429" s="4"/>
    </row>
    <row r="430" spans="1:5" ht="15.75" customHeight="1" x14ac:dyDescent="0.25">
      <c r="A430" s="4"/>
      <c r="B430" s="4"/>
      <c r="C430" s="4"/>
      <c r="D430" s="4"/>
      <c r="E430" s="4"/>
    </row>
    <row r="431" spans="1:5" ht="15.75" customHeight="1" x14ac:dyDescent="0.25">
      <c r="A431" s="4"/>
      <c r="B431" s="4"/>
      <c r="C431" s="4"/>
      <c r="D431" s="4"/>
      <c r="E431" s="4"/>
    </row>
    <row r="432" spans="1:5" ht="15.75" customHeight="1" x14ac:dyDescent="0.25">
      <c r="A432" s="4"/>
      <c r="B432" s="4"/>
      <c r="C432" s="4"/>
      <c r="D432" s="4"/>
      <c r="E432" s="4"/>
    </row>
    <row r="433" spans="1:5" ht="15.75" customHeight="1" x14ac:dyDescent="0.25">
      <c r="A433" s="4"/>
      <c r="B433" s="4"/>
      <c r="C433" s="4"/>
      <c r="D433" s="4"/>
      <c r="E433" s="4"/>
    </row>
    <row r="434" spans="1:5" ht="15.75" customHeight="1" x14ac:dyDescent="0.25">
      <c r="A434" s="4"/>
      <c r="B434" s="4"/>
      <c r="C434" s="4"/>
      <c r="D434" s="4"/>
      <c r="E434" s="4"/>
    </row>
    <row r="435" spans="1:5" ht="15.75" customHeight="1" x14ac:dyDescent="0.25">
      <c r="A435" s="4"/>
      <c r="B435" s="4"/>
      <c r="C435" s="4"/>
      <c r="D435" s="4"/>
      <c r="E435" s="4"/>
    </row>
    <row r="436" spans="1:5" ht="15.75" customHeight="1" x14ac:dyDescent="0.25">
      <c r="A436" s="4"/>
      <c r="B436" s="4"/>
      <c r="C436" s="4"/>
      <c r="D436" s="4"/>
      <c r="E436" s="4"/>
    </row>
    <row r="437" spans="1:5" ht="15.75" customHeight="1" x14ac:dyDescent="0.25">
      <c r="A437" s="4"/>
      <c r="B437" s="4"/>
      <c r="C437" s="4"/>
      <c r="D437" s="4"/>
      <c r="E437" s="4"/>
    </row>
    <row r="438" spans="1:5" ht="15.75" customHeight="1" x14ac:dyDescent="0.25">
      <c r="A438" s="4"/>
      <c r="B438" s="4"/>
      <c r="C438" s="4"/>
      <c r="D438" s="4"/>
      <c r="E438" s="4"/>
    </row>
    <row r="439" spans="1:5" ht="15.75" customHeight="1" x14ac:dyDescent="0.25">
      <c r="A439" s="4"/>
      <c r="B439" s="4"/>
      <c r="C439" s="4"/>
      <c r="D439" s="4"/>
      <c r="E439" s="4"/>
    </row>
    <row r="440" spans="1:5" ht="15.75" customHeight="1" x14ac:dyDescent="0.25">
      <c r="A440" s="4"/>
      <c r="B440" s="4"/>
      <c r="C440" s="4"/>
      <c r="D440" s="4"/>
      <c r="E440" s="4"/>
    </row>
    <row r="441" spans="1:5" ht="15.75" customHeight="1" x14ac:dyDescent="0.25">
      <c r="A441" s="4"/>
      <c r="B441" s="4"/>
      <c r="C441" s="4"/>
      <c r="D441" s="4"/>
      <c r="E441" s="4"/>
    </row>
    <row r="442" spans="1:5" ht="15.75" customHeight="1" x14ac:dyDescent="0.25">
      <c r="A442" s="4"/>
      <c r="B442" s="4"/>
      <c r="C442" s="4"/>
      <c r="D442" s="4"/>
      <c r="E442" s="4"/>
    </row>
    <row r="443" spans="1:5" ht="15.75" customHeight="1" x14ac:dyDescent="0.25">
      <c r="A443" s="4"/>
      <c r="B443" s="4"/>
      <c r="C443" s="4"/>
      <c r="D443" s="4"/>
      <c r="E443" s="4"/>
    </row>
    <row r="444" spans="1:5" ht="15.75" customHeight="1" x14ac:dyDescent="0.25">
      <c r="A444" s="4"/>
      <c r="B444" s="4"/>
      <c r="C444" s="4"/>
      <c r="D444" s="4"/>
      <c r="E444" s="4"/>
    </row>
    <row r="445" spans="1:5" ht="15.75" customHeight="1" x14ac:dyDescent="0.25">
      <c r="A445" s="4"/>
      <c r="B445" s="4"/>
      <c r="C445" s="4"/>
      <c r="D445" s="4"/>
      <c r="E445" s="4"/>
    </row>
    <row r="446" spans="1:5" ht="15.75" customHeight="1" x14ac:dyDescent="0.25">
      <c r="A446" s="4"/>
      <c r="B446" s="4"/>
      <c r="C446" s="4"/>
      <c r="D446" s="4"/>
      <c r="E446" s="4"/>
    </row>
    <row r="447" spans="1:5" ht="15.75" customHeight="1" x14ac:dyDescent="0.25">
      <c r="A447" s="4"/>
      <c r="B447" s="4"/>
      <c r="C447" s="4"/>
      <c r="D447" s="4"/>
      <c r="E447" s="4"/>
    </row>
    <row r="448" spans="1:5" ht="15.75" customHeight="1" x14ac:dyDescent="0.25">
      <c r="A448" s="4"/>
      <c r="B448" s="4"/>
      <c r="C448" s="4"/>
      <c r="D448" s="4"/>
      <c r="E448" s="4"/>
    </row>
    <row r="449" spans="1:5" ht="15.75" customHeight="1" x14ac:dyDescent="0.25">
      <c r="A449" s="4"/>
      <c r="B449" s="4"/>
      <c r="C449" s="4"/>
      <c r="D449" s="4"/>
      <c r="E449" s="4"/>
    </row>
    <row r="450" spans="1:5" ht="15.75" customHeight="1" x14ac:dyDescent="0.25">
      <c r="A450" s="4"/>
      <c r="B450" s="4"/>
      <c r="C450" s="4"/>
      <c r="D450" s="4"/>
      <c r="E450" s="4"/>
    </row>
    <row r="451" spans="1:5" ht="15.75" customHeight="1" x14ac:dyDescent="0.25">
      <c r="A451" s="4"/>
      <c r="B451" s="4"/>
      <c r="C451" s="4"/>
      <c r="D451" s="4"/>
      <c r="E451" s="4"/>
    </row>
    <row r="452" spans="1:5" ht="15.75" customHeight="1" x14ac:dyDescent="0.25">
      <c r="A452" s="4"/>
      <c r="B452" s="4"/>
      <c r="C452" s="4"/>
      <c r="D452" s="4"/>
      <c r="E452" s="4"/>
    </row>
    <row r="453" spans="1:5" ht="15.75" customHeight="1" x14ac:dyDescent="0.25">
      <c r="A453" s="4"/>
      <c r="B453" s="4"/>
      <c r="C453" s="4"/>
      <c r="D453" s="4"/>
      <c r="E453" s="4"/>
    </row>
    <row r="454" spans="1:5" ht="15.75" customHeight="1" x14ac:dyDescent="0.25">
      <c r="A454" s="4"/>
      <c r="B454" s="4"/>
      <c r="C454" s="4"/>
      <c r="D454" s="4"/>
      <c r="E454" s="4"/>
    </row>
    <row r="455" spans="1:5" ht="15.75" customHeight="1" x14ac:dyDescent="0.25">
      <c r="A455" s="4"/>
      <c r="B455" s="4"/>
      <c r="C455" s="4"/>
      <c r="D455" s="4"/>
      <c r="E455" s="4"/>
    </row>
    <row r="456" spans="1:5" ht="15.75" customHeight="1" x14ac:dyDescent="0.25">
      <c r="A456" s="4"/>
      <c r="B456" s="4"/>
      <c r="C456" s="4"/>
      <c r="D456" s="4"/>
      <c r="E456" s="4"/>
    </row>
    <row r="457" spans="1:5" ht="15.75" customHeight="1" x14ac:dyDescent="0.25">
      <c r="A457" s="4"/>
      <c r="B457" s="4"/>
      <c r="C457" s="4"/>
      <c r="D457" s="4"/>
      <c r="E457" s="4"/>
    </row>
    <row r="458" spans="1:5" ht="15.75" customHeight="1" x14ac:dyDescent="0.25">
      <c r="A458" s="4"/>
      <c r="B458" s="4"/>
      <c r="C458" s="4"/>
      <c r="D458" s="4"/>
      <c r="E458" s="4"/>
    </row>
    <row r="459" spans="1:5" ht="15.75" customHeight="1" x14ac:dyDescent="0.25">
      <c r="A459" s="4"/>
      <c r="B459" s="4"/>
      <c r="C459" s="4"/>
      <c r="D459" s="4"/>
      <c r="E459" s="4"/>
    </row>
    <row r="460" spans="1:5" ht="15.75" customHeight="1" x14ac:dyDescent="0.25">
      <c r="A460" s="4"/>
      <c r="B460" s="4"/>
      <c r="C460" s="4"/>
      <c r="D460" s="4"/>
      <c r="E460" s="4"/>
    </row>
    <row r="461" spans="1:5" ht="15.75" customHeight="1" x14ac:dyDescent="0.25">
      <c r="A461" s="4"/>
      <c r="B461" s="4"/>
      <c r="C461" s="4"/>
      <c r="D461" s="4"/>
      <c r="E461" s="4"/>
    </row>
    <row r="462" spans="1:5" ht="15.75" customHeight="1" x14ac:dyDescent="0.25">
      <c r="A462" s="4"/>
      <c r="B462" s="4"/>
      <c r="C462" s="4"/>
      <c r="D462" s="4"/>
      <c r="E462" s="4"/>
    </row>
    <row r="463" spans="1:5" ht="15.75" customHeight="1" x14ac:dyDescent="0.25">
      <c r="A463" s="4"/>
      <c r="B463" s="4"/>
      <c r="C463" s="4"/>
      <c r="D463" s="4"/>
      <c r="E463" s="4"/>
    </row>
    <row r="464" spans="1:5" ht="15.75" customHeight="1" x14ac:dyDescent="0.25">
      <c r="A464" s="4"/>
      <c r="B464" s="4"/>
      <c r="C464" s="4"/>
      <c r="D464" s="4"/>
      <c r="E464" s="4"/>
    </row>
    <row r="465" spans="1:5" ht="15.75" customHeight="1" x14ac:dyDescent="0.25">
      <c r="A465" s="4"/>
      <c r="B465" s="4"/>
      <c r="C465" s="4"/>
      <c r="D465" s="4"/>
      <c r="E465" s="4"/>
    </row>
    <row r="466" spans="1:5" ht="15.75" customHeight="1" x14ac:dyDescent="0.25">
      <c r="A466" s="4"/>
      <c r="B466" s="4"/>
      <c r="C466" s="4"/>
      <c r="D466" s="4"/>
      <c r="E466" s="4"/>
    </row>
    <row r="467" spans="1:5" ht="15.75" customHeight="1" x14ac:dyDescent="0.25">
      <c r="A467" s="4"/>
      <c r="B467" s="4"/>
      <c r="C467" s="4"/>
      <c r="D467" s="4"/>
      <c r="E467" s="4"/>
    </row>
    <row r="468" spans="1:5" ht="15.75" customHeight="1" x14ac:dyDescent="0.25">
      <c r="A468" s="4"/>
      <c r="B468" s="4"/>
      <c r="C468" s="4"/>
      <c r="D468" s="4"/>
      <c r="E468" s="4"/>
    </row>
    <row r="469" spans="1:5" ht="15.75" customHeight="1" x14ac:dyDescent="0.25">
      <c r="A469" s="4"/>
      <c r="B469" s="4"/>
      <c r="C469" s="4"/>
      <c r="D469" s="4"/>
      <c r="E469" s="4"/>
    </row>
    <row r="470" spans="1:5" ht="15.75" customHeight="1" x14ac:dyDescent="0.25">
      <c r="A470" s="4"/>
      <c r="B470" s="4"/>
      <c r="C470" s="4"/>
      <c r="D470" s="4"/>
      <c r="E470" s="4"/>
    </row>
    <row r="471" spans="1:5" ht="15.75" customHeight="1" x14ac:dyDescent="0.25">
      <c r="A471" s="4"/>
      <c r="B471" s="4"/>
      <c r="C471" s="4"/>
      <c r="D471" s="4"/>
      <c r="E471" s="4"/>
    </row>
    <row r="472" spans="1:5" ht="15.75" customHeight="1" x14ac:dyDescent="0.25">
      <c r="A472" s="4"/>
      <c r="B472" s="4"/>
      <c r="C472" s="4"/>
      <c r="D472" s="4"/>
      <c r="E472" s="4"/>
    </row>
    <row r="473" spans="1:5" ht="15.75" customHeight="1" x14ac:dyDescent="0.25">
      <c r="A473" s="4"/>
      <c r="B473" s="4"/>
      <c r="C473" s="4"/>
      <c r="D473" s="4"/>
      <c r="E473" s="4"/>
    </row>
    <row r="474" spans="1:5" ht="15.75" customHeight="1" x14ac:dyDescent="0.25">
      <c r="A474" s="4"/>
      <c r="B474" s="4"/>
      <c r="C474" s="4"/>
      <c r="D474" s="4"/>
      <c r="E474" s="4"/>
    </row>
    <row r="475" spans="1:5" ht="15.75" customHeight="1" x14ac:dyDescent="0.25">
      <c r="A475" s="4"/>
      <c r="B475" s="4"/>
      <c r="C475" s="4"/>
      <c r="D475" s="4"/>
      <c r="E475" s="4"/>
    </row>
    <row r="476" spans="1:5" ht="15.75" customHeight="1" x14ac:dyDescent="0.25">
      <c r="A476" s="4"/>
      <c r="B476" s="4"/>
      <c r="C476" s="4"/>
      <c r="D476" s="4"/>
      <c r="E476" s="4"/>
    </row>
    <row r="477" spans="1:5" ht="15.75" customHeight="1" x14ac:dyDescent="0.25">
      <c r="A477" s="4"/>
      <c r="B477" s="4"/>
      <c r="C477" s="4"/>
      <c r="D477" s="4"/>
      <c r="E477" s="4"/>
    </row>
    <row r="478" spans="1:5" ht="15.75" customHeight="1" x14ac:dyDescent="0.25">
      <c r="A478" s="4"/>
      <c r="B478" s="4"/>
      <c r="C478" s="4"/>
      <c r="D478" s="4"/>
      <c r="E478" s="4"/>
    </row>
    <row r="479" spans="1:5" ht="15.75" customHeight="1" x14ac:dyDescent="0.25">
      <c r="A479" s="4"/>
      <c r="B479" s="4"/>
      <c r="C479" s="4"/>
      <c r="D479" s="4"/>
      <c r="E479" s="4"/>
    </row>
    <row r="480" spans="1:5" ht="15.75" customHeight="1" x14ac:dyDescent="0.25">
      <c r="A480" s="4"/>
      <c r="B480" s="4"/>
      <c r="C480" s="4"/>
      <c r="D480" s="4"/>
      <c r="E480" s="4"/>
    </row>
    <row r="481" spans="1:5" ht="15.75" customHeight="1" x14ac:dyDescent="0.25">
      <c r="A481" s="4"/>
      <c r="B481" s="4"/>
      <c r="C481" s="4"/>
      <c r="D481" s="4"/>
      <c r="E481" s="4"/>
    </row>
    <row r="482" spans="1:5" ht="15.75" customHeight="1" x14ac:dyDescent="0.25">
      <c r="A482" s="4"/>
      <c r="B482" s="4"/>
      <c r="C482" s="4"/>
      <c r="D482" s="4"/>
      <c r="E482" s="4"/>
    </row>
    <row r="483" spans="1:5" ht="15.75" customHeight="1" x14ac:dyDescent="0.25">
      <c r="A483" s="4"/>
      <c r="B483" s="4"/>
      <c r="C483" s="4"/>
      <c r="D483" s="4"/>
      <c r="E483" s="4"/>
    </row>
    <row r="484" spans="1:5" ht="15.75" customHeight="1" x14ac:dyDescent="0.25">
      <c r="A484" s="4"/>
      <c r="B484" s="4"/>
      <c r="C484" s="4"/>
      <c r="D484" s="4"/>
      <c r="E484" s="4"/>
    </row>
    <row r="485" spans="1:5" ht="15.75" customHeight="1" x14ac:dyDescent="0.25">
      <c r="A485" s="4"/>
      <c r="B485" s="4"/>
      <c r="C485" s="4"/>
      <c r="D485" s="4"/>
      <c r="E485" s="4"/>
    </row>
    <row r="486" spans="1:5" ht="15.75" customHeight="1" x14ac:dyDescent="0.25">
      <c r="A486" s="4"/>
      <c r="B486" s="4"/>
      <c r="C486" s="4"/>
      <c r="D486" s="4"/>
      <c r="E486" s="4"/>
    </row>
    <row r="487" spans="1:5" ht="15.75" customHeight="1" x14ac:dyDescent="0.25">
      <c r="A487" s="4"/>
      <c r="B487" s="4"/>
      <c r="C487" s="4"/>
      <c r="D487" s="4"/>
      <c r="E487" s="4"/>
    </row>
    <row r="488" spans="1:5" ht="15.75" customHeight="1" x14ac:dyDescent="0.25">
      <c r="A488" s="4"/>
      <c r="B488" s="4"/>
      <c r="C488" s="4"/>
      <c r="D488" s="4"/>
      <c r="E488" s="4"/>
    </row>
    <row r="489" spans="1:5" ht="15.75" customHeight="1" x14ac:dyDescent="0.25">
      <c r="A489" s="4"/>
      <c r="B489" s="4"/>
      <c r="C489" s="4"/>
      <c r="D489" s="4"/>
      <c r="E489" s="4"/>
    </row>
    <row r="490" spans="1:5" ht="15.75" customHeight="1" x14ac:dyDescent="0.25">
      <c r="A490" s="4"/>
      <c r="B490" s="4"/>
      <c r="C490" s="4"/>
      <c r="D490" s="4"/>
      <c r="E490" s="4"/>
    </row>
    <row r="491" spans="1:5" ht="15.75" customHeight="1" x14ac:dyDescent="0.25">
      <c r="A491" s="4"/>
      <c r="B491" s="4"/>
      <c r="C491" s="4"/>
      <c r="D491" s="4"/>
      <c r="E491" s="4"/>
    </row>
    <row r="492" spans="1:5" ht="15.75" customHeight="1" x14ac:dyDescent="0.25">
      <c r="A492" s="4"/>
      <c r="B492" s="4"/>
      <c r="C492" s="4"/>
      <c r="D492" s="4"/>
      <c r="E492" s="4"/>
    </row>
    <row r="493" spans="1:5" ht="15.75" customHeight="1" x14ac:dyDescent="0.25">
      <c r="A493" s="4"/>
      <c r="B493" s="4"/>
      <c r="C493" s="4"/>
      <c r="D493" s="4"/>
      <c r="E493" s="4"/>
    </row>
    <row r="494" spans="1:5" ht="15.75" customHeight="1" x14ac:dyDescent="0.25">
      <c r="A494" s="4"/>
      <c r="B494" s="4"/>
      <c r="C494" s="4"/>
      <c r="D494" s="4"/>
      <c r="E494" s="4"/>
    </row>
    <row r="495" spans="1:5" ht="15.75" customHeight="1" x14ac:dyDescent="0.25">
      <c r="A495" s="4"/>
      <c r="B495" s="4"/>
      <c r="C495" s="4"/>
      <c r="D495" s="4"/>
      <c r="E495" s="4"/>
    </row>
    <row r="496" spans="1:5" ht="15.75" customHeight="1" x14ac:dyDescent="0.25">
      <c r="A496" s="4"/>
      <c r="B496" s="4"/>
      <c r="C496" s="4"/>
      <c r="D496" s="4"/>
      <c r="E496" s="4"/>
    </row>
    <row r="497" spans="1:5" ht="15.75" customHeight="1" x14ac:dyDescent="0.25">
      <c r="A497" s="4"/>
      <c r="B497" s="4"/>
      <c r="C497" s="4"/>
      <c r="D497" s="4"/>
      <c r="E497" s="4"/>
    </row>
    <row r="498" spans="1:5" ht="15.75" customHeight="1" x14ac:dyDescent="0.25">
      <c r="A498" s="4"/>
      <c r="B498" s="4"/>
      <c r="C498" s="4"/>
      <c r="D498" s="4"/>
      <c r="E498" s="4"/>
    </row>
    <row r="499" spans="1:5" ht="15.75" customHeight="1" x14ac:dyDescent="0.25">
      <c r="A499" s="4"/>
      <c r="B499" s="4"/>
      <c r="C499" s="4"/>
      <c r="D499" s="4"/>
      <c r="E499" s="4"/>
    </row>
    <row r="500" spans="1:5" ht="15.75" customHeight="1" x14ac:dyDescent="0.25">
      <c r="A500" s="4"/>
      <c r="B500" s="4"/>
      <c r="C500" s="4"/>
      <c r="D500" s="4"/>
      <c r="E500" s="4"/>
    </row>
    <row r="501" spans="1:5" ht="15.75" customHeight="1" x14ac:dyDescent="0.25">
      <c r="A501" s="4"/>
      <c r="B501" s="4"/>
      <c r="C501" s="4"/>
      <c r="D501" s="4"/>
      <c r="E501" s="4"/>
    </row>
    <row r="502" spans="1:5" ht="15.75" customHeight="1" x14ac:dyDescent="0.25">
      <c r="A502" s="4"/>
      <c r="B502" s="4"/>
      <c r="C502" s="4"/>
      <c r="D502" s="4"/>
      <c r="E502" s="4"/>
    </row>
    <row r="503" spans="1:5" ht="15.75" customHeight="1" x14ac:dyDescent="0.25">
      <c r="A503" s="4"/>
      <c r="B503" s="4"/>
      <c r="C503" s="4"/>
      <c r="D503" s="4"/>
      <c r="E503" s="4"/>
    </row>
    <row r="504" spans="1:5" ht="15.75" customHeight="1" x14ac:dyDescent="0.25">
      <c r="A504" s="4"/>
      <c r="B504" s="4"/>
      <c r="C504" s="4"/>
      <c r="D504" s="4"/>
      <c r="E504" s="4"/>
    </row>
    <row r="505" spans="1:5" ht="15.75" customHeight="1" x14ac:dyDescent="0.25">
      <c r="A505" s="4"/>
      <c r="B505" s="4"/>
      <c r="C505" s="4"/>
      <c r="D505" s="4"/>
      <c r="E505" s="4"/>
    </row>
    <row r="506" spans="1:5" ht="15.75" customHeight="1" x14ac:dyDescent="0.25">
      <c r="A506" s="4"/>
      <c r="B506" s="4"/>
      <c r="C506" s="4"/>
      <c r="D506" s="4"/>
      <c r="E506" s="4"/>
    </row>
    <row r="507" spans="1:5" ht="15.75" customHeight="1" x14ac:dyDescent="0.25">
      <c r="A507" s="4"/>
      <c r="B507" s="4"/>
      <c r="C507" s="4"/>
      <c r="D507" s="4"/>
      <c r="E507" s="4"/>
    </row>
    <row r="508" spans="1:5" ht="15.75" customHeight="1" x14ac:dyDescent="0.25">
      <c r="A508" s="4"/>
      <c r="B508" s="4"/>
      <c r="C508" s="4"/>
      <c r="D508" s="4"/>
      <c r="E508" s="4"/>
    </row>
    <row r="509" spans="1:5" ht="15.75" customHeight="1" x14ac:dyDescent="0.25">
      <c r="A509" s="4"/>
      <c r="B509" s="4"/>
      <c r="C509" s="4"/>
      <c r="D509" s="4"/>
      <c r="E509" s="4"/>
    </row>
    <row r="510" spans="1:5" ht="15.75" customHeight="1" x14ac:dyDescent="0.25">
      <c r="A510" s="4"/>
      <c r="B510" s="4"/>
      <c r="C510" s="4"/>
      <c r="D510" s="4"/>
      <c r="E510" s="4"/>
    </row>
    <row r="511" spans="1:5" ht="15.75" customHeight="1" x14ac:dyDescent="0.25">
      <c r="A511" s="4"/>
      <c r="B511" s="4"/>
      <c r="C511" s="4"/>
      <c r="D511" s="4"/>
      <c r="E511" s="4"/>
    </row>
    <row r="512" spans="1:5" ht="15.75" customHeight="1" x14ac:dyDescent="0.25">
      <c r="A512" s="4"/>
      <c r="B512" s="4"/>
      <c r="C512" s="4"/>
      <c r="D512" s="4"/>
      <c r="E512" s="4"/>
    </row>
    <row r="513" spans="1:5" ht="15.75" customHeight="1" x14ac:dyDescent="0.25">
      <c r="A513" s="4"/>
      <c r="B513" s="4"/>
      <c r="C513" s="4"/>
      <c r="D513" s="4"/>
      <c r="E513" s="4"/>
    </row>
    <row r="514" spans="1:5" ht="15.75" customHeight="1" x14ac:dyDescent="0.25">
      <c r="A514" s="4"/>
      <c r="B514" s="4"/>
      <c r="C514" s="4"/>
      <c r="D514" s="4"/>
      <c r="E514" s="4"/>
    </row>
    <row r="515" spans="1:5" ht="15.75" customHeight="1" x14ac:dyDescent="0.25">
      <c r="A515" s="4"/>
      <c r="B515" s="4"/>
      <c r="C515" s="4"/>
      <c r="D515" s="4"/>
      <c r="E515" s="4"/>
    </row>
    <row r="516" spans="1:5" ht="15.75" customHeight="1" x14ac:dyDescent="0.25">
      <c r="A516" s="4"/>
      <c r="B516" s="4"/>
      <c r="C516" s="4"/>
      <c r="D516" s="4"/>
      <c r="E516" s="4"/>
    </row>
    <row r="517" spans="1:5" ht="15.75" customHeight="1" x14ac:dyDescent="0.25">
      <c r="A517" s="4"/>
      <c r="B517" s="4"/>
      <c r="C517" s="4"/>
      <c r="D517" s="4"/>
      <c r="E517" s="4"/>
    </row>
    <row r="518" spans="1:5" ht="15.75" customHeight="1" x14ac:dyDescent="0.25">
      <c r="A518" s="4"/>
      <c r="B518" s="4"/>
      <c r="C518" s="4"/>
      <c r="D518" s="4"/>
      <c r="E518" s="4"/>
    </row>
    <row r="519" spans="1:5" ht="15.75" customHeight="1" x14ac:dyDescent="0.25">
      <c r="A519" s="4"/>
      <c r="B519" s="4"/>
      <c r="C519" s="4"/>
      <c r="D519" s="4"/>
      <c r="E519" s="4"/>
    </row>
    <row r="520" spans="1:5" ht="15.75" customHeight="1" x14ac:dyDescent="0.25">
      <c r="A520" s="4"/>
      <c r="B520" s="4"/>
      <c r="C520" s="4"/>
      <c r="D520" s="4"/>
      <c r="E520" s="4"/>
    </row>
    <row r="521" spans="1:5" ht="15.75" customHeight="1" x14ac:dyDescent="0.25">
      <c r="A521" s="4"/>
      <c r="B521" s="4"/>
      <c r="C521" s="4"/>
      <c r="D521" s="4"/>
      <c r="E521" s="4"/>
    </row>
    <row r="522" spans="1:5" ht="15.75" customHeight="1" x14ac:dyDescent="0.25">
      <c r="A522" s="4"/>
      <c r="B522" s="4"/>
      <c r="C522" s="4"/>
      <c r="D522" s="4"/>
      <c r="E522" s="4"/>
    </row>
    <row r="523" spans="1:5" ht="15.75" customHeight="1" x14ac:dyDescent="0.25">
      <c r="A523" s="4"/>
      <c r="B523" s="4"/>
      <c r="C523" s="4"/>
      <c r="D523" s="4"/>
      <c r="E523" s="4"/>
    </row>
    <row r="524" spans="1:5" ht="15.75" customHeight="1" x14ac:dyDescent="0.25">
      <c r="A524" s="4"/>
      <c r="B524" s="4"/>
      <c r="C524" s="4"/>
      <c r="D524" s="4"/>
      <c r="E524" s="4"/>
    </row>
    <row r="525" spans="1:5" ht="15.75" customHeight="1" x14ac:dyDescent="0.25">
      <c r="A525" s="4"/>
      <c r="B525" s="4"/>
      <c r="C525" s="4"/>
      <c r="D525" s="4"/>
      <c r="E525" s="4"/>
    </row>
    <row r="526" spans="1:5" ht="15.75" customHeight="1" x14ac:dyDescent="0.25">
      <c r="A526" s="4"/>
      <c r="B526" s="4"/>
      <c r="C526" s="4"/>
      <c r="D526" s="4"/>
      <c r="E526" s="4"/>
    </row>
    <row r="527" spans="1:5" ht="15.75" customHeight="1" x14ac:dyDescent="0.25">
      <c r="A527" s="4"/>
      <c r="B527" s="4"/>
      <c r="C527" s="4"/>
      <c r="D527" s="4"/>
      <c r="E527" s="4"/>
    </row>
    <row r="528" spans="1:5" ht="15.75" customHeight="1" x14ac:dyDescent="0.25">
      <c r="A528" s="4"/>
      <c r="B528" s="4"/>
      <c r="C528" s="4"/>
      <c r="D528" s="4"/>
      <c r="E528" s="4"/>
    </row>
    <row r="529" spans="1:5" ht="15.75" customHeight="1" x14ac:dyDescent="0.25">
      <c r="A529" s="4"/>
      <c r="B529" s="4"/>
      <c r="C529" s="4"/>
      <c r="D529" s="4"/>
      <c r="E529" s="4"/>
    </row>
    <row r="530" spans="1:5" ht="15.75" customHeight="1" x14ac:dyDescent="0.25">
      <c r="A530" s="4"/>
      <c r="B530" s="4"/>
      <c r="C530" s="4"/>
      <c r="D530" s="4"/>
      <c r="E530" s="4"/>
    </row>
    <row r="531" spans="1:5" ht="15.75" customHeight="1" x14ac:dyDescent="0.25">
      <c r="A531" s="4"/>
      <c r="B531" s="4"/>
      <c r="C531" s="4"/>
      <c r="D531" s="4"/>
      <c r="E531" s="4"/>
    </row>
    <row r="532" spans="1:5" ht="15.75" customHeight="1" x14ac:dyDescent="0.25">
      <c r="A532" s="4"/>
      <c r="B532" s="4"/>
      <c r="C532" s="4"/>
      <c r="D532" s="4"/>
      <c r="E532" s="4"/>
    </row>
    <row r="533" spans="1:5" ht="15.75" customHeight="1" x14ac:dyDescent="0.25">
      <c r="A533" s="4"/>
      <c r="B533" s="4"/>
      <c r="C533" s="4"/>
      <c r="D533" s="4"/>
      <c r="E533" s="4"/>
    </row>
    <row r="534" spans="1:5" ht="15.75" customHeight="1" x14ac:dyDescent="0.25">
      <c r="A534" s="4"/>
      <c r="B534" s="4"/>
      <c r="C534" s="4"/>
      <c r="D534" s="4"/>
      <c r="E534" s="4"/>
    </row>
    <row r="535" spans="1:5" ht="15.75" customHeight="1" x14ac:dyDescent="0.25">
      <c r="A535" s="4"/>
      <c r="B535" s="4"/>
      <c r="C535" s="4"/>
      <c r="D535" s="4"/>
      <c r="E535" s="4"/>
    </row>
    <row r="536" spans="1:5" ht="15.75" customHeight="1" x14ac:dyDescent="0.25">
      <c r="A536" s="4"/>
      <c r="B536" s="4"/>
      <c r="C536" s="4"/>
      <c r="D536" s="4"/>
      <c r="E536" s="4"/>
    </row>
    <row r="537" spans="1:5" ht="15.75" customHeight="1" x14ac:dyDescent="0.25">
      <c r="A537" s="4"/>
      <c r="B537" s="4"/>
      <c r="C537" s="4"/>
      <c r="D537" s="4"/>
      <c r="E537" s="4"/>
    </row>
    <row r="538" spans="1:5" ht="15.75" customHeight="1" x14ac:dyDescent="0.25">
      <c r="A538" s="4"/>
      <c r="B538" s="4"/>
      <c r="C538" s="4"/>
      <c r="D538" s="4"/>
      <c r="E538" s="4"/>
    </row>
    <row r="539" spans="1:5" ht="15.75" customHeight="1" x14ac:dyDescent="0.25">
      <c r="A539" s="4"/>
      <c r="B539" s="4"/>
      <c r="C539" s="4"/>
      <c r="D539" s="4"/>
      <c r="E539" s="4"/>
    </row>
    <row r="540" spans="1:5" ht="15.75" customHeight="1" x14ac:dyDescent="0.25">
      <c r="A540" s="4"/>
      <c r="B540" s="4"/>
      <c r="C540" s="4"/>
      <c r="D540" s="4"/>
      <c r="E540" s="4"/>
    </row>
    <row r="541" spans="1:5" ht="15.75" customHeight="1" x14ac:dyDescent="0.25">
      <c r="A541" s="4"/>
      <c r="B541" s="4"/>
      <c r="C541" s="4"/>
      <c r="D541" s="4"/>
      <c r="E541" s="4"/>
    </row>
    <row r="542" spans="1:5" ht="15.75" customHeight="1" x14ac:dyDescent="0.25">
      <c r="A542" s="4"/>
      <c r="B542" s="4"/>
      <c r="C542" s="4"/>
      <c r="D542" s="4"/>
      <c r="E542" s="4"/>
    </row>
    <row r="543" spans="1:5" ht="15.75" customHeight="1" x14ac:dyDescent="0.25">
      <c r="A543" s="4"/>
      <c r="B543" s="4"/>
      <c r="C543" s="4"/>
      <c r="D543" s="4"/>
      <c r="E543" s="4"/>
    </row>
    <row r="544" spans="1:5" ht="15.75" customHeight="1" x14ac:dyDescent="0.25">
      <c r="A544" s="4"/>
      <c r="B544" s="4"/>
      <c r="C544" s="4"/>
      <c r="D544" s="4"/>
      <c r="E544" s="4"/>
    </row>
    <row r="545" spans="1:5" ht="15.75" customHeight="1" x14ac:dyDescent="0.25">
      <c r="A545" s="4"/>
      <c r="B545" s="4"/>
      <c r="C545" s="4"/>
      <c r="D545" s="4"/>
      <c r="E545" s="4"/>
    </row>
    <row r="546" spans="1:5" ht="15.75" customHeight="1" x14ac:dyDescent="0.25">
      <c r="A546" s="4"/>
      <c r="B546" s="4"/>
      <c r="C546" s="4"/>
      <c r="D546" s="4"/>
      <c r="E546" s="4"/>
    </row>
    <row r="547" spans="1:5" ht="15.75" customHeight="1" x14ac:dyDescent="0.25">
      <c r="A547" s="4"/>
      <c r="B547" s="4"/>
      <c r="C547" s="4"/>
      <c r="D547" s="4"/>
      <c r="E547" s="4"/>
    </row>
    <row r="548" spans="1:5" ht="15.75" customHeight="1" x14ac:dyDescent="0.25">
      <c r="A548" s="4"/>
      <c r="B548" s="4"/>
      <c r="C548" s="4"/>
      <c r="D548" s="4"/>
      <c r="E548" s="4"/>
    </row>
    <row r="549" spans="1:5" ht="15.75" customHeight="1" x14ac:dyDescent="0.25">
      <c r="A549" s="4"/>
      <c r="B549" s="4"/>
      <c r="C549" s="4"/>
      <c r="D549" s="4"/>
      <c r="E549" s="4"/>
    </row>
    <row r="550" spans="1:5" ht="15.75" customHeight="1" x14ac:dyDescent="0.25">
      <c r="A550" s="4"/>
      <c r="B550" s="4"/>
      <c r="C550" s="4"/>
      <c r="D550" s="4"/>
      <c r="E550" s="4"/>
    </row>
    <row r="551" spans="1:5" ht="15.75" customHeight="1" x14ac:dyDescent="0.25">
      <c r="A551" s="4"/>
      <c r="B551" s="4"/>
      <c r="C551" s="4"/>
      <c r="D551" s="4"/>
      <c r="E551" s="4"/>
    </row>
    <row r="552" spans="1:5" ht="15.75" customHeight="1" x14ac:dyDescent="0.25">
      <c r="A552" s="4"/>
      <c r="B552" s="4"/>
      <c r="C552" s="4"/>
      <c r="D552" s="4"/>
      <c r="E552" s="4"/>
    </row>
    <row r="553" spans="1:5" ht="15.75" customHeight="1" x14ac:dyDescent="0.25">
      <c r="A553" s="4"/>
      <c r="B553" s="4"/>
      <c r="C553" s="4"/>
      <c r="D553" s="4"/>
      <c r="E553" s="4"/>
    </row>
    <row r="554" spans="1:5" ht="15.75" customHeight="1" x14ac:dyDescent="0.25">
      <c r="A554" s="4"/>
      <c r="B554" s="4"/>
      <c r="C554" s="4"/>
      <c r="D554" s="4"/>
      <c r="E554" s="4"/>
    </row>
    <row r="555" spans="1:5" ht="15.75" customHeight="1" x14ac:dyDescent="0.25">
      <c r="A555" s="4"/>
      <c r="B555" s="4"/>
      <c r="C555" s="4"/>
      <c r="D555" s="4"/>
      <c r="E555" s="4"/>
    </row>
    <row r="556" spans="1:5" ht="15.75" customHeight="1" x14ac:dyDescent="0.25">
      <c r="A556" s="4"/>
      <c r="B556" s="4"/>
      <c r="C556" s="4"/>
      <c r="D556" s="4"/>
      <c r="E556" s="4"/>
    </row>
    <row r="557" spans="1:5" ht="15.75" customHeight="1" x14ac:dyDescent="0.25">
      <c r="A557" s="4"/>
      <c r="B557" s="4"/>
      <c r="C557" s="4"/>
      <c r="D557" s="4"/>
      <c r="E557" s="4"/>
    </row>
    <row r="558" spans="1:5" ht="15.75" customHeight="1" x14ac:dyDescent="0.25">
      <c r="A558" s="4"/>
      <c r="B558" s="4"/>
      <c r="C558" s="4"/>
      <c r="D558" s="4"/>
      <c r="E558" s="4"/>
    </row>
    <row r="559" spans="1:5" ht="15.75" customHeight="1" x14ac:dyDescent="0.25">
      <c r="A559" s="4"/>
      <c r="B559" s="4"/>
      <c r="C559" s="4"/>
      <c r="D559" s="4"/>
      <c r="E559" s="4"/>
    </row>
    <row r="560" spans="1:5" ht="15.75" customHeight="1" x14ac:dyDescent="0.25">
      <c r="A560" s="4"/>
      <c r="B560" s="4"/>
      <c r="C560" s="4"/>
      <c r="D560" s="4"/>
      <c r="E560" s="4"/>
    </row>
    <row r="561" spans="1:5" ht="15.75" customHeight="1" x14ac:dyDescent="0.25">
      <c r="A561" s="4"/>
      <c r="B561" s="4"/>
      <c r="C561" s="4"/>
      <c r="D561" s="4"/>
      <c r="E561" s="4"/>
    </row>
    <row r="562" spans="1:5" ht="15.75" customHeight="1" x14ac:dyDescent="0.25">
      <c r="A562" s="4"/>
      <c r="B562" s="4"/>
      <c r="C562" s="4"/>
      <c r="D562" s="4"/>
      <c r="E562" s="4"/>
    </row>
    <row r="563" spans="1:5" ht="15.75" customHeight="1" x14ac:dyDescent="0.25">
      <c r="A563" s="4"/>
      <c r="B563" s="4"/>
      <c r="C563" s="4"/>
      <c r="D563" s="4"/>
      <c r="E563" s="4"/>
    </row>
    <row r="564" spans="1:5" ht="15.75" customHeight="1" x14ac:dyDescent="0.25">
      <c r="A564" s="4"/>
      <c r="B564" s="4"/>
      <c r="C564" s="4"/>
      <c r="D564" s="4"/>
      <c r="E564" s="4"/>
    </row>
    <row r="565" spans="1:5" ht="15.75" customHeight="1" x14ac:dyDescent="0.25">
      <c r="A565" s="4"/>
      <c r="B565" s="4"/>
      <c r="C565" s="4"/>
      <c r="D565" s="4"/>
      <c r="E565" s="4"/>
    </row>
    <row r="566" spans="1:5" ht="15.75" customHeight="1" x14ac:dyDescent="0.25">
      <c r="A566" s="4"/>
      <c r="B566" s="4"/>
      <c r="C566" s="4"/>
      <c r="D566" s="4"/>
      <c r="E566" s="4"/>
    </row>
    <row r="567" spans="1:5" ht="15.75" customHeight="1" x14ac:dyDescent="0.25">
      <c r="A567" s="4"/>
      <c r="B567" s="4"/>
      <c r="C567" s="4"/>
      <c r="D567" s="4"/>
      <c r="E567" s="4"/>
    </row>
    <row r="568" spans="1:5" ht="15.75" customHeight="1" x14ac:dyDescent="0.25">
      <c r="A568" s="4"/>
      <c r="B568" s="4"/>
      <c r="C568" s="4"/>
      <c r="D568" s="4"/>
      <c r="E568" s="4"/>
    </row>
    <row r="569" spans="1:5" ht="15.75" customHeight="1" x14ac:dyDescent="0.25">
      <c r="A569" s="4"/>
      <c r="B569" s="4"/>
      <c r="C569" s="4"/>
      <c r="D569" s="4"/>
      <c r="E569" s="4"/>
    </row>
    <row r="570" spans="1:5" ht="15.75" customHeight="1" x14ac:dyDescent="0.25">
      <c r="A570" s="4"/>
      <c r="B570" s="4"/>
      <c r="C570" s="4"/>
      <c r="D570" s="4"/>
      <c r="E570" s="4"/>
    </row>
    <row r="571" spans="1:5" ht="15.75" customHeight="1" x14ac:dyDescent="0.25">
      <c r="A571" s="4"/>
      <c r="B571" s="4"/>
      <c r="C571" s="4"/>
      <c r="D571" s="4"/>
      <c r="E571" s="4"/>
    </row>
    <row r="572" spans="1:5" ht="15.75" customHeight="1" x14ac:dyDescent="0.25">
      <c r="A572" s="4"/>
      <c r="B572" s="4"/>
      <c r="C572" s="4"/>
      <c r="D572" s="4"/>
      <c r="E572" s="4"/>
    </row>
    <row r="573" spans="1:5" ht="15.75" customHeight="1" x14ac:dyDescent="0.25">
      <c r="A573" s="4"/>
      <c r="B573" s="4"/>
      <c r="C573" s="4"/>
      <c r="D573" s="4"/>
      <c r="E573" s="4"/>
    </row>
    <row r="574" spans="1:5" ht="15.75" customHeight="1" x14ac:dyDescent="0.25">
      <c r="A574" s="4"/>
      <c r="B574" s="4"/>
      <c r="C574" s="4"/>
      <c r="D574" s="4"/>
      <c r="E574" s="4"/>
    </row>
    <row r="575" spans="1:5" ht="15.75" customHeight="1" x14ac:dyDescent="0.25">
      <c r="A575" s="4"/>
      <c r="B575" s="4"/>
      <c r="C575" s="4"/>
      <c r="D575" s="4"/>
      <c r="E575" s="4"/>
    </row>
    <row r="576" spans="1:5" ht="15.75" customHeight="1" x14ac:dyDescent="0.25">
      <c r="A576" s="4"/>
      <c r="B576" s="4"/>
      <c r="C576" s="4"/>
      <c r="D576" s="4"/>
      <c r="E576" s="4"/>
    </row>
    <row r="577" spans="1:5" ht="15.75" customHeight="1" x14ac:dyDescent="0.25">
      <c r="A577" s="4"/>
      <c r="B577" s="4"/>
      <c r="C577" s="4"/>
      <c r="D577" s="4"/>
      <c r="E577" s="4"/>
    </row>
    <row r="578" spans="1:5" ht="15.75" customHeight="1" x14ac:dyDescent="0.25">
      <c r="A578" s="4"/>
      <c r="B578" s="4"/>
      <c r="C578" s="4"/>
      <c r="D578" s="4"/>
      <c r="E578" s="4"/>
    </row>
    <row r="579" spans="1:5" ht="15.75" customHeight="1" x14ac:dyDescent="0.25">
      <c r="A579" s="4"/>
      <c r="B579" s="4"/>
      <c r="C579" s="4"/>
      <c r="D579" s="4"/>
      <c r="E579" s="4"/>
    </row>
    <row r="580" spans="1:5" ht="15.75" customHeight="1" x14ac:dyDescent="0.25">
      <c r="A580" s="4"/>
      <c r="B580" s="4"/>
      <c r="C580" s="4"/>
      <c r="D580" s="4"/>
      <c r="E580" s="4"/>
    </row>
    <row r="581" spans="1:5" ht="15.75" customHeight="1" x14ac:dyDescent="0.25">
      <c r="A581" s="4"/>
      <c r="B581" s="4"/>
      <c r="C581" s="4"/>
      <c r="D581" s="4"/>
      <c r="E581" s="4"/>
    </row>
    <row r="582" spans="1:5" ht="15.75" customHeight="1" x14ac:dyDescent="0.25">
      <c r="A582" s="4"/>
      <c r="B582" s="4"/>
      <c r="C582" s="4"/>
      <c r="D582" s="4"/>
      <c r="E582" s="4"/>
    </row>
    <row r="583" spans="1:5" ht="15.75" customHeight="1" x14ac:dyDescent="0.25">
      <c r="A583" s="4"/>
      <c r="B583" s="4"/>
      <c r="C583" s="4"/>
      <c r="D583" s="4"/>
      <c r="E583" s="4"/>
    </row>
    <row r="584" spans="1:5" ht="15.75" customHeight="1" x14ac:dyDescent="0.25">
      <c r="A584" s="4"/>
      <c r="B584" s="4"/>
      <c r="C584" s="4"/>
      <c r="D584" s="4"/>
      <c r="E584" s="4"/>
    </row>
    <row r="585" spans="1:5" ht="15.75" customHeight="1" x14ac:dyDescent="0.25">
      <c r="A585" s="4"/>
      <c r="B585" s="4"/>
      <c r="C585" s="4"/>
      <c r="D585" s="4"/>
      <c r="E585" s="4"/>
    </row>
    <row r="586" spans="1:5" ht="15.75" customHeight="1" x14ac:dyDescent="0.25">
      <c r="A586" s="4"/>
      <c r="B586" s="4"/>
      <c r="C586" s="4"/>
      <c r="D586" s="4"/>
      <c r="E586" s="4"/>
    </row>
    <row r="587" spans="1:5" ht="15.75" customHeight="1" x14ac:dyDescent="0.25">
      <c r="A587" s="4"/>
      <c r="B587" s="4"/>
      <c r="C587" s="4"/>
      <c r="D587" s="4"/>
      <c r="E587" s="4"/>
    </row>
    <row r="588" spans="1:5" ht="15.75" customHeight="1" x14ac:dyDescent="0.25">
      <c r="A588" s="4"/>
      <c r="B588" s="4"/>
      <c r="C588" s="4"/>
      <c r="D588" s="4"/>
      <c r="E588" s="4"/>
    </row>
    <row r="589" spans="1:5" ht="15.75" customHeight="1" x14ac:dyDescent="0.25">
      <c r="A589" s="4"/>
      <c r="B589" s="4"/>
      <c r="C589" s="4"/>
      <c r="D589" s="4"/>
      <c r="E589" s="4"/>
    </row>
    <row r="590" spans="1:5" ht="15.75" customHeight="1" x14ac:dyDescent="0.25">
      <c r="A590" s="4"/>
      <c r="B590" s="4"/>
      <c r="C590" s="4"/>
      <c r="D590" s="4"/>
      <c r="E590" s="4"/>
    </row>
    <row r="591" spans="1:5" ht="15.75" customHeight="1" x14ac:dyDescent="0.25">
      <c r="A591" s="4"/>
      <c r="B591" s="4"/>
      <c r="C591" s="4"/>
      <c r="D591" s="4"/>
      <c r="E591" s="4"/>
    </row>
    <row r="592" spans="1:5" ht="15.75" customHeight="1" x14ac:dyDescent="0.25">
      <c r="A592" s="4"/>
      <c r="B592" s="4"/>
      <c r="C592" s="4"/>
      <c r="D592" s="4"/>
      <c r="E592" s="4"/>
    </row>
    <row r="593" spans="1:5" ht="15.75" customHeight="1" x14ac:dyDescent="0.25">
      <c r="A593" s="4"/>
      <c r="B593" s="4"/>
      <c r="C593" s="4"/>
      <c r="D593" s="4"/>
      <c r="E593" s="4"/>
    </row>
    <row r="594" spans="1:5" ht="15.75" customHeight="1" x14ac:dyDescent="0.25">
      <c r="A594" s="4"/>
      <c r="B594" s="4"/>
      <c r="C594" s="4"/>
      <c r="D594" s="4"/>
      <c r="E594" s="4"/>
    </row>
    <row r="595" spans="1:5" ht="15.75" customHeight="1" x14ac:dyDescent="0.25">
      <c r="A595" s="4"/>
      <c r="B595" s="4"/>
      <c r="C595" s="4"/>
      <c r="D595" s="4"/>
      <c r="E595" s="4"/>
    </row>
    <row r="596" spans="1:5" ht="15.75" customHeight="1" x14ac:dyDescent="0.25">
      <c r="A596" s="4"/>
      <c r="B596" s="4"/>
      <c r="C596" s="4"/>
      <c r="D596" s="4"/>
      <c r="E596" s="4"/>
    </row>
    <row r="597" spans="1:5" ht="15.75" customHeight="1" x14ac:dyDescent="0.25">
      <c r="A597" s="4"/>
      <c r="B597" s="4"/>
      <c r="C597" s="4"/>
      <c r="D597" s="4"/>
      <c r="E597" s="4"/>
    </row>
    <row r="598" spans="1:5" ht="15.75" customHeight="1" x14ac:dyDescent="0.25">
      <c r="A598" s="4"/>
      <c r="B598" s="4"/>
      <c r="C598" s="4"/>
      <c r="D598" s="4"/>
      <c r="E598" s="4"/>
    </row>
    <row r="599" spans="1:5" ht="15.75" customHeight="1" x14ac:dyDescent="0.25">
      <c r="A599" s="4"/>
      <c r="B599" s="4"/>
      <c r="C599" s="4"/>
      <c r="D599" s="4"/>
      <c r="E599" s="4"/>
    </row>
    <row r="600" spans="1:5" ht="15.75" customHeight="1" x14ac:dyDescent="0.25">
      <c r="A600" s="4"/>
      <c r="B600" s="4"/>
      <c r="C600" s="4"/>
      <c r="D600" s="4"/>
      <c r="E600" s="4"/>
    </row>
    <row r="601" spans="1:5" ht="15.75" customHeight="1" x14ac:dyDescent="0.25">
      <c r="A601" s="4"/>
      <c r="B601" s="4"/>
      <c r="C601" s="4"/>
      <c r="D601" s="4"/>
      <c r="E601" s="4"/>
    </row>
    <row r="602" spans="1:5" ht="15.75" customHeight="1" x14ac:dyDescent="0.25">
      <c r="A602" s="4"/>
      <c r="B602" s="4"/>
      <c r="C602" s="4"/>
      <c r="D602" s="4"/>
      <c r="E602" s="4"/>
    </row>
    <row r="603" spans="1:5" ht="15.75" customHeight="1" x14ac:dyDescent="0.25">
      <c r="A603" s="4"/>
      <c r="B603" s="4"/>
      <c r="C603" s="4"/>
      <c r="D603" s="4"/>
      <c r="E603" s="4"/>
    </row>
    <row r="604" spans="1:5" ht="15.75" customHeight="1" x14ac:dyDescent="0.25">
      <c r="A604" s="4"/>
      <c r="B604" s="4"/>
      <c r="C604" s="4"/>
      <c r="D604" s="4"/>
      <c r="E604" s="4"/>
    </row>
    <row r="605" spans="1:5" ht="15.75" customHeight="1" x14ac:dyDescent="0.25">
      <c r="A605" s="4"/>
      <c r="B605" s="4"/>
      <c r="C605" s="4"/>
      <c r="D605" s="4"/>
      <c r="E605" s="4"/>
    </row>
    <row r="606" spans="1:5" ht="15.75" customHeight="1" x14ac:dyDescent="0.25">
      <c r="A606" s="4"/>
      <c r="B606" s="4"/>
      <c r="C606" s="4"/>
      <c r="D606" s="4"/>
      <c r="E606" s="4"/>
    </row>
    <row r="607" spans="1:5" ht="15.75" customHeight="1" x14ac:dyDescent="0.25">
      <c r="A607" s="4"/>
      <c r="B607" s="4"/>
      <c r="C607" s="4"/>
      <c r="D607" s="4"/>
      <c r="E607" s="4"/>
    </row>
    <row r="608" spans="1:5" ht="15.75" customHeight="1" x14ac:dyDescent="0.25">
      <c r="A608" s="4"/>
      <c r="B608" s="4"/>
      <c r="C608" s="4"/>
      <c r="D608" s="4"/>
      <c r="E608" s="4"/>
    </row>
    <row r="609" spans="1:5" ht="15.75" customHeight="1" x14ac:dyDescent="0.25">
      <c r="A609" s="4"/>
      <c r="B609" s="4"/>
      <c r="C609" s="4"/>
      <c r="D609" s="4"/>
      <c r="E609" s="4"/>
    </row>
    <row r="610" spans="1:5" ht="15.75" customHeight="1" x14ac:dyDescent="0.25">
      <c r="A610" s="4"/>
      <c r="B610" s="4"/>
      <c r="C610" s="4"/>
      <c r="D610" s="4"/>
      <c r="E610" s="4"/>
    </row>
    <row r="611" spans="1:5" ht="15.75" customHeight="1" x14ac:dyDescent="0.25">
      <c r="A611" s="4"/>
      <c r="B611" s="4"/>
      <c r="C611" s="4"/>
      <c r="D611" s="4"/>
      <c r="E611" s="4"/>
    </row>
    <row r="612" spans="1:5" ht="15.75" customHeight="1" x14ac:dyDescent="0.25">
      <c r="A612" s="4"/>
      <c r="B612" s="4"/>
      <c r="C612" s="4"/>
      <c r="D612" s="4"/>
      <c r="E612" s="4"/>
    </row>
    <row r="613" spans="1:5" ht="15.75" customHeight="1" x14ac:dyDescent="0.25">
      <c r="A613" s="4"/>
      <c r="B613" s="4"/>
      <c r="C613" s="4"/>
      <c r="D613" s="4"/>
      <c r="E613" s="4"/>
    </row>
    <row r="614" spans="1:5" ht="15.75" customHeight="1" x14ac:dyDescent="0.25">
      <c r="A614" s="4"/>
      <c r="B614" s="4"/>
      <c r="C614" s="4"/>
      <c r="D614" s="4"/>
      <c r="E614" s="4"/>
    </row>
    <row r="615" spans="1:5" ht="15.75" customHeight="1" x14ac:dyDescent="0.25">
      <c r="A615" s="4"/>
      <c r="B615" s="4"/>
      <c r="C615" s="4"/>
      <c r="D615" s="4"/>
      <c r="E615" s="4"/>
    </row>
    <row r="616" spans="1:5" ht="15.75" customHeight="1" x14ac:dyDescent="0.25">
      <c r="A616" s="4"/>
      <c r="B616" s="4"/>
      <c r="C616" s="4"/>
      <c r="D616" s="4"/>
      <c r="E616" s="4"/>
    </row>
    <row r="617" spans="1:5" ht="15.75" customHeight="1" x14ac:dyDescent="0.25">
      <c r="A617" s="4"/>
      <c r="B617" s="4"/>
      <c r="C617" s="4"/>
      <c r="D617" s="4"/>
      <c r="E617" s="4"/>
    </row>
    <row r="618" spans="1:5" ht="15.75" customHeight="1" x14ac:dyDescent="0.25">
      <c r="A618" s="4"/>
      <c r="B618" s="4"/>
      <c r="C618" s="4"/>
      <c r="D618" s="4"/>
      <c r="E618" s="4"/>
    </row>
    <row r="619" spans="1:5" ht="15.75" customHeight="1" x14ac:dyDescent="0.25">
      <c r="A619" s="4"/>
      <c r="B619" s="4"/>
      <c r="C619" s="4"/>
      <c r="D619" s="4"/>
      <c r="E619" s="4"/>
    </row>
    <row r="620" spans="1:5" ht="15.75" customHeight="1" x14ac:dyDescent="0.25">
      <c r="A620" s="4"/>
      <c r="B620" s="4"/>
      <c r="C620" s="4"/>
      <c r="D620" s="4"/>
      <c r="E620" s="4"/>
    </row>
    <row r="621" spans="1:5" ht="15.75" customHeight="1" x14ac:dyDescent="0.25">
      <c r="A621" s="4"/>
      <c r="B621" s="4"/>
      <c r="C621" s="4"/>
      <c r="D621" s="4"/>
      <c r="E621" s="4"/>
    </row>
    <row r="622" spans="1:5" ht="15.75" customHeight="1" x14ac:dyDescent="0.25">
      <c r="A622" s="4"/>
      <c r="B622" s="4"/>
      <c r="C622" s="4"/>
      <c r="D622" s="4"/>
      <c r="E622" s="4"/>
    </row>
    <row r="623" spans="1:5" ht="15.75" customHeight="1" x14ac:dyDescent="0.25">
      <c r="A623" s="4"/>
      <c r="B623" s="4"/>
      <c r="C623" s="4"/>
      <c r="D623" s="4"/>
      <c r="E623" s="4"/>
    </row>
    <row r="624" spans="1:5" ht="15.75" customHeight="1" x14ac:dyDescent="0.25">
      <c r="A624" s="4"/>
      <c r="B624" s="4"/>
      <c r="C624" s="4"/>
      <c r="D624" s="4"/>
      <c r="E624" s="4"/>
    </row>
    <row r="625" spans="1:5" ht="15.75" customHeight="1" x14ac:dyDescent="0.25">
      <c r="A625" s="4"/>
      <c r="B625" s="4"/>
      <c r="C625" s="4"/>
      <c r="D625" s="4"/>
      <c r="E625" s="4"/>
    </row>
    <row r="626" spans="1:5" ht="15.75" customHeight="1" x14ac:dyDescent="0.25">
      <c r="A626" s="4"/>
      <c r="B626" s="4"/>
      <c r="C626" s="4"/>
      <c r="D626" s="4"/>
      <c r="E626" s="4"/>
    </row>
    <row r="627" spans="1:5" ht="15.75" customHeight="1" x14ac:dyDescent="0.25">
      <c r="A627" s="4"/>
      <c r="B627" s="4"/>
      <c r="C627" s="4"/>
      <c r="D627" s="4"/>
      <c r="E627" s="4"/>
    </row>
    <row r="628" spans="1:5" ht="15.75" customHeight="1" x14ac:dyDescent="0.25">
      <c r="A628" s="4"/>
      <c r="B628" s="4"/>
      <c r="C628" s="4"/>
      <c r="D628" s="4"/>
      <c r="E628" s="4"/>
    </row>
    <row r="629" spans="1:5" ht="15.75" customHeight="1" x14ac:dyDescent="0.25">
      <c r="A629" s="4"/>
      <c r="B629" s="4"/>
      <c r="C629" s="4"/>
      <c r="D629" s="4"/>
      <c r="E629" s="4"/>
    </row>
    <row r="630" spans="1:5" ht="15.75" customHeight="1" x14ac:dyDescent="0.25">
      <c r="A630" s="4"/>
      <c r="B630" s="4"/>
      <c r="C630" s="4"/>
      <c r="D630" s="4"/>
      <c r="E630" s="4"/>
    </row>
    <row r="631" spans="1:5" ht="15.75" customHeight="1" x14ac:dyDescent="0.25">
      <c r="A631" s="4"/>
      <c r="B631" s="4"/>
      <c r="C631" s="4"/>
      <c r="D631" s="4"/>
      <c r="E631" s="4"/>
    </row>
    <row r="632" spans="1:5" ht="15.75" customHeight="1" x14ac:dyDescent="0.25">
      <c r="A632" s="4"/>
      <c r="B632" s="4"/>
      <c r="C632" s="4"/>
      <c r="D632" s="4"/>
      <c r="E632" s="4"/>
    </row>
    <row r="633" spans="1:5" ht="15.75" customHeight="1" x14ac:dyDescent="0.25">
      <c r="A633" s="4"/>
      <c r="B633" s="4"/>
      <c r="C633" s="4"/>
      <c r="D633" s="4"/>
      <c r="E633" s="4"/>
    </row>
    <row r="634" spans="1:5" ht="15.75" customHeight="1" x14ac:dyDescent="0.25">
      <c r="A634" s="4"/>
      <c r="B634" s="4"/>
      <c r="C634" s="4"/>
      <c r="D634" s="4"/>
      <c r="E634" s="4"/>
    </row>
    <row r="635" spans="1:5" ht="15.75" customHeight="1" x14ac:dyDescent="0.25">
      <c r="A635" s="4"/>
      <c r="B635" s="4"/>
      <c r="C635" s="4"/>
      <c r="D635" s="4"/>
      <c r="E635" s="4"/>
    </row>
    <row r="636" spans="1:5" ht="15.75" customHeight="1" x14ac:dyDescent="0.25">
      <c r="A636" s="4"/>
      <c r="B636" s="4"/>
      <c r="C636" s="4"/>
      <c r="D636" s="4"/>
      <c r="E636" s="4"/>
    </row>
    <row r="637" spans="1:5" ht="15.75" customHeight="1" x14ac:dyDescent="0.25">
      <c r="A637" s="4"/>
      <c r="B637" s="4"/>
      <c r="C637" s="4"/>
      <c r="D637" s="4"/>
      <c r="E637" s="4"/>
    </row>
    <row r="638" spans="1:5" ht="15.75" customHeight="1" x14ac:dyDescent="0.25">
      <c r="A638" s="4"/>
      <c r="B638" s="4"/>
      <c r="C638" s="4"/>
      <c r="D638" s="4"/>
      <c r="E638" s="4"/>
    </row>
    <row r="639" spans="1:5" ht="15.75" customHeight="1" x14ac:dyDescent="0.25">
      <c r="A639" s="4"/>
      <c r="B639" s="4"/>
      <c r="C639" s="4"/>
      <c r="D639" s="4"/>
      <c r="E639" s="4"/>
    </row>
    <row r="640" spans="1:5" ht="15.75" customHeight="1" x14ac:dyDescent="0.25">
      <c r="A640" s="4"/>
      <c r="B640" s="4"/>
      <c r="C640" s="4"/>
      <c r="D640" s="4"/>
      <c r="E640" s="4"/>
    </row>
    <row r="641" spans="1:5" ht="15.75" customHeight="1" x14ac:dyDescent="0.25">
      <c r="A641" s="4"/>
      <c r="B641" s="4"/>
      <c r="C641" s="4"/>
      <c r="D641" s="4"/>
      <c r="E641" s="4"/>
    </row>
    <row r="642" spans="1:5" ht="15.75" customHeight="1" x14ac:dyDescent="0.25">
      <c r="A642" s="4"/>
      <c r="B642" s="4"/>
      <c r="C642" s="4"/>
      <c r="D642" s="4"/>
      <c r="E642" s="4"/>
    </row>
    <row r="643" spans="1:5" ht="15.75" customHeight="1" x14ac:dyDescent="0.25">
      <c r="A643" s="4"/>
      <c r="B643" s="4"/>
      <c r="C643" s="4"/>
      <c r="D643" s="4"/>
      <c r="E643" s="4"/>
    </row>
    <row r="644" spans="1:5" ht="15.75" customHeight="1" x14ac:dyDescent="0.25">
      <c r="A644" s="4"/>
      <c r="B644" s="4"/>
      <c r="C644" s="4"/>
      <c r="D644" s="4"/>
      <c r="E644" s="4"/>
    </row>
    <row r="645" spans="1:5" ht="15.75" customHeight="1" x14ac:dyDescent="0.25">
      <c r="A645" s="4"/>
      <c r="B645" s="4"/>
      <c r="C645" s="4"/>
      <c r="D645" s="4"/>
      <c r="E645" s="4"/>
    </row>
    <row r="646" spans="1:5" ht="15.75" customHeight="1" x14ac:dyDescent="0.25">
      <c r="A646" s="4"/>
      <c r="B646" s="4"/>
      <c r="C646" s="4"/>
      <c r="D646" s="4"/>
      <c r="E646" s="4"/>
    </row>
    <row r="647" spans="1:5" ht="15.75" customHeight="1" x14ac:dyDescent="0.25">
      <c r="A647" s="4"/>
      <c r="B647" s="4"/>
      <c r="C647" s="4"/>
      <c r="D647" s="4"/>
      <c r="E647" s="4"/>
    </row>
    <row r="648" spans="1:5" ht="15.75" customHeight="1" x14ac:dyDescent="0.25">
      <c r="A648" s="4"/>
      <c r="B648" s="4"/>
      <c r="C648" s="4"/>
      <c r="D648" s="4"/>
      <c r="E648" s="4"/>
    </row>
    <row r="649" spans="1:5" ht="15.75" customHeight="1" x14ac:dyDescent="0.25">
      <c r="A649" s="4"/>
      <c r="B649" s="4"/>
      <c r="C649" s="4"/>
      <c r="D649" s="4"/>
      <c r="E649" s="4"/>
    </row>
    <row r="650" spans="1:5" ht="15.75" customHeight="1" x14ac:dyDescent="0.25">
      <c r="A650" s="4"/>
      <c r="B650" s="4"/>
      <c r="C650" s="4"/>
      <c r="D650" s="4"/>
      <c r="E650" s="4"/>
    </row>
    <row r="651" spans="1:5" ht="15.75" customHeight="1" x14ac:dyDescent="0.25">
      <c r="A651" s="4"/>
      <c r="B651" s="4"/>
      <c r="C651" s="4"/>
      <c r="D651" s="4"/>
      <c r="E651" s="4"/>
    </row>
    <row r="652" spans="1:5" ht="15.75" customHeight="1" x14ac:dyDescent="0.25">
      <c r="A652" s="4"/>
      <c r="B652" s="4"/>
      <c r="C652" s="4"/>
      <c r="D652" s="4"/>
      <c r="E652" s="4"/>
    </row>
    <row r="653" spans="1:5" ht="15.75" customHeight="1" x14ac:dyDescent="0.25">
      <c r="A653" s="4"/>
      <c r="B653" s="4"/>
      <c r="C653" s="4"/>
      <c r="D653" s="4"/>
      <c r="E653" s="4"/>
    </row>
    <row r="654" spans="1:5" ht="15.75" customHeight="1" x14ac:dyDescent="0.25">
      <c r="A654" s="4"/>
      <c r="B654" s="4"/>
      <c r="C654" s="4"/>
      <c r="D654" s="4"/>
      <c r="E654" s="4"/>
    </row>
    <row r="655" spans="1:5" ht="15.75" customHeight="1" x14ac:dyDescent="0.25">
      <c r="A655" s="4"/>
      <c r="B655" s="4"/>
      <c r="C655" s="4"/>
      <c r="D655" s="4"/>
      <c r="E655" s="4"/>
    </row>
    <row r="656" spans="1:5" ht="15.75" customHeight="1" x14ac:dyDescent="0.25">
      <c r="A656" s="4"/>
      <c r="B656" s="4"/>
      <c r="C656" s="4"/>
      <c r="D656" s="4"/>
      <c r="E656" s="4"/>
    </row>
    <row r="657" spans="1:5" ht="15.75" customHeight="1" x14ac:dyDescent="0.25">
      <c r="A657" s="4"/>
      <c r="B657" s="4"/>
      <c r="C657" s="4"/>
      <c r="D657" s="4"/>
      <c r="E657" s="4"/>
    </row>
    <row r="658" spans="1:5" ht="15.75" customHeight="1" x14ac:dyDescent="0.25">
      <c r="A658" s="4"/>
      <c r="B658" s="4"/>
      <c r="C658" s="4"/>
      <c r="D658" s="4"/>
      <c r="E658" s="4"/>
    </row>
    <row r="659" spans="1:5" ht="15.75" customHeight="1" x14ac:dyDescent="0.25">
      <c r="A659" s="4"/>
      <c r="B659" s="4"/>
      <c r="C659" s="4"/>
      <c r="D659" s="4"/>
      <c r="E659" s="4"/>
    </row>
    <row r="660" spans="1:5" ht="15.75" customHeight="1" x14ac:dyDescent="0.25">
      <c r="A660" s="4"/>
      <c r="B660" s="4"/>
      <c r="C660" s="4"/>
      <c r="D660" s="4"/>
      <c r="E660" s="4"/>
    </row>
    <row r="661" spans="1:5" ht="15.75" customHeight="1" x14ac:dyDescent="0.25">
      <c r="A661" s="4"/>
      <c r="B661" s="4"/>
      <c r="C661" s="4"/>
      <c r="D661" s="4"/>
      <c r="E661" s="4"/>
    </row>
    <row r="662" spans="1:5" ht="15.75" customHeight="1" x14ac:dyDescent="0.25">
      <c r="A662" s="4"/>
      <c r="B662" s="4"/>
      <c r="C662" s="4"/>
      <c r="D662" s="4"/>
      <c r="E662" s="4"/>
    </row>
    <row r="663" spans="1:5" ht="15.75" customHeight="1" x14ac:dyDescent="0.25">
      <c r="A663" s="4"/>
      <c r="B663" s="4"/>
      <c r="C663" s="4"/>
      <c r="D663" s="4"/>
      <c r="E663" s="4"/>
    </row>
    <row r="664" spans="1:5" ht="15.75" customHeight="1" x14ac:dyDescent="0.25">
      <c r="A664" s="4"/>
      <c r="B664" s="4"/>
      <c r="C664" s="4"/>
      <c r="D664" s="4"/>
      <c r="E664" s="4"/>
    </row>
    <row r="665" spans="1:5" ht="15.75" customHeight="1" x14ac:dyDescent="0.25">
      <c r="A665" s="4"/>
      <c r="B665" s="4"/>
      <c r="C665" s="4"/>
      <c r="D665" s="4"/>
      <c r="E665" s="4"/>
    </row>
    <row r="666" spans="1:5" ht="15.75" customHeight="1" x14ac:dyDescent="0.25">
      <c r="A666" s="4"/>
      <c r="B666" s="4"/>
      <c r="C666" s="4"/>
      <c r="D666" s="4"/>
      <c r="E666" s="4"/>
    </row>
    <row r="667" spans="1:5" ht="15.75" customHeight="1" x14ac:dyDescent="0.25">
      <c r="A667" s="4"/>
      <c r="B667" s="4"/>
      <c r="C667" s="4"/>
      <c r="D667" s="4"/>
      <c r="E667" s="4"/>
    </row>
    <row r="668" spans="1:5" ht="15.75" customHeight="1" x14ac:dyDescent="0.25">
      <c r="A668" s="4"/>
      <c r="B668" s="4"/>
      <c r="C668" s="4"/>
      <c r="D668" s="4"/>
      <c r="E668" s="4"/>
    </row>
    <row r="669" spans="1:5" ht="15.75" customHeight="1" x14ac:dyDescent="0.25">
      <c r="A669" s="4"/>
      <c r="B669" s="4"/>
      <c r="C669" s="4"/>
      <c r="D669" s="4"/>
      <c r="E669" s="4"/>
    </row>
    <row r="670" spans="1:5" ht="15.75" customHeight="1" x14ac:dyDescent="0.25">
      <c r="A670" s="4"/>
      <c r="B670" s="4"/>
      <c r="C670" s="4"/>
      <c r="D670" s="4"/>
      <c r="E670" s="4"/>
    </row>
    <row r="671" spans="1:5" ht="15.75" customHeight="1" x14ac:dyDescent="0.25">
      <c r="A671" s="4"/>
      <c r="B671" s="4"/>
      <c r="C671" s="4"/>
      <c r="D671" s="4"/>
      <c r="E671" s="4"/>
    </row>
    <row r="672" spans="1:5" ht="15.75" customHeight="1" x14ac:dyDescent="0.25">
      <c r="A672" s="4"/>
      <c r="B672" s="4"/>
      <c r="C672" s="4"/>
      <c r="D672" s="4"/>
      <c r="E672" s="4"/>
    </row>
    <row r="673" spans="1:5" ht="15.75" customHeight="1" x14ac:dyDescent="0.25">
      <c r="A673" s="4"/>
      <c r="B673" s="4"/>
      <c r="C673" s="4"/>
      <c r="D673" s="4"/>
      <c r="E673" s="4"/>
    </row>
    <row r="674" spans="1:5" ht="15.75" customHeight="1" x14ac:dyDescent="0.25">
      <c r="A674" s="4"/>
      <c r="B674" s="4"/>
      <c r="C674" s="4"/>
      <c r="D674" s="4"/>
      <c r="E674" s="4"/>
    </row>
    <row r="675" spans="1:5" ht="15.75" customHeight="1" x14ac:dyDescent="0.25">
      <c r="A675" s="4"/>
      <c r="B675" s="4"/>
      <c r="C675" s="4"/>
      <c r="D675" s="4"/>
      <c r="E675" s="4"/>
    </row>
    <row r="676" spans="1:5" ht="15.75" customHeight="1" x14ac:dyDescent="0.25">
      <c r="A676" s="4"/>
      <c r="B676" s="4"/>
      <c r="C676" s="4"/>
      <c r="D676" s="4"/>
      <c r="E676" s="4"/>
    </row>
    <row r="677" spans="1:5" ht="15.75" customHeight="1" x14ac:dyDescent="0.25">
      <c r="A677" s="4"/>
      <c r="B677" s="4"/>
      <c r="C677" s="4"/>
      <c r="D677" s="4"/>
      <c r="E677" s="4"/>
    </row>
    <row r="678" spans="1:5" ht="15.75" customHeight="1" x14ac:dyDescent="0.25">
      <c r="A678" s="4"/>
      <c r="B678" s="4"/>
      <c r="C678" s="4"/>
      <c r="D678" s="4"/>
      <c r="E678" s="4"/>
    </row>
    <row r="679" spans="1:5" ht="15.75" customHeight="1" x14ac:dyDescent="0.25">
      <c r="A679" s="4"/>
      <c r="B679" s="4"/>
      <c r="C679" s="4"/>
      <c r="D679" s="4"/>
      <c r="E679" s="4"/>
    </row>
    <row r="680" spans="1:5" ht="15.75" customHeight="1" x14ac:dyDescent="0.25">
      <c r="A680" s="4"/>
      <c r="B680" s="4"/>
      <c r="C680" s="4"/>
      <c r="D680" s="4"/>
      <c r="E680" s="4"/>
    </row>
    <row r="681" spans="1:5" ht="15.75" customHeight="1" x14ac:dyDescent="0.25">
      <c r="A681" s="4"/>
      <c r="B681" s="4"/>
      <c r="C681" s="4"/>
      <c r="D681" s="4"/>
      <c r="E681" s="4"/>
    </row>
    <row r="682" spans="1:5" ht="15.75" customHeight="1" x14ac:dyDescent="0.25">
      <c r="A682" s="4"/>
      <c r="B682" s="4"/>
      <c r="C682" s="4"/>
      <c r="D682" s="4"/>
      <c r="E682" s="4"/>
    </row>
    <row r="683" spans="1:5" ht="15.75" customHeight="1" x14ac:dyDescent="0.25">
      <c r="A683" s="4"/>
      <c r="B683" s="4"/>
      <c r="C683" s="4"/>
      <c r="D683" s="4"/>
      <c r="E683" s="4"/>
    </row>
    <row r="684" spans="1:5" ht="15.75" customHeight="1" x14ac:dyDescent="0.25">
      <c r="A684" s="4"/>
      <c r="B684" s="4"/>
      <c r="C684" s="4"/>
      <c r="D684" s="4"/>
      <c r="E684" s="4"/>
    </row>
    <row r="685" spans="1:5" ht="15.75" customHeight="1" x14ac:dyDescent="0.25">
      <c r="A685" s="4"/>
      <c r="B685" s="4"/>
      <c r="C685" s="4"/>
      <c r="D685" s="4"/>
      <c r="E685" s="4"/>
    </row>
    <row r="686" spans="1:5" ht="15.75" customHeight="1" x14ac:dyDescent="0.25">
      <c r="A686" s="4"/>
      <c r="B686" s="4"/>
      <c r="C686" s="4"/>
      <c r="D686" s="4"/>
      <c r="E686" s="4"/>
    </row>
    <row r="687" spans="1:5" ht="15.75" customHeight="1" x14ac:dyDescent="0.25">
      <c r="A687" s="4"/>
      <c r="B687" s="4"/>
      <c r="C687" s="4"/>
      <c r="D687" s="4"/>
      <c r="E687" s="4"/>
    </row>
    <row r="688" spans="1:5" ht="15.75" customHeight="1" x14ac:dyDescent="0.25">
      <c r="A688" s="4"/>
      <c r="B688" s="4"/>
      <c r="C688" s="4"/>
      <c r="D688" s="4"/>
      <c r="E688" s="4"/>
    </row>
    <row r="689" spans="1:5" ht="15.75" customHeight="1" x14ac:dyDescent="0.25">
      <c r="A689" s="4"/>
      <c r="B689" s="4"/>
      <c r="C689" s="4"/>
      <c r="D689" s="4"/>
      <c r="E689" s="4"/>
    </row>
    <row r="690" spans="1:5" ht="15.75" customHeight="1" x14ac:dyDescent="0.25">
      <c r="A690" s="4"/>
      <c r="B690" s="4"/>
      <c r="C690" s="4"/>
      <c r="D690" s="4"/>
      <c r="E690" s="4"/>
    </row>
    <row r="691" spans="1:5" ht="15.75" customHeight="1" x14ac:dyDescent="0.25">
      <c r="A691" s="4"/>
      <c r="B691" s="4"/>
      <c r="C691" s="4"/>
      <c r="D691" s="4"/>
      <c r="E691" s="4"/>
    </row>
    <row r="692" spans="1:5" ht="15.75" customHeight="1" x14ac:dyDescent="0.25">
      <c r="A692" s="4"/>
      <c r="B692" s="4"/>
      <c r="C692" s="4"/>
      <c r="D692" s="4"/>
      <c r="E692" s="4"/>
    </row>
    <row r="693" spans="1:5" ht="15.75" customHeight="1" x14ac:dyDescent="0.25">
      <c r="A693" s="4"/>
      <c r="B693" s="4"/>
      <c r="C693" s="4"/>
      <c r="D693" s="4"/>
      <c r="E693" s="4"/>
    </row>
    <row r="694" spans="1:5" ht="15.75" customHeight="1" x14ac:dyDescent="0.25">
      <c r="A694" s="4"/>
      <c r="B694" s="4"/>
      <c r="C694" s="4"/>
      <c r="D694" s="4"/>
      <c r="E694" s="4"/>
    </row>
    <row r="695" spans="1:5" ht="15.75" customHeight="1" x14ac:dyDescent="0.25">
      <c r="A695" s="4"/>
      <c r="B695" s="4"/>
      <c r="C695" s="4"/>
      <c r="D695" s="4"/>
      <c r="E695" s="4"/>
    </row>
    <row r="696" spans="1:5" ht="15.75" customHeight="1" x14ac:dyDescent="0.25">
      <c r="A696" s="4"/>
      <c r="B696" s="4"/>
      <c r="C696" s="4"/>
      <c r="D696" s="4"/>
      <c r="E696" s="4"/>
    </row>
    <row r="697" spans="1:5" ht="15.75" customHeight="1" x14ac:dyDescent="0.25">
      <c r="A697" s="4"/>
      <c r="B697" s="4"/>
      <c r="C697" s="4"/>
      <c r="D697" s="4"/>
      <c r="E697" s="4"/>
    </row>
    <row r="698" spans="1:5" ht="15.75" customHeight="1" x14ac:dyDescent="0.25">
      <c r="A698" s="4"/>
      <c r="B698" s="4"/>
      <c r="C698" s="4"/>
      <c r="D698" s="4"/>
      <c r="E698" s="4"/>
    </row>
    <row r="699" spans="1:5" ht="15.75" customHeight="1" x14ac:dyDescent="0.25">
      <c r="A699" s="4"/>
      <c r="B699" s="4"/>
      <c r="C699" s="4"/>
      <c r="D699" s="4"/>
      <c r="E699" s="4"/>
    </row>
    <row r="700" spans="1:5" ht="15.75" customHeight="1" x14ac:dyDescent="0.25">
      <c r="A700" s="4"/>
      <c r="B700" s="4"/>
      <c r="C700" s="4"/>
      <c r="D700" s="4"/>
      <c r="E700" s="4"/>
    </row>
    <row r="701" spans="1:5" ht="15.75" customHeight="1" x14ac:dyDescent="0.25">
      <c r="A701" s="4"/>
      <c r="B701" s="4"/>
      <c r="C701" s="4"/>
      <c r="D701" s="4"/>
      <c r="E701" s="4"/>
    </row>
    <row r="702" spans="1:5" ht="15.75" customHeight="1" x14ac:dyDescent="0.25">
      <c r="A702" s="4"/>
      <c r="B702" s="4"/>
      <c r="C702" s="4"/>
      <c r="D702" s="4"/>
      <c r="E702" s="4"/>
    </row>
    <row r="703" spans="1:5" ht="15.75" customHeight="1" x14ac:dyDescent="0.25">
      <c r="A703" s="4"/>
      <c r="B703" s="4"/>
      <c r="C703" s="4"/>
      <c r="D703" s="4"/>
      <c r="E703" s="4"/>
    </row>
    <row r="704" spans="1:5" ht="15.75" customHeight="1" x14ac:dyDescent="0.25">
      <c r="A704" s="4"/>
      <c r="B704" s="4"/>
      <c r="C704" s="4"/>
      <c r="D704" s="4"/>
      <c r="E704" s="4"/>
    </row>
    <row r="705" spans="1:5" ht="15.75" customHeight="1" x14ac:dyDescent="0.25">
      <c r="A705" s="4"/>
      <c r="B705" s="4"/>
      <c r="C705" s="4"/>
      <c r="D705" s="4"/>
      <c r="E705" s="4"/>
    </row>
    <row r="706" spans="1:5" ht="15.75" customHeight="1" x14ac:dyDescent="0.25">
      <c r="A706" s="4"/>
      <c r="B706" s="4"/>
      <c r="C706" s="4"/>
      <c r="D706" s="4"/>
      <c r="E706" s="4"/>
    </row>
    <row r="707" spans="1:5" ht="15.75" customHeight="1" x14ac:dyDescent="0.25">
      <c r="A707" s="4"/>
      <c r="B707" s="4"/>
      <c r="C707" s="4"/>
      <c r="D707" s="4"/>
      <c r="E707" s="4"/>
    </row>
    <row r="708" spans="1:5" ht="15.75" customHeight="1" x14ac:dyDescent="0.25">
      <c r="A708" s="4"/>
      <c r="B708" s="4"/>
      <c r="C708" s="4"/>
      <c r="D708" s="4"/>
      <c r="E708" s="4"/>
    </row>
    <row r="709" spans="1:5" ht="15.75" customHeight="1" x14ac:dyDescent="0.25">
      <c r="A709" s="4"/>
      <c r="B709" s="4"/>
      <c r="C709" s="4"/>
      <c r="D709" s="4"/>
      <c r="E709" s="4"/>
    </row>
    <row r="710" spans="1:5" ht="15.75" customHeight="1" x14ac:dyDescent="0.25">
      <c r="A710" s="4"/>
      <c r="B710" s="4"/>
      <c r="C710" s="4"/>
      <c r="D710" s="4"/>
      <c r="E710" s="4"/>
    </row>
    <row r="711" spans="1:5" ht="15.75" customHeight="1" x14ac:dyDescent="0.25">
      <c r="A711" s="4"/>
      <c r="B711" s="4"/>
      <c r="C711" s="4"/>
      <c r="D711" s="4"/>
      <c r="E711" s="4"/>
    </row>
    <row r="712" spans="1:5" ht="15.75" customHeight="1" x14ac:dyDescent="0.25">
      <c r="A712" s="4"/>
      <c r="B712" s="4"/>
      <c r="C712" s="4"/>
      <c r="D712" s="4"/>
      <c r="E712" s="4"/>
    </row>
    <row r="713" spans="1:5" ht="15.75" customHeight="1" x14ac:dyDescent="0.25">
      <c r="A713" s="4"/>
      <c r="B713" s="4"/>
      <c r="C713" s="4"/>
      <c r="D713" s="4"/>
      <c r="E713" s="4"/>
    </row>
    <row r="714" spans="1:5" ht="15.75" customHeight="1" x14ac:dyDescent="0.25">
      <c r="A714" s="4"/>
      <c r="B714" s="4"/>
      <c r="C714" s="4"/>
      <c r="D714" s="4"/>
      <c r="E714" s="4"/>
    </row>
    <row r="715" spans="1:5" ht="15.75" customHeight="1" x14ac:dyDescent="0.25">
      <c r="A715" s="4"/>
      <c r="B715" s="4"/>
      <c r="C715" s="4"/>
      <c r="D715" s="4"/>
      <c r="E715" s="4"/>
    </row>
    <row r="716" spans="1:5" ht="15.75" customHeight="1" x14ac:dyDescent="0.25">
      <c r="A716" s="4"/>
      <c r="B716" s="4"/>
      <c r="C716" s="4"/>
      <c r="D716" s="4"/>
      <c r="E716" s="4"/>
    </row>
    <row r="717" spans="1:5" ht="15.75" customHeight="1" x14ac:dyDescent="0.25">
      <c r="A717" s="4"/>
      <c r="B717" s="4"/>
      <c r="C717" s="4"/>
      <c r="D717" s="4"/>
      <c r="E717" s="4"/>
    </row>
    <row r="718" spans="1:5" ht="15.75" customHeight="1" x14ac:dyDescent="0.25">
      <c r="A718" s="4"/>
      <c r="B718" s="4"/>
      <c r="C718" s="4"/>
      <c r="D718" s="4"/>
      <c r="E718" s="4"/>
    </row>
    <row r="719" spans="1:5" ht="15.75" customHeight="1" x14ac:dyDescent="0.25">
      <c r="A719" s="4"/>
      <c r="B719" s="4"/>
      <c r="C719" s="4"/>
      <c r="D719" s="4"/>
      <c r="E719" s="4"/>
    </row>
    <row r="720" spans="1:5" ht="15.75" customHeight="1" x14ac:dyDescent="0.25">
      <c r="A720" s="4"/>
      <c r="B720" s="4"/>
      <c r="C720" s="4"/>
      <c r="D720" s="4"/>
      <c r="E720" s="4"/>
    </row>
    <row r="721" spans="1:5" ht="15.75" customHeight="1" x14ac:dyDescent="0.25">
      <c r="A721" s="4"/>
      <c r="B721" s="4"/>
      <c r="C721" s="4"/>
      <c r="D721" s="4"/>
      <c r="E721" s="4"/>
    </row>
    <row r="722" spans="1:5" ht="15.75" customHeight="1" x14ac:dyDescent="0.25">
      <c r="A722" s="4"/>
      <c r="B722" s="4"/>
      <c r="C722" s="4"/>
      <c r="D722" s="4"/>
      <c r="E722" s="4"/>
    </row>
    <row r="723" spans="1:5" ht="15.75" customHeight="1" x14ac:dyDescent="0.25">
      <c r="A723" s="4"/>
      <c r="B723" s="4"/>
      <c r="C723" s="4"/>
      <c r="D723" s="4"/>
      <c r="E723" s="4"/>
    </row>
    <row r="724" spans="1:5" ht="15.75" customHeight="1" x14ac:dyDescent="0.25">
      <c r="A724" s="4"/>
      <c r="B724" s="4"/>
      <c r="C724" s="4"/>
      <c r="D724" s="4"/>
      <c r="E724" s="4"/>
    </row>
    <row r="725" spans="1:5" ht="15.75" customHeight="1" x14ac:dyDescent="0.25">
      <c r="A725" s="4"/>
      <c r="B725" s="4"/>
      <c r="C725" s="4"/>
      <c r="D725" s="4"/>
      <c r="E725" s="4"/>
    </row>
    <row r="726" spans="1:5" ht="15.75" customHeight="1" x14ac:dyDescent="0.25">
      <c r="A726" s="4"/>
      <c r="B726" s="4"/>
      <c r="C726" s="4"/>
      <c r="D726" s="4"/>
      <c r="E726" s="4"/>
    </row>
    <row r="727" spans="1:5" ht="15.75" customHeight="1" x14ac:dyDescent="0.25">
      <c r="A727" s="4"/>
      <c r="B727" s="4"/>
      <c r="C727" s="4"/>
      <c r="D727" s="4"/>
      <c r="E727" s="4"/>
    </row>
    <row r="728" spans="1:5" ht="15.75" customHeight="1" x14ac:dyDescent="0.25">
      <c r="A728" s="4"/>
      <c r="B728" s="4"/>
      <c r="C728" s="4"/>
      <c r="D728" s="4"/>
      <c r="E728" s="4"/>
    </row>
    <row r="729" spans="1:5" ht="15.75" customHeight="1" x14ac:dyDescent="0.25">
      <c r="A729" s="4"/>
      <c r="B729" s="4"/>
      <c r="C729" s="4"/>
      <c r="D729" s="4"/>
      <c r="E729" s="4"/>
    </row>
    <row r="730" spans="1:5" ht="15.75" customHeight="1" x14ac:dyDescent="0.25">
      <c r="A730" s="4"/>
      <c r="B730" s="4"/>
      <c r="C730" s="4"/>
      <c r="D730" s="4"/>
      <c r="E730" s="4"/>
    </row>
    <row r="731" spans="1:5" ht="15.75" customHeight="1" x14ac:dyDescent="0.25">
      <c r="A731" s="4"/>
      <c r="B731" s="4"/>
      <c r="C731" s="4"/>
      <c r="D731" s="4"/>
      <c r="E731" s="4"/>
    </row>
    <row r="732" spans="1:5" ht="15.75" customHeight="1" x14ac:dyDescent="0.25">
      <c r="A732" s="4"/>
      <c r="B732" s="4"/>
      <c r="C732" s="4"/>
      <c r="D732" s="4"/>
      <c r="E732" s="4"/>
    </row>
    <row r="733" spans="1:5" ht="15.75" customHeight="1" x14ac:dyDescent="0.25">
      <c r="A733" s="4"/>
      <c r="B733" s="4"/>
      <c r="C733" s="4"/>
      <c r="D733" s="4"/>
      <c r="E733" s="4"/>
    </row>
    <row r="734" spans="1:5" ht="15.75" customHeight="1" x14ac:dyDescent="0.25">
      <c r="A734" s="4"/>
      <c r="B734" s="4"/>
      <c r="C734" s="4"/>
      <c r="D734" s="4"/>
      <c r="E734" s="4"/>
    </row>
    <row r="735" spans="1:5" ht="15.75" customHeight="1" x14ac:dyDescent="0.25">
      <c r="A735" s="4"/>
      <c r="B735" s="4"/>
      <c r="C735" s="4"/>
      <c r="D735" s="4"/>
      <c r="E735" s="4"/>
    </row>
    <row r="736" spans="1:5" ht="15.75" customHeight="1" x14ac:dyDescent="0.25">
      <c r="A736" s="4"/>
      <c r="B736" s="4"/>
      <c r="C736" s="4"/>
      <c r="D736" s="4"/>
      <c r="E736" s="4"/>
    </row>
    <row r="737" spans="1:5" ht="15.75" customHeight="1" x14ac:dyDescent="0.25">
      <c r="A737" s="4"/>
      <c r="B737" s="4"/>
      <c r="C737" s="4"/>
      <c r="D737" s="4"/>
      <c r="E737" s="4"/>
    </row>
    <row r="738" spans="1:5" ht="15.75" customHeight="1" x14ac:dyDescent="0.25">
      <c r="A738" s="4"/>
      <c r="B738" s="4"/>
      <c r="C738" s="4"/>
      <c r="D738" s="4"/>
      <c r="E738" s="4"/>
    </row>
    <row r="739" spans="1:5" ht="15.75" customHeight="1" x14ac:dyDescent="0.25">
      <c r="A739" s="4"/>
      <c r="B739" s="4"/>
      <c r="C739" s="4"/>
      <c r="D739" s="4"/>
      <c r="E739" s="4"/>
    </row>
    <row r="740" spans="1:5" ht="15.75" customHeight="1" x14ac:dyDescent="0.25">
      <c r="A740" s="4"/>
      <c r="B740" s="4"/>
      <c r="C740" s="4"/>
      <c r="D740" s="4"/>
      <c r="E740" s="4"/>
    </row>
    <row r="741" spans="1:5" ht="15.75" customHeight="1" x14ac:dyDescent="0.25">
      <c r="A741" s="4"/>
      <c r="B741" s="4"/>
      <c r="C741" s="4"/>
      <c r="D741" s="4"/>
      <c r="E741" s="4"/>
    </row>
    <row r="742" spans="1:5" ht="15.75" customHeight="1" x14ac:dyDescent="0.25">
      <c r="A742" s="4"/>
      <c r="B742" s="4"/>
      <c r="C742" s="4"/>
      <c r="D742" s="4"/>
      <c r="E742" s="4"/>
    </row>
    <row r="743" spans="1:5" ht="15.75" customHeight="1" x14ac:dyDescent="0.25">
      <c r="A743" s="4"/>
      <c r="B743" s="4"/>
      <c r="C743" s="4"/>
      <c r="D743" s="4"/>
      <c r="E743" s="4"/>
    </row>
    <row r="744" spans="1:5" ht="15.75" customHeight="1" x14ac:dyDescent="0.25">
      <c r="A744" s="4"/>
      <c r="B744" s="4"/>
      <c r="C744" s="4"/>
      <c r="D744" s="4"/>
      <c r="E744" s="4"/>
    </row>
    <row r="745" spans="1:5" ht="15.75" customHeight="1" x14ac:dyDescent="0.25">
      <c r="A745" s="4"/>
      <c r="B745" s="4"/>
      <c r="C745" s="4"/>
      <c r="D745" s="4"/>
      <c r="E745" s="4"/>
    </row>
    <row r="746" spans="1:5" ht="15.75" customHeight="1" x14ac:dyDescent="0.25">
      <c r="A746" s="4"/>
      <c r="B746" s="4"/>
      <c r="C746" s="4"/>
      <c r="D746" s="4"/>
      <c r="E746" s="4"/>
    </row>
    <row r="747" spans="1:5" ht="15.75" customHeight="1" x14ac:dyDescent="0.25">
      <c r="A747" s="4"/>
      <c r="B747" s="4"/>
      <c r="C747" s="4"/>
      <c r="D747" s="4"/>
      <c r="E747" s="4"/>
    </row>
    <row r="748" spans="1:5" ht="15.75" customHeight="1" x14ac:dyDescent="0.25">
      <c r="A748" s="4"/>
      <c r="B748" s="4"/>
      <c r="C748" s="4"/>
      <c r="D748" s="4"/>
      <c r="E748" s="4"/>
    </row>
    <row r="749" spans="1:5" ht="15.75" customHeight="1" x14ac:dyDescent="0.25">
      <c r="A749" s="4"/>
      <c r="B749" s="4"/>
      <c r="C749" s="4"/>
      <c r="D749" s="4"/>
      <c r="E749" s="4"/>
    </row>
    <row r="750" spans="1:5" ht="15.75" customHeight="1" x14ac:dyDescent="0.25">
      <c r="A750" s="4"/>
      <c r="B750" s="4"/>
      <c r="C750" s="4"/>
      <c r="D750" s="4"/>
      <c r="E750" s="4"/>
    </row>
    <row r="751" spans="1:5" ht="15.75" customHeight="1" x14ac:dyDescent="0.25">
      <c r="A751" s="4"/>
      <c r="B751" s="4"/>
      <c r="C751" s="4"/>
      <c r="D751" s="4"/>
      <c r="E751" s="4"/>
    </row>
    <row r="752" spans="1:5" ht="15.75" customHeight="1" x14ac:dyDescent="0.25">
      <c r="A752" s="4"/>
      <c r="B752" s="4"/>
      <c r="C752" s="4"/>
      <c r="D752" s="4"/>
      <c r="E752" s="4"/>
    </row>
    <row r="753" spans="1:5" ht="15.75" customHeight="1" x14ac:dyDescent="0.25">
      <c r="A753" s="4"/>
      <c r="B753" s="4"/>
      <c r="C753" s="4"/>
      <c r="D753" s="4"/>
      <c r="E753" s="4"/>
    </row>
    <row r="754" spans="1:5" ht="15.75" customHeight="1" x14ac:dyDescent="0.25">
      <c r="A754" s="4"/>
      <c r="B754" s="4"/>
      <c r="C754" s="4"/>
      <c r="D754" s="4"/>
      <c r="E754" s="4"/>
    </row>
    <row r="755" spans="1:5" ht="15.75" customHeight="1" x14ac:dyDescent="0.25">
      <c r="A755" s="4"/>
      <c r="B755" s="4"/>
      <c r="C755" s="4"/>
      <c r="D755" s="4"/>
      <c r="E755" s="4"/>
    </row>
    <row r="756" spans="1:5" ht="15.75" customHeight="1" x14ac:dyDescent="0.25">
      <c r="A756" s="4"/>
      <c r="B756" s="4"/>
      <c r="C756" s="4"/>
      <c r="D756" s="4"/>
      <c r="E756" s="4"/>
    </row>
    <row r="757" spans="1:5" ht="15.75" customHeight="1" x14ac:dyDescent="0.25">
      <c r="A757" s="4"/>
      <c r="B757" s="4"/>
      <c r="C757" s="4"/>
      <c r="D757" s="4"/>
      <c r="E757" s="4"/>
    </row>
    <row r="758" spans="1:5" ht="15.75" customHeight="1" x14ac:dyDescent="0.25">
      <c r="A758" s="4"/>
      <c r="B758" s="4"/>
      <c r="C758" s="4"/>
      <c r="D758" s="4"/>
      <c r="E758" s="4"/>
    </row>
    <row r="759" spans="1:5" ht="15.75" customHeight="1" x14ac:dyDescent="0.25">
      <c r="A759" s="4"/>
      <c r="B759" s="4"/>
      <c r="C759" s="4"/>
      <c r="D759" s="4"/>
      <c r="E759" s="4"/>
    </row>
    <row r="760" spans="1:5" ht="15.75" customHeight="1" x14ac:dyDescent="0.25">
      <c r="A760" s="4"/>
      <c r="B760" s="4"/>
      <c r="C760" s="4"/>
      <c r="D760" s="4"/>
      <c r="E760" s="4"/>
    </row>
    <row r="761" spans="1:5" ht="15.75" customHeight="1" x14ac:dyDescent="0.25">
      <c r="A761" s="4"/>
      <c r="B761" s="4"/>
      <c r="C761" s="4"/>
      <c r="D761" s="4"/>
      <c r="E761" s="4"/>
    </row>
    <row r="762" spans="1:5" ht="15.75" customHeight="1" x14ac:dyDescent="0.25">
      <c r="A762" s="4"/>
      <c r="B762" s="4"/>
      <c r="C762" s="4"/>
      <c r="D762" s="4"/>
      <c r="E762" s="4"/>
    </row>
    <row r="763" spans="1:5" ht="15.75" customHeight="1" x14ac:dyDescent="0.25">
      <c r="A763" s="4"/>
      <c r="B763" s="4"/>
      <c r="C763" s="4"/>
      <c r="D763" s="4"/>
      <c r="E763" s="4"/>
    </row>
    <row r="764" spans="1:5" ht="15.75" customHeight="1" x14ac:dyDescent="0.25">
      <c r="A764" s="4"/>
      <c r="B764" s="4"/>
      <c r="C764" s="4"/>
      <c r="D764" s="4"/>
      <c r="E764" s="4"/>
    </row>
    <row r="765" spans="1:5" ht="15.75" customHeight="1" x14ac:dyDescent="0.25">
      <c r="A765" s="4"/>
      <c r="B765" s="4"/>
      <c r="C765" s="4"/>
      <c r="D765" s="4"/>
      <c r="E765" s="4"/>
    </row>
    <row r="766" spans="1:5" ht="15.75" customHeight="1" x14ac:dyDescent="0.25">
      <c r="A766" s="4"/>
      <c r="B766" s="4"/>
      <c r="C766" s="4"/>
      <c r="D766" s="4"/>
      <c r="E766" s="4"/>
    </row>
    <row r="767" spans="1:5" ht="15.75" customHeight="1" x14ac:dyDescent="0.25">
      <c r="A767" s="4"/>
      <c r="B767" s="4"/>
      <c r="C767" s="4"/>
      <c r="D767" s="4"/>
      <c r="E767" s="4"/>
    </row>
    <row r="768" spans="1:5" ht="15.75" customHeight="1" x14ac:dyDescent="0.25">
      <c r="A768" s="4"/>
      <c r="B768" s="4"/>
      <c r="C768" s="4"/>
      <c r="D768" s="4"/>
      <c r="E768" s="4"/>
    </row>
    <row r="769" spans="1:5" ht="15.75" customHeight="1" x14ac:dyDescent="0.25">
      <c r="A769" s="4"/>
      <c r="B769" s="4"/>
      <c r="C769" s="4"/>
      <c r="D769" s="4"/>
      <c r="E769" s="4"/>
    </row>
    <row r="770" spans="1:5" ht="15.75" customHeight="1" x14ac:dyDescent="0.25">
      <c r="A770" s="4"/>
      <c r="B770" s="4"/>
      <c r="C770" s="4"/>
      <c r="D770" s="4"/>
      <c r="E770" s="4"/>
    </row>
    <row r="771" spans="1:5" ht="15.75" customHeight="1" x14ac:dyDescent="0.25">
      <c r="A771" s="4"/>
      <c r="B771" s="4"/>
      <c r="C771" s="4"/>
      <c r="D771" s="4"/>
      <c r="E771" s="4"/>
    </row>
    <row r="772" spans="1:5" ht="15.75" customHeight="1" x14ac:dyDescent="0.25">
      <c r="A772" s="4"/>
      <c r="B772" s="4"/>
      <c r="C772" s="4"/>
      <c r="D772" s="4"/>
      <c r="E772" s="4"/>
    </row>
    <row r="773" spans="1:5" ht="15.75" customHeight="1" x14ac:dyDescent="0.25">
      <c r="A773" s="4"/>
      <c r="B773" s="4"/>
      <c r="C773" s="4"/>
      <c r="D773" s="4"/>
      <c r="E773" s="4"/>
    </row>
    <row r="774" spans="1:5" ht="15.75" customHeight="1" x14ac:dyDescent="0.25">
      <c r="A774" s="4"/>
      <c r="B774" s="4"/>
      <c r="C774" s="4"/>
      <c r="D774" s="4"/>
      <c r="E774" s="4"/>
    </row>
    <row r="775" spans="1:5" ht="15.75" customHeight="1" x14ac:dyDescent="0.25">
      <c r="A775" s="4"/>
      <c r="B775" s="4"/>
      <c r="C775" s="4"/>
      <c r="D775" s="4"/>
      <c r="E775" s="4"/>
    </row>
    <row r="776" spans="1:5" ht="15.75" customHeight="1" x14ac:dyDescent="0.25">
      <c r="A776" s="4"/>
      <c r="B776" s="4"/>
      <c r="C776" s="4"/>
      <c r="D776" s="4"/>
      <c r="E776" s="4"/>
    </row>
    <row r="777" spans="1:5" ht="15.75" customHeight="1" x14ac:dyDescent="0.25">
      <c r="A777" s="4"/>
      <c r="B777" s="4"/>
      <c r="C777" s="4"/>
      <c r="D777" s="4"/>
      <c r="E777" s="4"/>
    </row>
    <row r="778" spans="1:5" ht="15.75" customHeight="1" x14ac:dyDescent="0.25">
      <c r="A778" s="4"/>
      <c r="B778" s="4"/>
      <c r="C778" s="4"/>
      <c r="D778" s="4"/>
      <c r="E778" s="4"/>
    </row>
    <row r="779" spans="1:5" ht="15.75" customHeight="1" x14ac:dyDescent="0.25">
      <c r="A779" s="4"/>
      <c r="B779" s="4"/>
      <c r="C779" s="4"/>
      <c r="D779" s="4"/>
      <c r="E779" s="4"/>
    </row>
    <row r="780" spans="1:5" ht="15.75" customHeight="1" x14ac:dyDescent="0.25">
      <c r="A780" s="4"/>
      <c r="B780" s="4"/>
      <c r="C780" s="4"/>
      <c r="D780" s="4"/>
      <c r="E780" s="4"/>
    </row>
    <row r="781" spans="1:5" ht="15.75" customHeight="1" x14ac:dyDescent="0.25">
      <c r="A781" s="4"/>
      <c r="B781" s="4"/>
      <c r="C781" s="4"/>
      <c r="D781" s="4"/>
      <c r="E781" s="4"/>
    </row>
    <row r="782" spans="1:5" ht="15.75" customHeight="1" x14ac:dyDescent="0.25">
      <c r="A782" s="4"/>
      <c r="B782" s="4"/>
      <c r="C782" s="4"/>
      <c r="D782" s="4"/>
      <c r="E782" s="4"/>
    </row>
    <row r="783" spans="1:5" ht="15.75" customHeight="1" x14ac:dyDescent="0.25">
      <c r="A783" s="4"/>
      <c r="B783" s="4"/>
      <c r="C783" s="4"/>
      <c r="D783" s="4"/>
      <c r="E783" s="4"/>
    </row>
    <row r="784" spans="1:5" ht="15.75" customHeight="1" x14ac:dyDescent="0.25">
      <c r="A784" s="4"/>
      <c r="B784" s="4"/>
      <c r="C784" s="4"/>
      <c r="D784" s="4"/>
      <c r="E784" s="4"/>
    </row>
    <row r="785" spans="1:5" ht="15.75" customHeight="1" x14ac:dyDescent="0.25">
      <c r="A785" s="4"/>
      <c r="B785" s="4"/>
      <c r="C785" s="4"/>
      <c r="D785" s="4"/>
      <c r="E785" s="4"/>
    </row>
    <row r="786" spans="1:5" ht="15.75" customHeight="1" x14ac:dyDescent="0.25">
      <c r="A786" s="4"/>
      <c r="B786" s="4"/>
      <c r="C786" s="4"/>
      <c r="D786" s="4"/>
      <c r="E786" s="4"/>
    </row>
    <row r="787" spans="1:5" ht="15.75" customHeight="1" x14ac:dyDescent="0.25">
      <c r="A787" s="4"/>
      <c r="B787" s="4"/>
      <c r="C787" s="4"/>
      <c r="D787" s="4"/>
      <c r="E787" s="4"/>
    </row>
    <row r="788" spans="1:5" ht="15.75" customHeight="1" x14ac:dyDescent="0.25">
      <c r="A788" s="4"/>
      <c r="B788" s="4"/>
      <c r="C788" s="4"/>
      <c r="D788" s="4"/>
      <c r="E788" s="4"/>
    </row>
    <row r="789" spans="1:5" ht="15.75" customHeight="1" x14ac:dyDescent="0.25">
      <c r="A789" s="4"/>
      <c r="B789" s="4"/>
      <c r="C789" s="4"/>
      <c r="D789" s="4"/>
      <c r="E789" s="4"/>
    </row>
    <row r="790" spans="1:5" ht="15.75" customHeight="1" x14ac:dyDescent="0.25">
      <c r="A790" s="4"/>
      <c r="B790" s="4"/>
      <c r="C790" s="4"/>
      <c r="D790" s="4"/>
      <c r="E790" s="4"/>
    </row>
    <row r="791" spans="1:5" ht="15.75" customHeight="1" x14ac:dyDescent="0.25">
      <c r="A791" s="4"/>
      <c r="B791" s="4"/>
      <c r="C791" s="4"/>
      <c r="D791" s="4"/>
      <c r="E791" s="4"/>
    </row>
    <row r="792" spans="1:5" ht="15.75" customHeight="1" x14ac:dyDescent="0.25">
      <c r="A792" s="4"/>
      <c r="B792" s="4"/>
      <c r="C792" s="4"/>
      <c r="D792" s="4"/>
      <c r="E792" s="4"/>
    </row>
    <row r="793" spans="1:5" ht="15.75" customHeight="1" x14ac:dyDescent="0.25">
      <c r="A793" s="4"/>
      <c r="B793" s="4"/>
      <c r="C793" s="4"/>
      <c r="D793" s="4"/>
      <c r="E793" s="4"/>
    </row>
    <row r="794" spans="1:5" ht="15.75" customHeight="1" x14ac:dyDescent="0.25">
      <c r="A794" s="4"/>
      <c r="B794" s="4"/>
      <c r="C794" s="4"/>
      <c r="D794" s="4"/>
      <c r="E794" s="4"/>
    </row>
    <row r="795" spans="1:5" ht="15.75" customHeight="1" x14ac:dyDescent="0.25">
      <c r="A795" s="4"/>
      <c r="B795" s="4"/>
      <c r="C795" s="4"/>
      <c r="D795" s="4"/>
      <c r="E795" s="4"/>
    </row>
    <row r="796" spans="1:5" ht="15.75" customHeight="1" x14ac:dyDescent="0.25">
      <c r="A796" s="4"/>
      <c r="B796" s="4"/>
      <c r="C796" s="4"/>
      <c r="D796" s="4"/>
      <c r="E796" s="4"/>
    </row>
    <row r="797" spans="1:5" ht="15.75" customHeight="1" x14ac:dyDescent="0.25">
      <c r="A797" s="4"/>
      <c r="B797" s="4"/>
      <c r="C797" s="4"/>
      <c r="D797" s="4"/>
      <c r="E797" s="4"/>
    </row>
    <row r="798" spans="1:5" ht="15.75" customHeight="1" x14ac:dyDescent="0.25">
      <c r="A798" s="4"/>
      <c r="B798" s="4"/>
      <c r="C798" s="4"/>
      <c r="D798" s="4"/>
      <c r="E798" s="4"/>
    </row>
    <row r="799" spans="1:5" ht="15.75" customHeight="1" x14ac:dyDescent="0.25">
      <c r="A799" s="4"/>
      <c r="B799" s="4"/>
      <c r="C799" s="4"/>
      <c r="D799" s="4"/>
      <c r="E799" s="4"/>
    </row>
    <row r="800" spans="1:5" ht="15.75" customHeight="1" x14ac:dyDescent="0.25">
      <c r="A800" s="4"/>
      <c r="B800" s="4"/>
      <c r="C800" s="4"/>
      <c r="D800" s="4"/>
      <c r="E800" s="4"/>
    </row>
    <row r="801" spans="1:5" ht="15.75" customHeight="1" x14ac:dyDescent="0.25">
      <c r="A801" s="4"/>
      <c r="B801" s="4"/>
      <c r="C801" s="4"/>
      <c r="D801" s="4"/>
      <c r="E801" s="4"/>
    </row>
    <row r="802" spans="1:5" ht="15.75" customHeight="1" x14ac:dyDescent="0.25">
      <c r="A802" s="4"/>
      <c r="B802" s="4"/>
      <c r="C802" s="4"/>
      <c r="D802" s="4"/>
      <c r="E802" s="4"/>
    </row>
    <row r="803" spans="1:5" ht="15.75" customHeight="1" x14ac:dyDescent="0.25">
      <c r="A803" s="4"/>
      <c r="B803" s="4"/>
      <c r="C803" s="4"/>
      <c r="D803" s="4"/>
      <c r="E803" s="4"/>
    </row>
    <row r="804" spans="1:5" ht="15.75" customHeight="1" x14ac:dyDescent="0.25">
      <c r="A804" s="4"/>
      <c r="B804" s="4"/>
      <c r="C804" s="4"/>
      <c r="D804" s="4"/>
      <c r="E804" s="4"/>
    </row>
    <row r="805" spans="1:5" ht="15.75" customHeight="1" x14ac:dyDescent="0.25">
      <c r="A805" s="4"/>
      <c r="B805" s="4"/>
      <c r="C805" s="4"/>
      <c r="D805" s="4"/>
      <c r="E805" s="4"/>
    </row>
    <row r="806" spans="1:5" ht="15.75" customHeight="1" x14ac:dyDescent="0.25">
      <c r="A806" s="4"/>
      <c r="B806" s="4"/>
      <c r="C806" s="4"/>
      <c r="D806" s="4"/>
      <c r="E806" s="4"/>
    </row>
    <row r="807" spans="1:5" ht="15.75" customHeight="1" x14ac:dyDescent="0.25">
      <c r="A807" s="4"/>
      <c r="B807" s="4"/>
      <c r="C807" s="4"/>
      <c r="D807" s="4"/>
      <c r="E807" s="4"/>
    </row>
    <row r="808" spans="1:5" ht="15.75" customHeight="1" x14ac:dyDescent="0.25">
      <c r="A808" s="4"/>
      <c r="B808" s="4"/>
      <c r="C808" s="4"/>
      <c r="D808" s="4"/>
      <c r="E808" s="4"/>
    </row>
    <row r="809" spans="1:5" ht="15.75" customHeight="1" x14ac:dyDescent="0.25">
      <c r="A809" s="4"/>
      <c r="B809" s="4"/>
      <c r="C809" s="4"/>
      <c r="D809" s="4"/>
      <c r="E809" s="4"/>
    </row>
    <row r="810" spans="1:5" ht="15.75" customHeight="1" x14ac:dyDescent="0.25">
      <c r="A810" s="4"/>
      <c r="B810" s="4"/>
      <c r="C810" s="4"/>
      <c r="D810" s="4"/>
      <c r="E810" s="4"/>
    </row>
    <row r="811" spans="1:5" ht="15.75" customHeight="1" x14ac:dyDescent="0.25">
      <c r="A811" s="4"/>
      <c r="B811" s="4"/>
      <c r="C811" s="4"/>
      <c r="D811" s="4"/>
      <c r="E811" s="4"/>
    </row>
    <row r="812" spans="1:5" ht="15.75" customHeight="1" x14ac:dyDescent="0.25">
      <c r="A812" s="4"/>
      <c r="B812" s="4"/>
      <c r="C812" s="4"/>
      <c r="D812" s="4"/>
      <c r="E812" s="4"/>
    </row>
    <row r="813" spans="1:5" ht="15.75" customHeight="1" x14ac:dyDescent="0.25">
      <c r="A813" s="4"/>
      <c r="B813" s="4"/>
      <c r="C813" s="4"/>
      <c r="D813" s="4"/>
      <c r="E813" s="4"/>
    </row>
    <row r="814" spans="1:5" ht="15.75" customHeight="1" x14ac:dyDescent="0.25">
      <c r="A814" s="4"/>
      <c r="B814" s="4"/>
      <c r="C814" s="4"/>
      <c r="D814" s="4"/>
      <c r="E814" s="4"/>
    </row>
    <row r="815" spans="1:5" ht="15.75" customHeight="1" x14ac:dyDescent="0.25">
      <c r="A815" s="4"/>
      <c r="B815" s="4"/>
      <c r="C815" s="4"/>
      <c r="D815" s="4"/>
      <c r="E815" s="4"/>
    </row>
    <row r="816" spans="1:5" ht="15.75" customHeight="1" x14ac:dyDescent="0.25">
      <c r="A816" s="4"/>
      <c r="B816" s="4"/>
      <c r="C816" s="4"/>
      <c r="D816" s="4"/>
      <c r="E816" s="4"/>
    </row>
    <row r="817" spans="1:5" ht="15.75" customHeight="1" x14ac:dyDescent="0.25">
      <c r="A817" s="4"/>
      <c r="B817" s="4"/>
      <c r="C817" s="4"/>
      <c r="D817" s="4"/>
      <c r="E817" s="4"/>
    </row>
    <row r="818" spans="1:5" ht="15.75" customHeight="1" x14ac:dyDescent="0.25">
      <c r="A818" s="4"/>
      <c r="B818" s="4"/>
      <c r="C818" s="4"/>
      <c r="D818" s="4"/>
      <c r="E818" s="4"/>
    </row>
    <row r="819" spans="1:5" ht="15.75" customHeight="1" x14ac:dyDescent="0.25">
      <c r="A819" s="4"/>
      <c r="B819" s="4"/>
      <c r="C819" s="4"/>
      <c r="D819" s="4"/>
      <c r="E819" s="4"/>
    </row>
    <row r="820" spans="1:5" ht="15.75" customHeight="1" x14ac:dyDescent="0.25">
      <c r="A820" s="4"/>
      <c r="B820" s="4"/>
      <c r="C820" s="4"/>
      <c r="D820" s="4"/>
      <c r="E820" s="4"/>
    </row>
    <row r="821" spans="1:5" ht="15.75" customHeight="1" x14ac:dyDescent="0.25">
      <c r="A821" s="4"/>
      <c r="B821" s="4"/>
      <c r="C821" s="4"/>
      <c r="D821" s="4"/>
      <c r="E821" s="4"/>
    </row>
    <row r="822" spans="1:5" ht="15.75" customHeight="1" x14ac:dyDescent="0.25">
      <c r="A822" s="4"/>
      <c r="B822" s="4"/>
      <c r="C822" s="4"/>
      <c r="D822" s="4"/>
      <c r="E822" s="4"/>
    </row>
    <row r="823" spans="1:5" ht="15.75" customHeight="1" x14ac:dyDescent="0.25">
      <c r="A823" s="4"/>
      <c r="B823" s="4"/>
      <c r="C823" s="4"/>
      <c r="D823" s="4"/>
      <c r="E823" s="4"/>
    </row>
    <row r="824" spans="1:5" ht="15.75" customHeight="1" x14ac:dyDescent="0.25">
      <c r="A824" s="4"/>
      <c r="B824" s="4"/>
      <c r="C824" s="4"/>
      <c r="D824" s="4"/>
      <c r="E824" s="4"/>
    </row>
    <row r="825" spans="1:5" ht="15.75" customHeight="1" x14ac:dyDescent="0.25">
      <c r="A825" s="4"/>
      <c r="B825" s="4"/>
      <c r="C825" s="4"/>
      <c r="D825" s="4"/>
      <c r="E825" s="4"/>
    </row>
    <row r="826" spans="1:5" ht="15.75" customHeight="1" x14ac:dyDescent="0.25">
      <c r="A826" s="4"/>
      <c r="B826" s="4"/>
      <c r="C826" s="4"/>
      <c r="D826" s="4"/>
      <c r="E826" s="4"/>
    </row>
    <row r="827" spans="1:5" ht="15.75" customHeight="1" x14ac:dyDescent="0.25">
      <c r="A827" s="4"/>
      <c r="B827" s="4"/>
      <c r="C827" s="4"/>
      <c r="D827" s="4"/>
      <c r="E827" s="4"/>
    </row>
    <row r="828" spans="1:5" ht="15.75" customHeight="1" x14ac:dyDescent="0.25">
      <c r="A828" s="4"/>
      <c r="B828" s="4"/>
      <c r="C828" s="4"/>
      <c r="D828" s="4"/>
      <c r="E828" s="4"/>
    </row>
    <row r="829" spans="1:5" ht="15.75" customHeight="1" x14ac:dyDescent="0.25">
      <c r="A829" s="4"/>
      <c r="B829" s="4"/>
      <c r="C829" s="4"/>
      <c r="D829" s="4"/>
      <c r="E829" s="4"/>
    </row>
    <row r="830" spans="1:5" ht="15.75" customHeight="1" x14ac:dyDescent="0.25">
      <c r="A830" s="4"/>
      <c r="B830" s="4"/>
      <c r="C830" s="4"/>
      <c r="D830" s="4"/>
      <c r="E830" s="4"/>
    </row>
    <row r="831" spans="1:5" ht="15.75" customHeight="1" x14ac:dyDescent="0.25">
      <c r="A831" s="4"/>
      <c r="B831" s="4"/>
      <c r="C831" s="4"/>
      <c r="D831" s="4"/>
      <c r="E831" s="4"/>
    </row>
    <row r="832" spans="1:5" ht="15.75" customHeight="1" x14ac:dyDescent="0.25">
      <c r="A832" s="4"/>
      <c r="B832" s="4"/>
      <c r="C832" s="4"/>
      <c r="D832" s="4"/>
      <c r="E832" s="4"/>
    </row>
    <row r="833" spans="1:5" ht="15.75" customHeight="1" x14ac:dyDescent="0.25">
      <c r="A833" s="4"/>
      <c r="B833" s="4"/>
      <c r="C833" s="4"/>
      <c r="D833" s="4"/>
      <c r="E833" s="4"/>
    </row>
    <row r="834" spans="1:5" ht="15.75" customHeight="1" x14ac:dyDescent="0.25">
      <c r="A834" s="4"/>
      <c r="B834" s="4"/>
      <c r="C834" s="4"/>
      <c r="D834" s="4"/>
      <c r="E834" s="4"/>
    </row>
    <row r="835" spans="1:5" ht="15.75" customHeight="1" x14ac:dyDescent="0.25">
      <c r="A835" s="4"/>
      <c r="B835" s="4"/>
      <c r="C835" s="4"/>
      <c r="D835" s="4"/>
      <c r="E835" s="4"/>
    </row>
    <row r="836" spans="1:5" ht="15.75" customHeight="1" x14ac:dyDescent="0.25">
      <c r="A836" s="4"/>
      <c r="B836" s="4"/>
      <c r="C836" s="4"/>
      <c r="D836" s="4"/>
      <c r="E836" s="4"/>
    </row>
    <row r="837" spans="1:5" ht="15.75" customHeight="1" x14ac:dyDescent="0.25">
      <c r="A837" s="4"/>
      <c r="B837" s="4"/>
      <c r="C837" s="4"/>
      <c r="D837" s="4"/>
      <c r="E837" s="4"/>
    </row>
    <row r="838" spans="1:5" ht="15.75" customHeight="1" x14ac:dyDescent="0.25">
      <c r="A838" s="4"/>
      <c r="B838" s="4"/>
      <c r="C838" s="4"/>
      <c r="D838" s="4"/>
      <c r="E838" s="4"/>
    </row>
    <row r="839" spans="1:5" ht="15.75" customHeight="1" x14ac:dyDescent="0.25">
      <c r="A839" s="4"/>
      <c r="B839" s="4"/>
      <c r="C839" s="4"/>
      <c r="D839" s="4"/>
      <c r="E839" s="4"/>
    </row>
    <row r="840" spans="1:5" ht="15.75" customHeight="1" x14ac:dyDescent="0.25">
      <c r="A840" s="4"/>
      <c r="B840" s="4"/>
      <c r="C840" s="4"/>
      <c r="D840" s="4"/>
      <c r="E840" s="4"/>
    </row>
    <row r="841" spans="1:5" ht="15.75" customHeight="1" x14ac:dyDescent="0.25">
      <c r="A841" s="4"/>
      <c r="B841" s="4"/>
      <c r="C841" s="4"/>
      <c r="D841" s="4"/>
      <c r="E841" s="4"/>
    </row>
    <row r="842" spans="1:5" ht="15.75" customHeight="1" x14ac:dyDescent="0.25">
      <c r="A842" s="4"/>
      <c r="B842" s="4"/>
      <c r="C842" s="4"/>
      <c r="D842" s="4"/>
      <c r="E842" s="4"/>
    </row>
    <row r="843" spans="1:5" ht="15.75" customHeight="1" x14ac:dyDescent="0.25">
      <c r="A843" s="4"/>
      <c r="B843" s="4"/>
      <c r="C843" s="4"/>
      <c r="D843" s="4"/>
      <c r="E843" s="4"/>
    </row>
    <row r="844" spans="1:5" ht="15.75" customHeight="1" x14ac:dyDescent="0.25">
      <c r="A844" s="4"/>
      <c r="B844" s="4"/>
      <c r="C844" s="4"/>
      <c r="D844" s="4"/>
      <c r="E844" s="4"/>
    </row>
    <row r="845" spans="1:5" ht="15.75" customHeight="1" x14ac:dyDescent="0.25">
      <c r="A845" s="4"/>
      <c r="B845" s="4"/>
      <c r="C845" s="4"/>
      <c r="D845" s="4"/>
      <c r="E845" s="4"/>
    </row>
    <row r="846" spans="1:5" ht="15.75" customHeight="1" x14ac:dyDescent="0.25">
      <c r="A846" s="4"/>
      <c r="B846" s="4"/>
      <c r="C846" s="4"/>
      <c r="D846" s="4"/>
      <c r="E846" s="4"/>
    </row>
    <row r="847" spans="1:5" ht="15.75" customHeight="1" x14ac:dyDescent="0.25">
      <c r="A847" s="4"/>
      <c r="B847" s="4"/>
      <c r="C847" s="4"/>
      <c r="D847" s="4"/>
      <c r="E847" s="4"/>
    </row>
    <row r="848" spans="1:5" ht="15.75" customHeight="1" x14ac:dyDescent="0.25">
      <c r="A848" s="4"/>
      <c r="B848" s="4"/>
      <c r="C848" s="4"/>
      <c r="D848" s="4"/>
      <c r="E848" s="4"/>
    </row>
    <row r="849" spans="1:5" ht="15.75" customHeight="1" x14ac:dyDescent="0.25">
      <c r="A849" s="4"/>
      <c r="B849" s="4"/>
      <c r="C849" s="4"/>
      <c r="D849" s="4"/>
      <c r="E849" s="4"/>
    </row>
    <row r="850" spans="1:5" ht="15.75" customHeight="1" x14ac:dyDescent="0.25">
      <c r="A850" s="4"/>
      <c r="B850" s="4"/>
      <c r="C850" s="4"/>
      <c r="D850" s="4"/>
      <c r="E850" s="4"/>
    </row>
    <row r="851" spans="1:5" ht="15.75" customHeight="1" x14ac:dyDescent="0.25">
      <c r="A851" s="4"/>
      <c r="B851" s="4"/>
      <c r="C851" s="4"/>
      <c r="D851" s="4"/>
      <c r="E851" s="4"/>
    </row>
    <row r="852" spans="1:5" ht="15.75" customHeight="1" x14ac:dyDescent="0.25">
      <c r="A852" s="4"/>
      <c r="B852" s="4"/>
      <c r="C852" s="4"/>
      <c r="D852" s="4"/>
      <c r="E852" s="4"/>
    </row>
    <row r="853" spans="1:5" ht="15.75" customHeight="1" x14ac:dyDescent="0.25">
      <c r="A853" s="4"/>
      <c r="B853" s="4"/>
      <c r="C853" s="4"/>
      <c r="D853" s="4"/>
      <c r="E853" s="4"/>
    </row>
    <row r="854" spans="1:5" ht="15.75" customHeight="1" x14ac:dyDescent="0.25">
      <c r="A854" s="4"/>
      <c r="B854" s="4"/>
      <c r="C854" s="4"/>
      <c r="D854" s="4"/>
      <c r="E854" s="4"/>
    </row>
    <row r="855" spans="1:5" ht="15.75" customHeight="1" x14ac:dyDescent="0.25">
      <c r="A855" s="4"/>
      <c r="B855" s="4"/>
      <c r="C855" s="4"/>
      <c r="D855" s="4"/>
      <c r="E855" s="4"/>
    </row>
    <row r="856" spans="1:5" ht="15.75" customHeight="1" x14ac:dyDescent="0.25">
      <c r="A856" s="4"/>
      <c r="B856" s="4"/>
      <c r="C856" s="4"/>
      <c r="D856" s="4"/>
      <c r="E856" s="4"/>
    </row>
    <row r="857" spans="1:5" ht="15.75" customHeight="1" x14ac:dyDescent="0.25">
      <c r="A857" s="4"/>
      <c r="B857" s="4"/>
      <c r="C857" s="4"/>
      <c r="D857" s="4"/>
      <c r="E857" s="4"/>
    </row>
    <row r="858" spans="1:5" ht="15.75" customHeight="1" x14ac:dyDescent="0.25">
      <c r="A858" s="4"/>
      <c r="B858" s="4"/>
      <c r="C858" s="4"/>
      <c r="D858" s="4"/>
      <c r="E858" s="4"/>
    </row>
    <row r="859" spans="1:5" ht="15.75" customHeight="1" x14ac:dyDescent="0.25">
      <c r="A859" s="4"/>
      <c r="B859" s="4"/>
      <c r="C859" s="4"/>
      <c r="D859" s="4"/>
      <c r="E859" s="4"/>
    </row>
    <row r="860" spans="1:5" ht="15.75" customHeight="1" x14ac:dyDescent="0.25">
      <c r="A860" s="4"/>
      <c r="B860" s="4"/>
      <c r="C860" s="4"/>
      <c r="D860" s="4"/>
      <c r="E860" s="4"/>
    </row>
    <row r="861" spans="1:5" ht="15.75" customHeight="1" x14ac:dyDescent="0.25">
      <c r="A861" s="4"/>
      <c r="B861" s="4"/>
      <c r="C861" s="4"/>
      <c r="D861" s="4"/>
      <c r="E861" s="4"/>
    </row>
    <row r="862" spans="1:5" ht="15.75" customHeight="1" x14ac:dyDescent="0.25">
      <c r="A862" s="4"/>
      <c r="B862" s="4"/>
      <c r="C862" s="4"/>
      <c r="D862" s="4"/>
      <c r="E862" s="4"/>
    </row>
    <row r="863" spans="1:5" ht="15.75" customHeight="1" x14ac:dyDescent="0.25">
      <c r="A863" s="4"/>
      <c r="B863" s="4"/>
      <c r="C863" s="4"/>
      <c r="D863" s="4"/>
      <c r="E863" s="4"/>
    </row>
    <row r="864" spans="1:5" ht="15.75" customHeight="1" x14ac:dyDescent="0.25">
      <c r="A864" s="4"/>
      <c r="B864" s="4"/>
      <c r="C864" s="4"/>
      <c r="D864" s="4"/>
      <c r="E864" s="4"/>
    </row>
    <row r="865" spans="1:5" ht="15.75" customHeight="1" x14ac:dyDescent="0.25">
      <c r="A865" s="4"/>
      <c r="B865" s="4"/>
      <c r="C865" s="4"/>
      <c r="D865" s="4"/>
      <c r="E865" s="4"/>
    </row>
    <row r="866" spans="1:5" ht="15.75" customHeight="1" x14ac:dyDescent="0.25">
      <c r="A866" s="4"/>
      <c r="B866" s="4"/>
      <c r="C866" s="4"/>
      <c r="D866" s="4"/>
      <c r="E866" s="4"/>
    </row>
    <row r="867" spans="1:5" ht="15.75" customHeight="1" x14ac:dyDescent="0.25">
      <c r="A867" s="4"/>
      <c r="B867" s="4"/>
      <c r="C867" s="4"/>
      <c r="D867" s="4"/>
      <c r="E867" s="4"/>
    </row>
    <row r="868" spans="1:5" ht="15.75" customHeight="1" x14ac:dyDescent="0.25">
      <c r="A868" s="4"/>
      <c r="B868" s="4"/>
      <c r="C868" s="4"/>
      <c r="D868" s="4"/>
      <c r="E868" s="4"/>
    </row>
    <row r="869" spans="1:5" ht="15.75" customHeight="1" x14ac:dyDescent="0.25">
      <c r="A869" s="4"/>
      <c r="B869" s="4"/>
      <c r="C869" s="4"/>
      <c r="D869" s="4"/>
      <c r="E869" s="4"/>
    </row>
    <row r="870" spans="1:5" ht="15.75" customHeight="1" x14ac:dyDescent="0.25">
      <c r="A870" s="4"/>
      <c r="B870" s="4"/>
      <c r="C870" s="4"/>
      <c r="D870" s="4"/>
      <c r="E870" s="4"/>
    </row>
    <row r="871" spans="1:5" ht="15.75" customHeight="1" x14ac:dyDescent="0.25">
      <c r="A871" s="4"/>
      <c r="B871" s="4"/>
      <c r="C871" s="4"/>
      <c r="D871" s="4"/>
      <c r="E871" s="4"/>
    </row>
    <row r="872" spans="1:5" ht="15.75" customHeight="1" x14ac:dyDescent="0.25">
      <c r="A872" s="4"/>
      <c r="B872" s="4"/>
      <c r="C872" s="4"/>
      <c r="D872" s="4"/>
      <c r="E872" s="4"/>
    </row>
    <row r="873" spans="1:5" ht="15.75" customHeight="1" x14ac:dyDescent="0.25">
      <c r="A873" s="4"/>
      <c r="B873" s="4"/>
      <c r="C873" s="4"/>
      <c r="D873" s="4"/>
      <c r="E873" s="4"/>
    </row>
    <row r="874" spans="1:5" ht="15.75" customHeight="1" x14ac:dyDescent="0.25">
      <c r="A874" s="4"/>
      <c r="B874" s="4"/>
      <c r="C874" s="4"/>
      <c r="D874" s="4"/>
      <c r="E874" s="4"/>
    </row>
    <row r="875" spans="1:5" ht="15.75" customHeight="1" x14ac:dyDescent="0.25">
      <c r="A875" s="4"/>
      <c r="B875" s="4"/>
      <c r="C875" s="4"/>
      <c r="D875" s="4"/>
      <c r="E875" s="4"/>
    </row>
    <row r="876" spans="1:5" ht="15.75" customHeight="1" x14ac:dyDescent="0.25">
      <c r="A876" s="4"/>
      <c r="B876" s="4"/>
      <c r="C876" s="4"/>
      <c r="D876" s="4"/>
      <c r="E876" s="4"/>
    </row>
    <row r="877" spans="1:5" ht="15.75" customHeight="1" x14ac:dyDescent="0.25">
      <c r="A877" s="4"/>
      <c r="B877" s="4"/>
      <c r="C877" s="4"/>
      <c r="D877" s="4"/>
      <c r="E877" s="4"/>
    </row>
    <row r="878" spans="1:5" ht="15.75" customHeight="1" x14ac:dyDescent="0.25">
      <c r="A878" s="4"/>
      <c r="B878" s="4"/>
      <c r="C878" s="4"/>
      <c r="D878" s="4"/>
      <c r="E878" s="4"/>
    </row>
    <row r="879" spans="1:5" ht="15.75" customHeight="1" x14ac:dyDescent="0.25">
      <c r="A879" s="4"/>
      <c r="B879" s="4"/>
      <c r="C879" s="4"/>
      <c r="D879" s="4"/>
      <c r="E879" s="4"/>
    </row>
    <row r="880" spans="1:5" ht="15.75" customHeight="1" x14ac:dyDescent="0.25">
      <c r="A880" s="4"/>
      <c r="B880" s="4"/>
      <c r="C880" s="4"/>
      <c r="D880" s="4"/>
      <c r="E880" s="4"/>
    </row>
    <row r="881" spans="1:5" ht="15.75" customHeight="1" x14ac:dyDescent="0.25">
      <c r="A881" s="4"/>
      <c r="B881" s="4"/>
      <c r="C881" s="4"/>
      <c r="D881" s="4"/>
      <c r="E881" s="4"/>
    </row>
    <row r="882" spans="1:5" ht="15.75" customHeight="1" x14ac:dyDescent="0.25">
      <c r="A882" s="4"/>
      <c r="B882" s="4"/>
      <c r="C882" s="4"/>
      <c r="D882" s="4"/>
      <c r="E882" s="4"/>
    </row>
    <row r="883" spans="1:5" ht="15.75" customHeight="1" x14ac:dyDescent="0.25">
      <c r="A883" s="4"/>
      <c r="B883" s="4"/>
      <c r="C883" s="4"/>
      <c r="D883" s="4"/>
      <c r="E883" s="4"/>
    </row>
    <row r="884" spans="1:5" ht="15.75" customHeight="1" x14ac:dyDescent="0.25">
      <c r="A884" s="4"/>
      <c r="B884" s="4"/>
      <c r="C884" s="4"/>
      <c r="D884" s="4"/>
      <c r="E884" s="4"/>
    </row>
    <row r="885" spans="1:5" ht="15.75" customHeight="1" x14ac:dyDescent="0.25">
      <c r="A885" s="4"/>
      <c r="B885" s="4"/>
      <c r="C885" s="4"/>
      <c r="D885" s="4"/>
      <c r="E885" s="4"/>
    </row>
    <row r="886" spans="1:5" ht="15.75" customHeight="1" x14ac:dyDescent="0.25">
      <c r="A886" s="4"/>
      <c r="B886" s="4"/>
      <c r="C886" s="4"/>
      <c r="D886" s="4"/>
      <c r="E886" s="4"/>
    </row>
    <row r="887" spans="1:5" ht="15.75" customHeight="1" x14ac:dyDescent="0.25">
      <c r="A887" s="4"/>
      <c r="B887" s="4"/>
      <c r="C887" s="4"/>
      <c r="D887" s="4"/>
      <c r="E887" s="4"/>
    </row>
    <row r="888" spans="1:5" ht="15.75" customHeight="1" x14ac:dyDescent="0.25">
      <c r="A888" s="4"/>
      <c r="B888" s="4"/>
      <c r="C888" s="4"/>
      <c r="D888" s="4"/>
      <c r="E888" s="4"/>
    </row>
    <row r="889" spans="1:5" ht="15.75" customHeight="1" x14ac:dyDescent="0.25">
      <c r="A889" s="4"/>
      <c r="B889" s="4"/>
      <c r="C889" s="4"/>
      <c r="D889" s="4"/>
      <c r="E889" s="4"/>
    </row>
    <row r="890" spans="1:5" ht="15.75" customHeight="1" x14ac:dyDescent="0.25">
      <c r="A890" s="4"/>
      <c r="B890" s="4"/>
      <c r="C890" s="4"/>
      <c r="D890" s="4"/>
      <c r="E890" s="4"/>
    </row>
    <row r="891" spans="1:5" ht="15.75" customHeight="1" x14ac:dyDescent="0.25">
      <c r="A891" s="4"/>
      <c r="B891" s="4"/>
      <c r="C891" s="4"/>
      <c r="D891" s="4"/>
      <c r="E891" s="4"/>
    </row>
    <row r="892" spans="1:5" ht="15.75" customHeight="1" x14ac:dyDescent="0.25">
      <c r="A892" s="4"/>
      <c r="B892" s="4"/>
      <c r="C892" s="4"/>
      <c r="D892" s="4"/>
      <c r="E892" s="4"/>
    </row>
    <row r="893" spans="1:5" ht="15.75" customHeight="1" x14ac:dyDescent="0.25">
      <c r="A893" s="4"/>
      <c r="B893" s="4"/>
      <c r="C893" s="4"/>
      <c r="D893" s="4"/>
      <c r="E893" s="4"/>
    </row>
    <row r="894" spans="1:5" ht="15.75" customHeight="1" x14ac:dyDescent="0.25">
      <c r="A894" s="4"/>
      <c r="B894" s="4"/>
      <c r="C894" s="4"/>
      <c r="D894" s="4"/>
      <c r="E894" s="4"/>
    </row>
    <row r="895" spans="1:5" ht="15.75" customHeight="1" x14ac:dyDescent="0.25">
      <c r="A895" s="4"/>
      <c r="B895" s="4"/>
      <c r="C895" s="4"/>
      <c r="D895" s="4"/>
      <c r="E895" s="4"/>
    </row>
    <row r="896" spans="1:5" ht="15.75" customHeight="1" x14ac:dyDescent="0.25">
      <c r="A896" s="4"/>
      <c r="B896" s="4"/>
      <c r="C896" s="4"/>
      <c r="D896" s="4"/>
      <c r="E896" s="4"/>
    </row>
    <row r="897" spans="1:5" ht="15.75" customHeight="1" x14ac:dyDescent="0.25">
      <c r="A897" s="4"/>
      <c r="B897" s="4"/>
      <c r="C897" s="4"/>
      <c r="D897" s="4"/>
      <c r="E897" s="4"/>
    </row>
    <row r="898" spans="1:5" ht="15.75" customHeight="1" x14ac:dyDescent="0.25">
      <c r="A898" s="4"/>
      <c r="B898" s="4"/>
      <c r="C898" s="4"/>
      <c r="D898" s="4"/>
      <c r="E898" s="4"/>
    </row>
    <row r="899" spans="1:5" ht="15.75" customHeight="1" x14ac:dyDescent="0.25">
      <c r="A899" s="4"/>
      <c r="B899" s="4"/>
      <c r="C899" s="4"/>
      <c r="D899" s="4"/>
      <c r="E899" s="4"/>
    </row>
    <row r="900" spans="1:5" ht="15.75" customHeight="1" x14ac:dyDescent="0.25">
      <c r="A900" s="4"/>
      <c r="B900" s="4"/>
      <c r="C900" s="4"/>
      <c r="D900" s="4"/>
      <c r="E900" s="4"/>
    </row>
    <row r="901" spans="1:5" ht="15.75" customHeight="1" x14ac:dyDescent="0.25">
      <c r="A901" s="4"/>
      <c r="B901" s="4"/>
      <c r="C901" s="4"/>
      <c r="D901" s="4"/>
      <c r="E901" s="4"/>
    </row>
    <row r="902" spans="1:5" ht="15.75" customHeight="1" x14ac:dyDescent="0.25">
      <c r="A902" s="4"/>
      <c r="B902" s="4"/>
      <c r="C902" s="4"/>
      <c r="D902" s="4"/>
      <c r="E902" s="4"/>
    </row>
    <row r="903" spans="1:5" ht="15.75" customHeight="1" x14ac:dyDescent="0.25">
      <c r="A903" s="4"/>
      <c r="B903" s="4"/>
      <c r="C903" s="4"/>
      <c r="D903" s="4"/>
      <c r="E903" s="4"/>
    </row>
    <row r="904" spans="1:5" ht="15.75" customHeight="1" x14ac:dyDescent="0.25">
      <c r="A904" s="4"/>
      <c r="B904" s="4"/>
      <c r="C904" s="4"/>
      <c r="D904" s="4"/>
      <c r="E904" s="4"/>
    </row>
    <row r="905" spans="1:5" ht="15.75" customHeight="1" x14ac:dyDescent="0.25">
      <c r="A905" s="4"/>
      <c r="B905" s="4"/>
      <c r="C905" s="4"/>
      <c r="D905" s="4"/>
      <c r="E905" s="4"/>
    </row>
    <row r="906" spans="1:5" ht="15.75" customHeight="1" x14ac:dyDescent="0.25">
      <c r="A906" s="4"/>
      <c r="B906" s="4"/>
      <c r="C906" s="4"/>
      <c r="D906" s="4"/>
      <c r="E906" s="4"/>
    </row>
    <row r="907" spans="1:5" ht="15.75" customHeight="1" x14ac:dyDescent="0.25">
      <c r="A907" s="4"/>
      <c r="B907" s="4"/>
      <c r="C907" s="4"/>
      <c r="D907" s="4"/>
      <c r="E907" s="4"/>
    </row>
    <row r="908" spans="1:5" ht="15.75" customHeight="1" x14ac:dyDescent="0.25">
      <c r="A908" s="4"/>
      <c r="B908" s="4"/>
      <c r="C908" s="4"/>
      <c r="D908" s="4"/>
      <c r="E908" s="4"/>
    </row>
    <row r="909" spans="1:5" ht="15.75" customHeight="1" x14ac:dyDescent="0.25">
      <c r="A909" s="4"/>
      <c r="B909" s="4"/>
      <c r="C909" s="4"/>
      <c r="D909" s="4"/>
      <c r="E909" s="4"/>
    </row>
    <row r="910" spans="1:5" ht="15.75" customHeight="1" x14ac:dyDescent="0.25">
      <c r="A910" s="4"/>
      <c r="B910" s="4"/>
      <c r="C910" s="4"/>
      <c r="D910" s="4"/>
      <c r="E910" s="4"/>
    </row>
    <row r="911" spans="1:5" ht="15.75" customHeight="1" x14ac:dyDescent="0.25">
      <c r="A911" s="4"/>
      <c r="B911" s="4"/>
      <c r="C911" s="4"/>
      <c r="D911" s="4"/>
      <c r="E911" s="4"/>
    </row>
    <row r="912" spans="1:5" ht="15.75" customHeight="1" x14ac:dyDescent="0.25">
      <c r="A912" s="4"/>
      <c r="B912" s="4"/>
      <c r="C912" s="4"/>
      <c r="D912" s="4"/>
      <c r="E912" s="4"/>
    </row>
    <row r="913" spans="1:5" ht="15.75" customHeight="1" x14ac:dyDescent="0.25">
      <c r="A913" s="4"/>
      <c r="B913" s="4"/>
      <c r="C913" s="4"/>
      <c r="D913" s="4"/>
      <c r="E913" s="4"/>
    </row>
    <row r="914" spans="1:5" ht="15.75" customHeight="1" x14ac:dyDescent="0.25">
      <c r="A914" s="4"/>
      <c r="B914" s="4"/>
      <c r="C914" s="4"/>
      <c r="D914" s="4"/>
      <c r="E914" s="4"/>
    </row>
    <row r="915" spans="1:5" ht="15.75" customHeight="1" x14ac:dyDescent="0.25">
      <c r="A915" s="4"/>
      <c r="B915" s="4"/>
      <c r="C915" s="4"/>
      <c r="D915" s="4"/>
      <c r="E915" s="4"/>
    </row>
    <row r="916" spans="1:5" ht="15.75" customHeight="1" x14ac:dyDescent="0.25">
      <c r="A916" s="4"/>
      <c r="B916" s="4"/>
      <c r="C916" s="4"/>
      <c r="D916" s="4"/>
      <c r="E916" s="4"/>
    </row>
    <row r="917" spans="1:5" ht="15.75" customHeight="1" x14ac:dyDescent="0.25">
      <c r="A917" s="4"/>
      <c r="B917" s="4"/>
      <c r="C917" s="4"/>
      <c r="D917" s="4"/>
      <c r="E917" s="4"/>
    </row>
    <row r="918" spans="1:5" ht="15.75" customHeight="1" x14ac:dyDescent="0.25">
      <c r="A918" s="4"/>
      <c r="B918" s="4"/>
      <c r="C918" s="4"/>
      <c r="D918" s="4"/>
      <c r="E918" s="4"/>
    </row>
    <row r="919" spans="1:5" ht="15.75" customHeight="1" x14ac:dyDescent="0.25">
      <c r="A919" s="4"/>
      <c r="B919" s="4"/>
      <c r="C919" s="4"/>
      <c r="D919" s="4"/>
      <c r="E919" s="4"/>
    </row>
    <row r="920" spans="1:5" ht="15.75" customHeight="1" x14ac:dyDescent="0.25">
      <c r="A920" s="4"/>
      <c r="B920" s="4"/>
      <c r="C920" s="4"/>
      <c r="D920" s="4"/>
      <c r="E920" s="4"/>
    </row>
    <row r="921" spans="1:5" ht="15.75" customHeight="1" x14ac:dyDescent="0.25">
      <c r="A921" s="4"/>
      <c r="B921" s="4"/>
      <c r="C921" s="4"/>
      <c r="D921" s="4"/>
      <c r="E921" s="4"/>
    </row>
    <row r="922" spans="1:5" ht="15.75" customHeight="1" x14ac:dyDescent="0.25">
      <c r="A922" s="4"/>
      <c r="B922" s="4"/>
      <c r="C922" s="4"/>
      <c r="D922" s="4"/>
      <c r="E922" s="4"/>
    </row>
    <row r="923" spans="1:5" ht="15.75" customHeight="1" x14ac:dyDescent="0.25">
      <c r="A923" s="4"/>
      <c r="B923" s="4"/>
      <c r="C923" s="4"/>
      <c r="D923" s="4"/>
      <c r="E923" s="4"/>
    </row>
    <row r="924" spans="1:5" ht="15.75" customHeight="1" x14ac:dyDescent="0.25">
      <c r="A924" s="4"/>
      <c r="B924" s="4"/>
      <c r="C924" s="4"/>
      <c r="D924" s="4"/>
      <c r="E924" s="4"/>
    </row>
    <row r="925" spans="1:5" ht="15.75" customHeight="1" x14ac:dyDescent="0.25">
      <c r="A925" s="4"/>
      <c r="B925" s="4"/>
      <c r="C925" s="4"/>
      <c r="D925" s="4"/>
      <c r="E925" s="4"/>
    </row>
    <row r="926" spans="1:5" ht="15.75" customHeight="1" x14ac:dyDescent="0.25">
      <c r="A926" s="4"/>
      <c r="B926" s="4"/>
      <c r="C926" s="4"/>
      <c r="D926" s="4"/>
      <c r="E926" s="4"/>
    </row>
    <row r="927" spans="1:5" ht="15.75" customHeight="1" x14ac:dyDescent="0.25">
      <c r="A927" s="4"/>
      <c r="B927" s="4"/>
      <c r="C927" s="4"/>
      <c r="D927" s="4"/>
      <c r="E927" s="4"/>
    </row>
    <row r="928" spans="1:5" ht="15.75" customHeight="1" x14ac:dyDescent="0.25">
      <c r="A928" s="4"/>
      <c r="B928" s="4"/>
      <c r="C928" s="4"/>
      <c r="D928" s="4"/>
      <c r="E928" s="4"/>
    </row>
    <row r="929" spans="1:5" ht="15.75" customHeight="1" x14ac:dyDescent="0.25">
      <c r="A929" s="4"/>
      <c r="B929" s="4"/>
      <c r="C929" s="4"/>
      <c r="D929" s="4"/>
      <c r="E929" s="4"/>
    </row>
    <row r="930" spans="1:5" ht="15.75" customHeight="1" x14ac:dyDescent="0.25">
      <c r="A930" s="4"/>
      <c r="B930" s="4"/>
      <c r="C930" s="4"/>
      <c r="D930" s="4"/>
      <c r="E930" s="4"/>
    </row>
    <row r="931" spans="1:5" ht="15.75" customHeight="1" x14ac:dyDescent="0.25">
      <c r="A931" s="4"/>
      <c r="B931" s="4"/>
      <c r="C931" s="4"/>
      <c r="D931" s="4"/>
      <c r="E931" s="4"/>
    </row>
    <row r="932" spans="1:5" ht="15.75" customHeight="1" x14ac:dyDescent="0.25">
      <c r="A932" s="4"/>
      <c r="B932" s="4"/>
      <c r="C932" s="4"/>
      <c r="D932" s="4"/>
      <c r="E932" s="4"/>
    </row>
    <row r="933" spans="1:5" ht="15.75" customHeight="1" x14ac:dyDescent="0.25">
      <c r="A933" s="4"/>
      <c r="B933" s="4"/>
      <c r="C933" s="4"/>
      <c r="D933" s="4"/>
      <c r="E933" s="4"/>
    </row>
    <row r="934" spans="1:5" ht="15.75" customHeight="1" x14ac:dyDescent="0.25">
      <c r="A934" s="4"/>
      <c r="B934" s="4"/>
      <c r="C934" s="4"/>
      <c r="D934" s="4"/>
      <c r="E934" s="4"/>
    </row>
    <row r="935" spans="1:5" ht="15.75" customHeight="1" x14ac:dyDescent="0.25">
      <c r="A935" s="4"/>
      <c r="B935" s="4"/>
      <c r="C935" s="4"/>
      <c r="D935" s="4"/>
      <c r="E935" s="4"/>
    </row>
    <row r="936" spans="1:5" ht="15.75" customHeight="1" x14ac:dyDescent="0.25">
      <c r="A936" s="4"/>
      <c r="B936" s="4"/>
      <c r="C936" s="4"/>
      <c r="D936" s="4"/>
      <c r="E936" s="4"/>
    </row>
    <row r="937" spans="1:5" ht="15.75" customHeight="1" x14ac:dyDescent="0.25">
      <c r="A937" s="4"/>
      <c r="B937" s="4"/>
      <c r="C937" s="4"/>
      <c r="D937" s="4"/>
      <c r="E937" s="4"/>
    </row>
    <row r="938" spans="1:5" ht="15.75" customHeight="1" x14ac:dyDescent="0.25">
      <c r="A938" s="4"/>
      <c r="B938" s="4"/>
      <c r="C938" s="4"/>
      <c r="D938" s="4"/>
      <c r="E938" s="4"/>
    </row>
    <row r="939" spans="1:5" ht="15.75" customHeight="1" x14ac:dyDescent="0.25">
      <c r="A939" s="4"/>
      <c r="B939" s="4"/>
      <c r="C939" s="4"/>
      <c r="D939" s="4"/>
      <c r="E939" s="4"/>
    </row>
    <row r="940" spans="1:5" ht="15.75" customHeight="1" x14ac:dyDescent="0.25">
      <c r="A940" s="4"/>
      <c r="B940" s="4"/>
      <c r="C940" s="4"/>
      <c r="D940" s="4"/>
      <c r="E940" s="4"/>
    </row>
    <row r="941" spans="1:5" ht="15.75" customHeight="1" x14ac:dyDescent="0.25">
      <c r="A941" s="4"/>
      <c r="B941" s="4"/>
      <c r="C941" s="4"/>
      <c r="D941" s="4"/>
      <c r="E941" s="4"/>
    </row>
    <row r="942" spans="1:5" ht="15.75" customHeight="1" x14ac:dyDescent="0.25">
      <c r="A942" s="4"/>
      <c r="B942" s="4"/>
      <c r="C942" s="4"/>
      <c r="D942" s="4"/>
      <c r="E942" s="4"/>
    </row>
    <row r="943" spans="1:5" ht="15.75" customHeight="1" x14ac:dyDescent="0.25">
      <c r="A943" s="4"/>
      <c r="B943" s="4"/>
      <c r="C943" s="4"/>
      <c r="D943" s="4"/>
      <c r="E943" s="4"/>
    </row>
    <row r="944" spans="1:5" ht="15.75" customHeight="1" x14ac:dyDescent="0.25">
      <c r="A944" s="4"/>
      <c r="B944" s="4"/>
      <c r="C944" s="4"/>
      <c r="D944" s="4"/>
      <c r="E944" s="4"/>
    </row>
    <row r="945" spans="1:5" ht="15.75" customHeight="1" x14ac:dyDescent="0.25">
      <c r="A945" s="4"/>
      <c r="B945" s="4"/>
      <c r="C945" s="4"/>
      <c r="D945" s="4"/>
      <c r="E945" s="4"/>
    </row>
    <row r="946" spans="1:5" ht="15.75" customHeight="1" x14ac:dyDescent="0.25">
      <c r="A946" s="4"/>
      <c r="B946" s="4"/>
      <c r="C946" s="4"/>
      <c r="D946" s="4"/>
      <c r="E946" s="4"/>
    </row>
    <row r="947" spans="1:5" ht="15.75" customHeight="1" x14ac:dyDescent="0.25">
      <c r="A947" s="4"/>
      <c r="B947" s="4"/>
      <c r="C947" s="4"/>
      <c r="D947" s="4"/>
      <c r="E947" s="4"/>
    </row>
    <row r="948" spans="1:5" ht="15.75" customHeight="1" x14ac:dyDescent="0.25">
      <c r="A948" s="4"/>
      <c r="B948" s="4"/>
      <c r="C948" s="4"/>
      <c r="D948" s="4"/>
      <c r="E948" s="4"/>
    </row>
    <row r="949" spans="1:5" ht="15.75" customHeight="1" x14ac:dyDescent="0.25">
      <c r="A949" s="4"/>
      <c r="B949" s="4"/>
      <c r="C949" s="4"/>
      <c r="D949" s="4"/>
      <c r="E949" s="4"/>
    </row>
    <row r="950" spans="1:5" ht="15.75" customHeight="1" x14ac:dyDescent="0.25">
      <c r="A950" s="4"/>
      <c r="B950" s="4"/>
      <c r="C950" s="4"/>
      <c r="D950" s="4"/>
      <c r="E950" s="4"/>
    </row>
    <row r="951" spans="1:5" ht="15.75" customHeight="1" x14ac:dyDescent="0.25">
      <c r="A951" s="4"/>
      <c r="B951" s="4"/>
      <c r="C951" s="4"/>
      <c r="D951" s="4"/>
      <c r="E951" s="4"/>
    </row>
    <row r="952" spans="1:5" ht="15.75" customHeight="1" x14ac:dyDescent="0.25">
      <c r="A952" s="4"/>
      <c r="B952" s="4"/>
      <c r="C952" s="4"/>
      <c r="D952" s="4"/>
      <c r="E952" s="4"/>
    </row>
    <row r="953" spans="1:5" ht="15.75" customHeight="1" x14ac:dyDescent="0.25">
      <c r="A953" s="4"/>
      <c r="B953" s="4"/>
      <c r="C953" s="4"/>
      <c r="D953" s="4"/>
      <c r="E953" s="4"/>
    </row>
    <row r="954" spans="1:5" ht="15.75" customHeight="1" x14ac:dyDescent="0.25">
      <c r="A954" s="4"/>
      <c r="B954" s="4"/>
      <c r="C954" s="4"/>
      <c r="D954" s="4"/>
      <c r="E954" s="4"/>
    </row>
    <row r="955" spans="1:5" ht="15.75" customHeight="1" x14ac:dyDescent="0.25">
      <c r="A955" s="4"/>
      <c r="B955" s="4"/>
      <c r="C955" s="4"/>
      <c r="D955" s="4"/>
      <c r="E955" s="4"/>
    </row>
    <row r="956" spans="1:5" ht="15.75" customHeight="1" x14ac:dyDescent="0.25">
      <c r="A956" s="4"/>
      <c r="B956" s="4"/>
      <c r="C956" s="4"/>
      <c r="D956" s="4"/>
      <c r="E956" s="4"/>
    </row>
    <row r="957" spans="1:5" ht="15.75" customHeight="1" x14ac:dyDescent="0.25">
      <c r="A957" s="4"/>
      <c r="B957" s="4"/>
      <c r="C957" s="4"/>
      <c r="D957" s="4"/>
      <c r="E957" s="4"/>
    </row>
    <row r="958" spans="1:5" ht="15.75" customHeight="1" x14ac:dyDescent="0.25">
      <c r="A958" s="4"/>
      <c r="B958" s="4"/>
      <c r="C958" s="4"/>
      <c r="D958" s="4"/>
      <c r="E958" s="4"/>
    </row>
    <row r="959" spans="1:5" ht="15.75" customHeight="1" x14ac:dyDescent="0.25">
      <c r="A959" s="4"/>
      <c r="B959" s="4"/>
      <c r="C959" s="4"/>
      <c r="D959" s="4"/>
      <c r="E959" s="4"/>
    </row>
    <row r="960" spans="1:5" ht="15.75" customHeight="1" x14ac:dyDescent="0.25">
      <c r="A960" s="4"/>
      <c r="B960" s="4"/>
      <c r="C960" s="4"/>
      <c r="D960" s="4"/>
      <c r="E960" s="4"/>
    </row>
    <row r="961" spans="1:5" ht="15.75" customHeight="1" x14ac:dyDescent="0.25">
      <c r="A961" s="4"/>
      <c r="B961" s="4"/>
      <c r="C961" s="4"/>
      <c r="D961" s="4"/>
      <c r="E961" s="4"/>
    </row>
    <row r="962" spans="1:5" ht="15.75" customHeight="1" x14ac:dyDescent="0.25">
      <c r="A962" s="4"/>
      <c r="B962" s="4"/>
      <c r="C962" s="4"/>
      <c r="D962" s="4"/>
      <c r="E962" s="4"/>
    </row>
    <row r="963" spans="1:5" ht="15.75" customHeight="1" x14ac:dyDescent="0.25">
      <c r="A963" s="4"/>
      <c r="B963" s="4"/>
      <c r="C963" s="4"/>
      <c r="D963" s="4"/>
      <c r="E963" s="4"/>
    </row>
    <row r="964" spans="1:5" ht="15.75" customHeight="1" x14ac:dyDescent="0.25">
      <c r="A964" s="4"/>
      <c r="B964" s="4"/>
      <c r="C964" s="4"/>
      <c r="D964" s="4"/>
      <c r="E964" s="4"/>
    </row>
    <row r="965" spans="1:5" ht="15.75" customHeight="1" x14ac:dyDescent="0.25">
      <c r="A965" s="4"/>
      <c r="B965" s="4"/>
      <c r="C965" s="4"/>
      <c r="D965" s="4"/>
      <c r="E965" s="4"/>
    </row>
    <row r="966" spans="1:5" ht="15.75" customHeight="1" x14ac:dyDescent="0.25">
      <c r="A966" s="4"/>
      <c r="B966" s="4"/>
      <c r="C966" s="4"/>
      <c r="D966" s="4"/>
      <c r="E966" s="4"/>
    </row>
    <row r="967" spans="1:5" ht="15.75" customHeight="1" x14ac:dyDescent="0.25">
      <c r="A967" s="4"/>
      <c r="B967" s="4"/>
      <c r="C967" s="4"/>
      <c r="D967" s="4"/>
      <c r="E967" s="4"/>
    </row>
    <row r="968" spans="1:5" ht="15.75" customHeight="1" x14ac:dyDescent="0.25">
      <c r="A968" s="4"/>
      <c r="B968" s="4"/>
      <c r="C968" s="4"/>
      <c r="D968" s="4"/>
      <c r="E968" s="4"/>
    </row>
    <row r="969" spans="1:5" ht="15.75" customHeight="1" x14ac:dyDescent="0.25">
      <c r="A969" s="4"/>
      <c r="B969" s="4"/>
      <c r="C969" s="4"/>
      <c r="D969" s="4"/>
      <c r="E969" s="4"/>
    </row>
    <row r="970" spans="1:5" ht="15.75" customHeight="1" x14ac:dyDescent="0.25">
      <c r="A970" s="4"/>
      <c r="B970" s="4"/>
      <c r="C970" s="4"/>
      <c r="D970" s="4"/>
      <c r="E970" s="4"/>
    </row>
    <row r="971" spans="1:5" ht="15.75" customHeight="1" x14ac:dyDescent="0.25">
      <c r="A971" s="4"/>
      <c r="B971" s="4"/>
      <c r="C971" s="4"/>
      <c r="D971" s="4"/>
      <c r="E971" s="4"/>
    </row>
    <row r="972" spans="1:5" ht="15.75" customHeight="1" x14ac:dyDescent="0.25">
      <c r="A972" s="4"/>
      <c r="B972" s="4"/>
      <c r="C972" s="4"/>
      <c r="D972" s="4"/>
      <c r="E972" s="4"/>
    </row>
    <row r="973" spans="1:5" ht="15.75" customHeight="1" x14ac:dyDescent="0.25">
      <c r="A973" s="4"/>
      <c r="B973" s="4"/>
      <c r="C973" s="4"/>
      <c r="D973" s="4"/>
      <c r="E973" s="4"/>
    </row>
    <row r="974" spans="1:5" ht="15.75" customHeight="1" x14ac:dyDescent="0.25">
      <c r="A974" s="4"/>
      <c r="B974" s="4"/>
      <c r="C974" s="4"/>
      <c r="D974" s="4"/>
      <c r="E974" s="4"/>
    </row>
    <row r="975" spans="1:5" ht="15.75" customHeight="1" x14ac:dyDescent="0.25">
      <c r="A975" s="4"/>
      <c r="B975" s="4"/>
      <c r="C975" s="4"/>
      <c r="D975" s="4"/>
      <c r="E975" s="4"/>
    </row>
    <row r="976" spans="1:5" ht="15.75" customHeight="1" x14ac:dyDescent="0.25">
      <c r="A976" s="4"/>
      <c r="B976" s="4"/>
      <c r="C976" s="4"/>
      <c r="D976" s="4"/>
      <c r="E976" s="4"/>
    </row>
    <row r="977" spans="1:5" ht="15.75" customHeight="1" x14ac:dyDescent="0.25">
      <c r="A977" s="4"/>
      <c r="B977" s="4"/>
      <c r="C977" s="4"/>
      <c r="D977" s="4"/>
      <c r="E977" s="4"/>
    </row>
    <row r="978" spans="1:5" ht="15.75" customHeight="1" x14ac:dyDescent="0.25">
      <c r="A978" s="4"/>
      <c r="B978" s="4"/>
      <c r="C978" s="4"/>
      <c r="D978" s="4"/>
      <c r="E978" s="4"/>
    </row>
    <row r="979" spans="1:5" ht="15.75" customHeight="1" x14ac:dyDescent="0.25">
      <c r="A979" s="4"/>
      <c r="B979" s="4"/>
      <c r="C979" s="4"/>
      <c r="D979" s="4"/>
      <c r="E979" s="4"/>
    </row>
    <row r="980" spans="1:5" ht="15.75" customHeight="1" x14ac:dyDescent="0.25">
      <c r="A980" s="4"/>
      <c r="B980" s="4"/>
      <c r="C980" s="4"/>
      <c r="D980" s="4"/>
      <c r="E980" s="4"/>
    </row>
    <row r="981" spans="1:5" ht="15.75" customHeight="1" x14ac:dyDescent="0.25">
      <c r="A981" s="4"/>
      <c r="B981" s="4"/>
      <c r="C981" s="4"/>
      <c r="D981" s="4"/>
      <c r="E981" s="4"/>
    </row>
    <row r="982" spans="1:5" ht="15.75" customHeight="1" x14ac:dyDescent="0.25">
      <c r="A982" s="4"/>
      <c r="B982" s="4"/>
      <c r="C982" s="4"/>
      <c r="D982" s="4"/>
      <c r="E982" s="4"/>
    </row>
    <row r="983" spans="1:5" ht="15.75" customHeight="1" x14ac:dyDescent="0.25">
      <c r="A983" s="4"/>
      <c r="B983" s="4"/>
      <c r="C983" s="4"/>
      <c r="D983" s="4"/>
      <c r="E983" s="4"/>
    </row>
    <row r="984" spans="1:5" ht="15.75" customHeight="1" x14ac:dyDescent="0.25">
      <c r="A984" s="4"/>
      <c r="B984" s="4"/>
      <c r="C984" s="4"/>
      <c r="D984" s="4"/>
      <c r="E984" s="4"/>
    </row>
    <row r="985" spans="1:5" ht="15.75" customHeight="1" x14ac:dyDescent="0.25">
      <c r="A985" s="4"/>
      <c r="B985" s="4"/>
      <c r="C985" s="4"/>
      <c r="D985" s="4"/>
      <c r="E985" s="4"/>
    </row>
    <row r="986" spans="1:5" ht="15.75" customHeight="1" x14ac:dyDescent="0.25">
      <c r="A986" s="4"/>
      <c r="B986" s="4"/>
      <c r="C986" s="4"/>
      <c r="D986" s="4"/>
      <c r="E986" s="4"/>
    </row>
    <row r="987" spans="1:5" ht="15.75" customHeight="1" x14ac:dyDescent="0.25">
      <c r="A987" s="4"/>
      <c r="B987" s="4"/>
      <c r="C987" s="4"/>
      <c r="D987" s="4"/>
      <c r="E987" s="4"/>
    </row>
    <row r="988" spans="1:5" ht="15.75" customHeight="1" x14ac:dyDescent="0.25">
      <c r="A988" s="4"/>
      <c r="B988" s="4"/>
      <c r="C988" s="4"/>
      <c r="D988" s="4"/>
      <c r="E988" s="4"/>
    </row>
    <row r="989" spans="1:5" ht="15.75" customHeight="1" x14ac:dyDescent="0.25">
      <c r="A989" s="4"/>
      <c r="B989" s="4"/>
      <c r="C989" s="4"/>
      <c r="D989" s="4"/>
      <c r="E989" s="4"/>
    </row>
    <row r="990" spans="1:5" ht="15.75" customHeight="1" x14ac:dyDescent="0.25">
      <c r="A990" s="4"/>
      <c r="B990" s="4"/>
      <c r="C990" s="4"/>
      <c r="D990" s="4"/>
      <c r="E990" s="4"/>
    </row>
    <row r="991" spans="1:5" ht="15.75" customHeight="1" x14ac:dyDescent="0.25">
      <c r="A991" s="4"/>
      <c r="B991" s="4"/>
      <c r="C991" s="4"/>
      <c r="D991" s="4"/>
      <c r="E991" s="4"/>
    </row>
    <row r="992" spans="1:5" ht="15.75" customHeight="1" x14ac:dyDescent="0.25">
      <c r="A992" s="4"/>
      <c r="B992" s="4"/>
      <c r="C992" s="4"/>
      <c r="D992" s="4"/>
      <c r="E992" s="4"/>
    </row>
    <row r="993" spans="1:5" ht="15.75" customHeight="1" x14ac:dyDescent="0.25">
      <c r="A993" s="4"/>
      <c r="B993" s="4"/>
      <c r="C993" s="4"/>
      <c r="D993" s="4"/>
      <c r="E993" s="4"/>
    </row>
    <row r="994" spans="1:5" ht="15.75" customHeight="1" x14ac:dyDescent="0.25">
      <c r="A994" s="4"/>
      <c r="B994" s="4"/>
      <c r="C994" s="4"/>
      <c r="D994" s="4"/>
      <c r="E994" s="4"/>
    </row>
    <row r="995" spans="1:5" ht="15.75" customHeight="1" x14ac:dyDescent="0.25">
      <c r="A995" s="4"/>
      <c r="B995" s="4"/>
      <c r="C995" s="4"/>
      <c r="D995" s="4"/>
      <c r="E995" s="4"/>
    </row>
    <row r="996" spans="1:5" ht="15.75" customHeight="1" x14ac:dyDescent="0.25">
      <c r="A996" s="4"/>
      <c r="B996" s="4"/>
      <c r="C996" s="4"/>
      <c r="D996" s="4"/>
      <c r="E996" s="4"/>
    </row>
    <row r="997" spans="1:5" ht="15.75" customHeight="1" x14ac:dyDescent="0.25">
      <c r="A997" s="4"/>
      <c r="B997" s="4"/>
      <c r="C997" s="4"/>
      <c r="D997" s="4"/>
      <c r="E997" s="4"/>
    </row>
    <row r="998" spans="1:5" ht="15.75" customHeight="1" x14ac:dyDescent="0.25">
      <c r="A998" s="4"/>
      <c r="B998" s="4"/>
      <c r="C998" s="4"/>
      <c r="D998" s="4"/>
      <c r="E998" s="4"/>
    </row>
    <row r="999" spans="1:5" ht="15.75" customHeight="1" x14ac:dyDescent="0.25">
      <c r="A999" s="4"/>
      <c r="B999" s="4"/>
      <c r="C999" s="4"/>
      <c r="D999" s="4"/>
      <c r="E999" s="4"/>
    </row>
    <row r="1000" spans="1:5" ht="15.75" customHeight="1" x14ac:dyDescent="0.25">
      <c r="A1000" s="4"/>
      <c r="B1000" s="4"/>
      <c r="C1000" s="4"/>
      <c r="D1000" s="4"/>
      <c r="E1000" s="4"/>
    </row>
  </sheetData>
  <dataValidations count="1">
    <dataValidation type="list" allowBlank="1" sqref="B5:B10" xr:uid="{00000000-0002-0000-0100-000000000000}">
      <formula1>"Có,Chưa"</formula1>
    </dataValidation>
  </dataValidation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pane ySplit="6" topLeftCell="A7" activePane="bottomLeft" state="frozen"/>
      <selection pane="bottomLeft" activeCell="B8" sqref="B8"/>
    </sheetView>
  </sheetViews>
  <sheetFormatPr defaultColWidth="14.42578125" defaultRowHeight="15" customHeight="1" x14ac:dyDescent="0.25"/>
  <cols>
    <col min="1" max="1" width="6" customWidth="1"/>
    <col min="2" max="2" width="60" customWidth="1"/>
    <col min="3" max="5" width="14" customWidth="1"/>
    <col min="6" max="6" width="30" customWidth="1"/>
    <col min="7" max="7" width="34" customWidth="1"/>
    <col min="8" max="26" width="8.7109375" customWidth="1"/>
  </cols>
  <sheetData>
    <row r="1" spans="1:9" ht="17.25" customHeight="1" x14ac:dyDescent="0.25">
      <c r="A1" s="1" t="s">
        <v>45</v>
      </c>
      <c r="B1" s="4"/>
      <c r="C1" s="4"/>
      <c r="D1" s="4"/>
      <c r="E1" s="4"/>
      <c r="F1" s="4"/>
      <c r="G1" s="4"/>
    </row>
    <row r="2" spans="1:9" ht="15" customHeight="1" x14ac:dyDescent="0.25">
      <c r="A2" s="5" t="s">
        <v>46</v>
      </c>
      <c r="B2" s="4"/>
      <c r="C2" s="4"/>
      <c r="D2" s="4"/>
      <c r="E2" s="4"/>
      <c r="F2" s="4"/>
      <c r="G2" s="4"/>
    </row>
    <row r="3" spans="1:9" ht="31.5" customHeight="1" x14ac:dyDescent="0.25">
      <c r="A3" s="91" t="s">
        <v>47</v>
      </c>
      <c r="B3" s="92"/>
      <c r="C3" s="92"/>
      <c r="D3" s="92"/>
      <c r="E3" s="92"/>
      <c r="F3" s="92"/>
      <c r="G3" s="92"/>
    </row>
    <row r="4" spans="1:9" x14ac:dyDescent="0.25">
      <c r="A4" s="4"/>
      <c r="B4" s="4"/>
      <c r="C4" s="4"/>
      <c r="D4" s="4"/>
      <c r="E4" s="4"/>
      <c r="F4" s="4"/>
      <c r="G4" s="4"/>
    </row>
    <row r="5" spans="1:9" ht="15" customHeight="1" x14ac:dyDescent="0.25">
      <c r="A5" s="7" t="s">
        <v>48</v>
      </c>
      <c r="B5" s="4"/>
      <c r="C5" s="4"/>
      <c r="D5" s="4"/>
      <c r="E5" s="4"/>
      <c r="F5" s="4"/>
      <c r="G5" s="4"/>
    </row>
    <row r="6" spans="1:9" ht="31.5" customHeight="1" x14ac:dyDescent="0.25">
      <c r="A6" s="14" t="s">
        <v>49</v>
      </c>
      <c r="B6" s="14" t="s">
        <v>50</v>
      </c>
      <c r="C6" s="14" t="s">
        <v>51</v>
      </c>
      <c r="D6" s="14" t="s">
        <v>52</v>
      </c>
      <c r="E6" s="14" t="s">
        <v>53</v>
      </c>
      <c r="F6" s="14" t="s">
        <v>54</v>
      </c>
      <c r="G6" s="14" t="s">
        <v>55</v>
      </c>
    </row>
    <row r="7" spans="1:9" ht="30" customHeight="1" x14ac:dyDescent="0.25">
      <c r="A7" s="15">
        <v>1</v>
      </c>
      <c r="B7" s="16" t="s">
        <v>56</v>
      </c>
      <c r="C7" s="17">
        <v>1000</v>
      </c>
      <c r="D7" s="17"/>
      <c r="E7" s="17"/>
      <c r="F7" s="18"/>
      <c r="G7" s="19" t="s">
        <v>662</v>
      </c>
    </row>
    <row r="8" spans="1:9" ht="30" customHeight="1" x14ac:dyDescent="0.25">
      <c r="A8" s="15">
        <v>2</v>
      </c>
      <c r="B8" s="16" t="s">
        <v>57</v>
      </c>
      <c r="C8" s="17">
        <v>300</v>
      </c>
      <c r="D8" s="17"/>
      <c r="E8" s="17"/>
      <c r="F8" s="18" t="s">
        <v>58</v>
      </c>
      <c r="G8" s="19" t="s">
        <v>663</v>
      </c>
      <c r="H8" s="20">
        <f>300*12/100</f>
        <v>36</v>
      </c>
      <c r="I8" s="20" t="s">
        <v>59</v>
      </c>
    </row>
    <row r="9" spans="1:9" ht="30" customHeight="1" x14ac:dyDescent="0.25">
      <c r="A9" s="15">
        <v>3</v>
      </c>
      <c r="B9" s="16" t="s">
        <v>60</v>
      </c>
      <c r="C9" s="17">
        <v>360</v>
      </c>
      <c r="D9" s="17"/>
      <c r="E9" s="17"/>
      <c r="F9" s="18" t="s">
        <v>61</v>
      </c>
      <c r="G9" s="19" t="s">
        <v>664</v>
      </c>
    </row>
    <row r="10" spans="1:9" ht="30" customHeight="1" x14ac:dyDescent="0.25">
      <c r="A10" s="15">
        <v>4</v>
      </c>
      <c r="B10" s="16" t="s">
        <v>62</v>
      </c>
      <c r="C10" s="17">
        <v>50</v>
      </c>
      <c r="D10" s="17">
        <v>80</v>
      </c>
      <c r="E10" s="17">
        <v>110</v>
      </c>
      <c r="F10" s="18"/>
      <c r="G10" s="19" t="s">
        <v>665</v>
      </c>
    </row>
    <row r="11" spans="1:9" ht="30" customHeight="1" x14ac:dyDescent="0.25">
      <c r="A11" s="15">
        <v>5</v>
      </c>
      <c r="B11" s="16" t="s">
        <v>63</v>
      </c>
      <c r="C11" s="17">
        <v>240</v>
      </c>
      <c r="D11" s="17"/>
      <c r="E11" s="17"/>
      <c r="F11" s="18" t="s">
        <v>64</v>
      </c>
      <c r="G11" s="19" t="s">
        <v>666</v>
      </c>
    </row>
    <row r="12" spans="1:9" ht="30" customHeight="1" x14ac:dyDescent="0.25">
      <c r="A12" s="15">
        <v>6</v>
      </c>
      <c r="B12" s="16" t="s">
        <v>65</v>
      </c>
      <c r="C12" s="17"/>
      <c r="D12" s="17">
        <v>90</v>
      </c>
      <c r="E12" s="17"/>
      <c r="F12" s="18" t="s">
        <v>66</v>
      </c>
      <c r="G12" s="19" t="s">
        <v>667</v>
      </c>
    </row>
    <row r="13" spans="1:9" ht="30" customHeight="1" x14ac:dyDescent="0.25">
      <c r="A13" s="15">
        <v>7</v>
      </c>
      <c r="B13" s="16" t="s">
        <v>67</v>
      </c>
      <c r="C13" s="17">
        <v>15</v>
      </c>
      <c r="D13" s="17">
        <v>25</v>
      </c>
      <c r="E13" s="17">
        <v>35</v>
      </c>
      <c r="F13" s="18" t="s">
        <v>68</v>
      </c>
      <c r="G13" s="19" t="s">
        <v>668</v>
      </c>
    </row>
    <row r="14" spans="1:9" ht="30" customHeight="1" x14ac:dyDescent="0.25">
      <c r="A14" s="15">
        <v>8</v>
      </c>
      <c r="B14" s="16" t="s">
        <v>69</v>
      </c>
      <c r="C14" s="17">
        <v>10</v>
      </c>
      <c r="D14" s="17">
        <v>10</v>
      </c>
      <c r="E14" s="17">
        <v>10</v>
      </c>
      <c r="F14" s="18"/>
      <c r="G14" s="19" t="s">
        <v>669</v>
      </c>
    </row>
    <row r="15" spans="1:9" ht="30" customHeight="1" x14ac:dyDescent="0.25">
      <c r="A15" s="15">
        <v>9</v>
      </c>
      <c r="B15" s="16" t="s">
        <v>70</v>
      </c>
      <c r="C15" s="17">
        <v>120</v>
      </c>
      <c r="D15" s="17">
        <v>120</v>
      </c>
      <c r="E15" s="17">
        <v>120</v>
      </c>
      <c r="F15" s="18"/>
      <c r="G15" s="19" t="s">
        <v>670</v>
      </c>
    </row>
    <row r="16" spans="1:9" ht="30" customHeight="1" x14ac:dyDescent="0.25">
      <c r="A16" s="15">
        <v>10</v>
      </c>
      <c r="B16" s="16" t="s">
        <v>71</v>
      </c>
      <c r="C16" s="17">
        <v>20</v>
      </c>
      <c r="D16" s="17">
        <v>20</v>
      </c>
      <c r="E16" s="17">
        <v>20</v>
      </c>
      <c r="F16" s="18"/>
      <c r="G16" s="19" t="s">
        <v>671</v>
      </c>
    </row>
    <row r="17" spans="1:9" ht="30" customHeight="1" x14ac:dyDescent="0.25">
      <c r="A17" s="15">
        <v>11</v>
      </c>
      <c r="B17" s="16" t="s">
        <v>72</v>
      </c>
      <c r="C17" s="17">
        <v>0</v>
      </c>
      <c r="D17" s="17">
        <v>0</v>
      </c>
      <c r="E17" s="17">
        <v>0</v>
      </c>
      <c r="F17" s="18" t="s">
        <v>73</v>
      </c>
      <c r="G17" s="19" t="s">
        <v>672</v>
      </c>
    </row>
    <row r="18" spans="1:9" x14ac:dyDescent="0.25">
      <c r="A18" s="4"/>
      <c r="B18" s="4"/>
      <c r="C18" s="4"/>
      <c r="D18" s="4"/>
      <c r="E18" s="4"/>
      <c r="F18" s="4"/>
      <c r="G18" s="4"/>
    </row>
    <row r="19" spans="1:9" ht="16.5" customHeight="1" x14ac:dyDescent="0.25">
      <c r="A19" s="93" t="s">
        <v>74</v>
      </c>
      <c r="B19" s="92"/>
      <c r="C19" s="92"/>
      <c r="D19" s="92"/>
      <c r="E19" s="92"/>
      <c r="F19" s="92"/>
      <c r="G19" s="92"/>
    </row>
    <row r="20" spans="1:9" ht="15" customHeight="1" x14ac:dyDescent="0.25">
      <c r="A20" s="4"/>
      <c r="B20" s="14" t="s">
        <v>75</v>
      </c>
      <c r="C20" s="14" t="s">
        <v>51</v>
      </c>
      <c r="D20" s="14" t="s">
        <v>52</v>
      </c>
      <c r="E20" s="14" t="s">
        <v>53</v>
      </c>
      <c r="F20" s="14" t="s">
        <v>76</v>
      </c>
      <c r="G20" s="14" t="s">
        <v>77</v>
      </c>
      <c r="I20" s="20" t="s">
        <v>78</v>
      </c>
    </row>
    <row r="21" spans="1:9" ht="15" customHeight="1" x14ac:dyDescent="0.25">
      <c r="A21" s="4"/>
      <c r="B21" s="22" t="s">
        <v>79</v>
      </c>
      <c r="C21" s="23">
        <f>SUM(C10,(C11/12),C12)</f>
        <v>70</v>
      </c>
      <c r="D21" s="23">
        <f>SUM(D10,(C11/12),D12)</f>
        <v>190</v>
      </c>
      <c r="E21" s="23">
        <f>SUM(E10,(C11/12),E12)</f>
        <v>130</v>
      </c>
      <c r="F21" s="24">
        <f t="shared" ref="F21:F31" si="0">IF(COUNT(C21:E21)=0,"",SUM(C21:E21))</f>
        <v>390</v>
      </c>
      <c r="G21" s="4"/>
    </row>
    <row r="22" spans="1:9" ht="15" customHeight="1" x14ac:dyDescent="0.25">
      <c r="A22" s="4"/>
      <c r="B22" s="22" t="s">
        <v>80</v>
      </c>
      <c r="C22" s="23">
        <f t="shared" ref="C22:E22" si="1">SUM(C13,C14)</f>
        <v>25</v>
      </c>
      <c r="D22" s="23">
        <f t="shared" si="1"/>
        <v>35</v>
      </c>
      <c r="E22" s="23">
        <f t="shared" si="1"/>
        <v>45</v>
      </c>
      <c r="F22" s="24">
        <f t="shared" si="0"/>
        <v>105</v>
      </c>
      <c r="G22" s="4"/>
      <c r="I22" s="20">
        <f>90/75</f>
        <v>1.2</v>
      </c>
    </row>
    <row r="23" spans="1:9" ht="15" customHeight="1" x14ac:dyDescent="0.25">
      <c r="A23" s="4"/>
      <c r="B23" s="25" t="s">
        <v>84</v>
      </c>
      <c r="C23" s="23">
        <f t="shared" ref="C23:E23" si="2">C21-C22</f>
        <v>45</v>
      </c>
      <c r="D23" s="23">
        <f t="shared" si="2"/>
        <v>155</v>
      </c>
      <c r="E23" s="23">
        <f t="shared" si="2"/>
        <v>85</v>
      </c>
      <c r="F23" s="30">
        <f t="shared" si="0"/>
        <v>285</v>
      </c>
      <c r="G23" s="32" t="str">
        <f>IF(COUNT(C21:E21,C22:E22,C23:E23)&lt;9,"Chưa điền",IF(AND(ABS(C23-(C21-C22))&lt;0.01,ABS(D23-(D21-D22))&lt;0.01,ABS(E23-(E21-E22))&lt;0.01),"Đạt","Xem lại phép trừ"))</f>
        <v>Đạt</v>
      </c>
    </row>
    <row r="24" spans="1:9" ht="15" customHeight="1" x14ac:dyDescent="0.25">
      <c r="A24" s="4"/>
      <c r="B24" s="22" t="s">
        <v>139</v>
      </c>
      <c r="C24" s="23">
        <f t="shared" ref="C24:E24" si="3">C15+C16</f>
        <v>140</v>
      </c>
      <c r="D24" s="23">
        <f t="shared" si="3"/>
        <v>140</v>
      </c>
      <c r="E24" s="23">
        <f t="shared" si="3"/>
        <v>140</v>
      </c>
      <c r="F24" s="24">
        <f t="shared" si="0"/>
        <v>420</v>
      </c>
      <c r="G24" s="4"/>
    </row>
    <row r="25" spans="1:9" ht="15" customHeight="1" x14ac:dyDescent="0.25">
      <c r="A25" s="4"/>
      <c r="B25" s="25" t="s">
        <v>144</v>
      </c>
      <c r="C25" s="23">
        <f t="shared" ref="C25:E25" si="4">C23-C24</f>
        <v>-95</v>
      </c>
      <c r="D25" s="23">
        <f t="shared" si="4"/>
        <v>15</v>
      </c>
      <c r="E25" s="23">
        <f t="shared" si="4"/>
        <v>-55</v>
      </c>
      <c r="F25" s="30">
        <f t="shared" si="0"/>
        <v>-135</v>
      </c>
      <c r="G25" s="32" t="str">
        <f>IF(COUNT(C23:E23,C24:E24,C25:E25)&lt;9,"Chưa điền",IF(AND(ABS(C25-(C23-C24))&lt;0.01,ABS(D25-(D23-D24))&lt;0.01,ABS(E25-(E23-E24))&lt;0.01),"Đạt","Xem lại phép trừ"))</f>
        <v>Đạt</v>
      </c>
    </row>
    <row r="26" spans="1:9" ht="15" customHeight="1" x14ac:dyDescent="0.25">
      <c r="A26" s="4"/>
      <c r="B26" s="22" t="s">
        <v>146</v>
      </c>
      <c r="C26" s="23">
        <f t="shared" ref="C26:E26" si="5">$C9/36</f>
        <v>10</v>
      </c>
      <c r="D26" s="23">
        <f t="shared" si="5"/>
        <v>10</v>
      </c>
      <c r="E26" s="23">
        <f t="shared" si="5"/>
        <v>10</v>
      </c>
      <c r="F26" s="24">
        <f t="shared" si="0"/>
        <v>30</v>
      </c>
      <c r="G26" s="4"/>
    </row>
    <row r="27" spans="1:9" ht="15" customHeight="1" x14ac:dyDescent="0.25">
      <c r="A27" s="4"/>
      <c r="B27" s="25" t="s">
        <v>148</v>
      </c>
      <c r="C27" s="23">
        <f t="shared" ref="C27:E27" si="6">C25-C26</f>
        <v>-105</v>
      </c>
      <c r="D27" s="23">
        <f t="shared" si="6"/>
        <v>5</v>
      </c>
      <c r="E27" s="23">
        <f t="shared" si="6"/>
        <v>-65</v>
      </c>
      <c r="F27" s="30">
        <f t="shared" si="0"/>
        <v>-165</v>
      </c>
      <c r="G27" s="32" t="str">
        <f>IF(COUNT(C25:E25,C26:E26,C27:E27)&lt;9,"Chưa điền",IF(AND(ABS(C27-(C25-C26))&lt;0.01,ABS(D27-(D25-D26))&lt;0.01,ABS(E27-(E25-E26))&lt;0.01),"Đạt","Xem lại phép trừ"))</f>
        <v>Đạt</v>
      </c>
    </row>
    <row r="28" spans="1:9" ht="15" customHeight="1" x14ac:dyDescent="0.25">
      <c r="A28" s="4"/>
      <c r="B28" s="22" t="s">
        <v>157</v>
      </c>
      <c r="C28" s="23">
        <f t="shared" ref="C28:E28" si="7">($C8*12/100)/12</f>
        <v>3</v>
      </c>
      <c r="D28" s="23">
        <f t="shared" si="7"/>
        <v>3</v>
      </c>
      <c r="E28" s="23">
        <f t="shared" si="7"/>
        <v>3</v>
      </c>
      <c r="F28" s="24">
        <f t="shared" si="0"/>
        <v>9</v>
      </c>
      <c r="G28" s="4"/>
    </row>
    <row r="29" spans="1:9" ht="15" customHeight="1" x14ac:dyDescent="0.25">
      <c r="A29" s="4"/>
      <c r="B29" s="25" t="s">
        <v>158</v>
      </c>
      <c r="C29" s="23">
        <f t="shared" ref="C29:E29" si="8">C27-C28</f>
        <v>-108</v>
      </c>
      <c r="D29" s="23">
        <f t="shared" si="8"/>
        <v>2</v>
      </c>
      <c r="E29" s="23">
        <f t="shared" si="8"/>
        <v>-68</v>
      </c>
      <c r="F29" s="30">
        <f t="shared" si="0"/>
        <v>-174</v>
      </c>
      <c r="G29" s="32" t="str">
        <f>IF(COUNT(C27:E27,C28:E28,C29:E29)&lt;9,"Chưa điền",IF(AND(ABS(C29-(C27-C28))&lt;0.01,ABS(D29-(D27-D28))&lt;0.01,ABS(E29-(E27-E28))&lt;0.01),"Đạt","Xem lại phép trừ"))</f>
        <v>Đạt</v>
      </c>
    </row>
    <row r="30" spans="1:9" ht="15" customHeight="1" x14ac:dyDescent="0.25">
      <c r="A30" s="4"/>
      <c r="B30" s="22" t="s">
        <v>72</v>
      </c>
      <c r="C30" s="23">
        <f t="shared" ref="C30:E30" si="9">C17</f>
        <v>0</v>
      </c>
      <c r="D30" s="23">
        <f t="shared" si="9"/>
        <v>0</v>
      </c>
      <c r="E30" s="23">
        <f t="shared" si="9"/>
        <v>0</v>
      </c>
      <c r="F30" s="24">
        <f t="shared" si="0"/>
        <v>0</v>
      </c>
      <c r="G30" s="4"/>
    </row>
    <row r="31" spans="1:9" ht="15" customHeight="1" x14ac:dyDescent="0.25">
      <c r="A31" s="4"/>
      <c r="B31" s="25" t="s">
        <v>159</v>
      </c>
      <c r="C31" s="23">
        <f t="shared" ref="C31:E31" si="10">C29-C30</f>
        <v>-108</v>
      </c>
      <c r="D31" s="23">
        <f t="shared" si="10"/>
        <v>2</v>
      </c>
      <c r="E31" s="23">
        <f t="shared" si="10"/>
        <v>-68</v>
      </c>
      <c r="F31" s="30">
        <f t="shared" si="0"/>
        <v>-174</v>
      </c>
      <c r="G31" s="32" t="str">
        <f>IF(COUNT(C29:E29,C30:E30,C31:E31)&lt;9,"Chưa điền",IF(AND(ABS(C31-(C29-C30))&lt;0.01,ABS(D31-(D29-D30))&lt;0.01,ABS(E31-(E29-E30))&lt;0.01),"Đạt","Xem lại phép trừ"))</f>
        <v>Đạt</v>
      </c>
    </row>
    <row r="32" spans="1:9" ht="15" customHeight="1" x14ac:dyDescent="0.25">
      <c r="A32" s="4"/>
      <c r="B32" s="22" t="s">
        <v>160</v>
      </c>
      <c r="C32" s="36">
        <f t="shared" ref="C32:F32" si="11">IFERROR(C23/C21,"")</f>
        <v>0.6428571428571429</v>
      </c>
      <c r="D32" s="36">
        <f t="shared" si="11"/>
        <v>0.81578947368421051</v>
      </c>
      <c r="E32" s="36">
        <f t="shared" si="11"/>
        <v>0.65384615384615385</v>
      </c>
      <c r="F32" s="36">
        <f t="shared" si="11"/>
        <v>0.73076923076923073</v>
      </c>
      <c r="G32" s="4"/>
    </row>
    <row r="33" spans="1:7" ht="45" customHeight="1" x14ac:dyDescent="0.25">
      <c r="A33" s="4"/>
      <c r="B33" s="37" t="s">
        <v>161</v>
      </c>
      <c r="C33" s="4"/>
      <c r="D33" s="4"/>
      <c r="E33" s="4"/>
      <c r="F33" s="4"/>
      <c r="G33" s="38" t="str">
        <f>IF(COUNT(C31:E31)&lt;3,"Chưa điền",IF(ABS(F31+174)&lt;0.01,"Đạt: đã ghi theo kỳ","Chưa đúng: có giao dịch đang ghi theo ngày tiền vào ra (xem cột G, dòng 7–17)"))</f>
        <v>Đạt: đã ghi theo kỳ</v>
      </c>
    </row>
    <row r="34" spans="1:7" ht="16.5" customHeight="1" x14ac:dyDescent="0.25">
      <c r="A34" s="93" t="s">
        <v>162</v>
      </c>
      <c r="B34" s="92"/>
      <c r="C34" s="92"/>
      <c r="D34" s="92"/>
      <c r="E34" s="92"/>
      <c r="F34" s="92"/>
      <c r="G34" s="92"/>
    </row>
    <row r="35" spans="1:7" ht="15" customHeight="1" x14ac:dyDescent="0.25">
      <c r="A35" s="4"/>
      <c r="B35" s="14" t="s">
        <v>75</v>
      </c>
      <c r="C35" s="14" t="s">
        <v>163</v>
      </c>
      <c r="D35" s="4"/>
      <c r="E35" s="4"/>
      <c r="F35" s="4"/>
      <c r="G35" s="14" t="s">
        <v>77</v>
      </c>
    </row>
    <row r="36" spans="1:7" ht="15" customHeight="1" x14ac:dyDescent="0.25">
      <c r="A36" s="4"/>
      <c r="B36" s="7" t="s">
        <v>164</v>
      </c>
      <c r="C36" s="4"/>
      <c r="D36" s="4"/>
      <c r="E36" s="4"/>
      <c r="F36" s="4"/>
      <c r="G36" s="4"/>
    </row>
    <row r="37" spans="1:7" ht="15" customHeight="1" x14ac:dyDescent="0.25">
      <c r="A37" s="4"/>
      <c r="B37" s="22" t="s">
        <v>165</v>
      </c>
      <c r="C37" s="39">
        <f>1000+300+240+(50+80+110)-360-(15+25)-(10*3)-(120*3)-(20*3)-(3*3)</f>
        <v>921</v>
      </c>
      <c r="D37" s="4"/>
      <c r="E37" s="4"/>
      <c r="F37" s="4"/>
      <c r="G37" s="4"/>
    </row>
    <row r="38" spans="1:7" ht="15" customHeight="1" x14ac:dyDescent="0.25">
      <c r="A38" s="4"/>
      <c r="B38" s="22" t="s">
        <v>166</v>
      </c>
      <c r="C38" s="39">
        <v>90</v>
      </c>
      <c r="D38" s="4"/>
      <c r="E38" s="4"/>
      <c r="F38" s="4"/>
      <c r="G38" s="4"/>
    </row>
    <row r="39" spans="1:7" ht="15" customHeight="1" x14ac:dyDescent="0.25">
      <c r="A39" s="4"/>
      <c r="B39" s="22" t="s">
        <v>167</v>
      </c>
      <c r="C39" s="39">
        <v>360</v>
      </c>
      <c r="D39" s="4"/>
      <c r="E39" s="4"/>
      <c r="F39" s="4"/>
      <c r="G39" s="4"/>
    </row>
    <row r="40" spans="1:7" ht="15" customHeight="1" x14ac:dyDescent="0.25">
      <c r="A40" s="4"/>
      <c r="B40" s="22" t="s">
        <v>168</v>
      </c>
      <c r="C40" s="40">
        <f>-SUM(C26:E26)</f>
        <v>-30</v>
      </c>
      <c r="D40" s="4"/>
      <c r="E40" s="4"/>
      <c r="F40" s="4"/>
      <c r="G40" s="4"/>
    </row>
    <row r="41" spans="1:7" ht="15" customHeight="1" x14ac:dyDescent="0.25">
      <c r="A41" s="4"/>
      <c r="B41" s="25" t="s">
        <v>169</v>
      </c>
      <c r="C41" s="39">
        <f>SUM(C37:C40)</f>
        <v>1341</v>
      </c>
      <c r="D41" s="4"/>
      <c r="E41" s="4"/>
      <c r="F41" s="4"/>
      <c r="G41" s="32" t="str">
        <f>IF(COUNT(C37:C41)&lt;5,"Chưa điền",IF(ABS(C41-SUM(C37:C40))&lt;0.01,"Đạt","Xem lại phép cộng"))</f>
        <v>Đạt</v>
      </c>
    </row>
    <row r="42" spans="1:7" ht="15" customHeight="1" x14ac:dyDescent="0.25">
      <c r="A42" s="4"/>
      <c r="B42" s="7" t="s">
        <v>170</v>
      </c>
      <c r="C42" s="22"/>
      <c r="D42" s="4"/>
      <c r="E42" s="4"/>
      <c r="F42" s="4"/>
      <c r="G42" s="4"/>
    </row>
    <row r="43" spans="1:7" ht="15" customHeight="1" x14ac:dyDescent="0.25">
      <c r="A43" s="4"/>
      <c r="B43" s="22" t="s">
        <v>171</v>
      </c>
      <c r="C43" s="39">
        <v>35</v>
      </c>
      <c r="D43" s="4"/>
      <c r="E43" s="4"/>
      <c r="F43" s="4"/>
      <c r="G43" s="4"/>
    </row>
    <row r="44" spans="1:7" ht="15" customHeight="1" x14ac:dyDescent="0.25">
      <c r="A44" s="4"/>
      <c r="B44" s="22" t="s">
        <v>172</v>
      </c>
      <c r="C44" s="39">
        <f>240-240/12*3</f>
        <v>180</v>
      </c>
      <c r="D44" s="4"/>
      <c r="E44" s="4"/>
      <c r="F44" s="4"/>
      <c r="G44" s="4"/>
    </row>
    <row r="45" spans="1:7" ht="15" customHeight="1" x14ac:dyDescent="0.25">
      <c r="A45" s="4"/>
      <c r="B45" s="22" t="s">
        <v>173</v>
      </c>
      <c r="C45" s="39">
        <v>300</v>
      </c>
      <c r="D45" s="4"/>
      <c r="E45" s="4"/>
      <c r="F45" s="4"/>
      <c r="G45" s="4"/>
    </row>
    <row r="46" spans="1:7" ht="15" customHeight="1" x14ac:dyDescent="0.25">
      <c r="A46" s="4"/>
      <c r="B46" s="25" t="s">
        <v>174</v>
      </c>
      <c r="C46" s="39">
        <f>SUM(C43:C45)</f>
        <v>515</v>
      </c>
      <c r="D46" s="4"/>
      <c r="E46" s="4"/>
      <c r="F46" s="4"/>
      <c r="G46" s="32" t="str">
        <f>IF(COUNT(C43:C46)&lt;4,"Chưa điền",IF(ABS(C46-SUM(C43:C45))&lt;0.01,"Đạt","Xem lại phép cộng"))</f>
        <v>Đạt</v>
      </c>
    </row>
    <row r="47" spans="1:7" ht="15" customHeight="1" x14ac:dyDescent="0.25">
      <c r="A47" s="4"/>
      <c r="B47" s="7" t="s">
        <v>175</v>
      </c>
      <c r="C47" s="22"/>
      <c r="D47" s="4"/>
      <c r="E47" s="4"/>
      <c r="F47" s="4"/>
      <c r="G47" s="4"/>
    </row>
    <row r="48" spans="1:7" ht="15" customHeight="1" x14ac:dyDescent="0.25">
      <c r="A48" s="4"/>
      <c r="B48" s="22" t="s">
        <v>176</v>
      </c>
      <c r="C48" s="39">
        <v>1000</v>
      </c>
      <c r="D48" s="4"/>
      <c r="E48" s="4"/>
      <c r="F48" s="4"/>
      <c r="G48" s="4"/>
    </row>
    <row r="49" spans="1:7" ht="15" customHeight="1" x14ac:dyDescent="0.25">
      <c r="A49" s="4"/>
      <c r="B49" s="22" t="s">
        <v>177</v>
      </c>
      <c r="C49" s="40">
        <f>SUM(C31:E31)</f>
        <v>-174</v>
      </c>
      <c r="D49" s="4"/>
      <c r="E49" s="4"/>
      <c r="F49" s="4"/>
      <c r="G49" s="4"/>
    </row>
    <row r="50" spans="1:7" ht="15" customHeight="1" x14ac:dyDescent="0.25">
      <c r="A50" s="4"/>
      <c r="B50" s="25" t="s">
        <v>178</v>
      </c>
      <c r="C50" s="39">
        <f>C48+C49</f>
        <v>826</v>
      </c>
      <c r="D50" s="4"/>
      <c r="E50" s="4"/>
      <c r="F50" s="4"/>
      <c r="G50" s="32" t="str">
        <f>IF(COUNT(C48:C50)&lt;3,"Chưa điền",IF(ABS(C50-SUM(C48:C49))&lt;0.01,"Đạt","Xem lại phép cộng"))</f>
        <v>Đạt</v>
      </c>
    </row>
    <row r="51" spans="1:7" ht="15" customHeight="1" x14ac:dyDescent="0.25">
      <c r="A51" s="4"/>
      <c r="B51" s="22" t="s">
        <v>179</v>
      </c>
      <c r="C51" s="39">
        <f>C46+C50</f>
        <v>1341</v>
      </c>
      <c r="D51" s="4"/>
      <c r="E51" s="4"/>
      <c r="F51" s="4"/>
      <c r="G51" s="32" t="str">
        <f>IF(COUNT(C46,C50,C51)&lt;3,"Chưa điền",IF(ABS(C51-(C46+C50))&lt;0.01,"Đạt","Xem lại phép cộng"))</f>
        <v>Đạt</v>
      </c>
    </row>
    <row r="52" spans="1:7" ht="15" customHeight="1" x14ac:dyDescent="0.25">
      <c r="A52" s="4"/>
      <c r="B52" s="25" t="s">
        <v>180</v>
      </c>
      <c r="C52" s="4"/>
      <c r="D52" s="4"/>
      <c r="E52" s="4"/>
      <c r="F52" s="4"/>
      <c r="G52" s="41" t="str">
        <f>IF(COUNT(C41,C51)&lt;2,"Chưa điền",IF(ABS(C41-C51)&lt;0.01,"Đạt: bảng đã cân","Chưa cân: tìm khoản ghi sai"))</f>
        <v>Đạt: bảng đã cân</v>
      </c>
    </row>
    <row r="53" spans="1:7" ht="15" customHeight="1" x14ac:dyDescent="0.25">
      <c r="A53" s="4"/>
      <c r="B53" s="25" t="s">
        <v>181</v>
      </c>
      <c r="C53" s="4"/>
      <c r="D53" s="4"/>
      <c r="E53" s="4"/>
      <c r="F53" s="4"/>
      <c r="G53" s="41" t="str">
        <f>IF(COUNT(C49,F31)&lt;2,"Chưa điền",IF(ABS(C49-F31)&lt;0.01,"Đạt","Chưa khớp bài 1"))</f>
        <v>Đạt</v>
      </c>
    </row>
    <row r="54" spans="1:7" ht="15.75" customHeight="1" x14ac:dyDescent="0.25">
      <c r="A54" s="4"/>
      <c r="B54" s="4"/>
      <c r="C54" s="4"/>
      <c r="D54" s="4"/>
      <c r="E54" s="4"/>
      <c r="F54" s="4"/>
      <c r="G54" s="4"/>
    </row>
    <row r="55" spans="1:7" ht="16.5" customHeight="1" x14ac:dyDescent="0.25">
      <c r="A55" s="93" t="s">
        <v>182</v>
      </c>
      <c r="B55" s="92"/>
      <c r="C55" s="92"/>
      <c r="D55" s="92"/>
      <c r="E55" s="92"/>
      <c r="F55" s="92"/>
      <c r="G55" s="92"/>
    </row>
    <row r="56" spans="1:7" ht="15" customHeight="1" x14ac:dyDescent="0.25">
      <c r="A56" s="4"/>
      <c r="B56" s="14" t="s">
        <v>75</v>
      </c>
      <c r="C56" s="14" t="s">
        <v>163</v>
      </c>
      <c r="D56" s="4"/>
      <c r="E56" s="4"/>
      <c r="F56" s="4"/>
      <c r="G56" s="14" t="s">
        <v>77</v>
      </c>
    </row>
    <row r="57" spans="1:7" ht="15" customHeight="1" x14ac:dyDescent="0.25">
      <c r="A57" s="4"/>
      <c r="B57" s="22" t="s">
        <v>159</v>
      </c>
      <c r="C57" s="40">
        <f>SUM(C31:E31)</f>
        <v>-174</v>
      </c>
      <c r="D57" s="4"/>
      <c r="E57" s="4"/>
      <c r="F57" s="4"/>
      <c r="G57" s="4"/>
    </row>
    <row r="58" spans="1:7" ht="16.5" customHeight="1" x14ac:dyDescent="0.25">
      <c r="A58" s="4"/>
      <c r="B58" s="10" t="s">
        <v>183</v>
      </c>
      <c r="C58" s="39">
        <f>SUM(C26:E26)</f>
        <v>30</v>
      </c>
      <c r="D58" s="4"/>
      <c r="E58" s="4"/>
      <c r="F58" s="4"/>
      <c r="G58" s="4"/>
    </row>
    <row r="59" spans="1:7" ht="31.5" customHeight="1" x14ac:dyDescent="0.25">
      <c r="A59" s="4"/>
      <c r="B59" s="10" t="s">
        <v>184</v>
      </c>
      <c r="C59" s="40">
        <f>-C38</f>
        <v>-90</v>
      </c>
      <c r="D59" s="4"/>
      <c r="E59" s="4"/>
      <c r="F59" s="4"/>
      <c r="G59" s="4"/>
    </row>
    <row r="60" spans="1:7" ht="31.5" customHeight="1" x14ac:dyDescent="0.25">
      <c r="A60" s="4"/>
      <c r="B60" s="10" t="s">
        <v>185</v>
      </c>
      <c r="C60" s="39">
        <f t="shared" ref="C60:C61" si="12">C43</f>
        <v>35</v>
      </c>
      <c r="D60" s="4"/>
      <c r="E60" s="4"/>
      <c r="F60" s="4"/>
      <c r="G60" s="4"/>
    </row>
    <row r="61" spans="1:7" ht="16.5" customHeight="1" x14ac:dyDescent="0.25">
      <c r="A61" s="4"/>
      <c r="B61" s="10" t="s">
        <v>186</v>
      </c>
      <c r="C61" s="39">
        <f t="shared" si="12"/>
        <v>180</v>
      </c>
      <c r="D61" s="4"/>
      <c r="E61" s="4"/>
      <c r="F61" s="4"/>
      <c r="G61" s="4"/>
    </row>
    <row r="62" spans="1:7" ht="15" customHeight="1" x14ac:dyDescent="0.25">
      <c r="A62" s="4"/>
      <c r="B62" s="25" t="s">
        <v>187</v>
      </c>
      <c r="C62" s="40">
        <f>SUM(C57:C61)</f>
        <v>-19</v>
      </c>
      <c r="D62" s="4"/>
      <c r="E62" s="4"/>
      <c r="F62" s="4"/>
      <c r="G62" s="32" t="str">
        <f>IF(COUNT(C57:C62)&lt;6,"Chưa điền",IF(ABS(C62-SUM(C57:C61))&lt;0.01,"Đạt","Xem lại phép cộng"))</f>
        <v>Đạt</v>
      </c>
    </row>
    <row r="63" spans="1:7" ht="15" customHeight="1" x14ac:dyDescent="0.25">
      <c r="A63" s="4"/>
      <c r="B63" s="22" t="s">
        <v>188</v>
      </c>
      <c r="C63" s="40">
        <v>-360</v>
      </c>
      <c r="D63" s="4"/>
      <c r="E63" s="4"/>
      <c r="F63" s="4"/>
      <c r="G63" s="4"/>
    </row>
    <row r="64" spans="1:7" ht="15" customHeight="1" x14ac:dyDescent="0.25">
      <c r="A64" s="4"/>
      <c r="B64" s="25" t="s">
        <v>189</v>
      </c>
      <c r="C64" s="40">
        <f>C63</f>
        <v>-360</v>
      </c>
      <c r="D64" s="4"/>
      <c r="E64" s="4"/>
      <c r="F64" s="4"/>
      <c r="G64" s="32" t="str">
        <f>IF(COUNT(C63:C64)&lt;2,"Chưa điền",IF(ABS(C64-SUM(C63))&lt;0.01,"Đạt","Xem lại phép cộng"))</f>
        <v>Đạt</v>
      </c>
    </row>
    <row r="65" spans="1:7" ht="15" customHeight="1" x14ac:dyDescent="0.25">
      <c r="A65" s="4"/>
      <c r="B65" s="22" t="s">
        <v>190</v>
      </c>
      <c r="C65" s="39">
        <v>1000</v>
      </c>
      <c r="D65" s="4"/>
      <c r="E65" s="4"/>
      <c r="F65" s="4"/>
      <c r="G65" s="4"/>
    </row>
    <row r="66" spans="1:7" ht="15" customHeight="1" x14ac:dyDescent="0.25">
      <c r="A66" s="4"/>
      <c r="B66" s="22" t="s">
        <v>191</v>
      </c>
      <c r="C66" s="39">
        <v>300</v>
      </c>
      <c r="D66" s="4"/>
      <c r="E66" s="4"/>
      <c r="F66" s="4"/>
      <c r="G66" s="4"/>
    </row>
    <row r="67" spans="1:7" ht="15" customHeight="1" x14ac:dyDescent="0.25">
      <c r="A67" s="4"/>
      <c r="B67" s="25" t="s">
        <v>192</v>
      </c>
      <c r="C67" s="39">
        <f>C65+C66</f>
        <v>1300</v>
      </c>
      <c r="D67" s="4"/>
      <c r="E67" s="4"/>
      <c r="F67" s="4"/>
      <c r="G67" s="32" t="str">
        <f>IF(COUNT(C65:C67)&lt;3,"Chưa điền",IF(ABS(C67-SUM(C65:C66))&lt;0.01,"Đạt","Xem lại phép cộng"))</f>
        <v>Đạt</v>
      </c>
    </row>
    <row r="68" spans="1:7" ht="15" customHeight="1" x14ac:dyDescent="0.25">
      <c r="A68" s="4"/>
      <c r="B68" s="25" t="s">
        <v>193</v>
      </c>
      <c r="C68" s="39">
        <f>C62+C64+C67</f>
        <v>921</v>
      </c>
      <c r="D68" s="4"/>
      <c r="E68" s="4"/>
      <c r="F68" s="4"/>
      <c r="G68" s="32" t="str">
        <f>IF(COUNT(C62,C64,C67,C68)&lt;4,"Chưa điền",IF(ABS(C68-(C62+C64+C67))&lt;0.01,"Đạt","Xem lại phép cộng"))</f>
        <v>Đạt</v>
      </c>
    </row>
    <row r="69" spans="1:7" ht="15" customHeight="1" x14ac:dyDescent="0.25">
      <c r="A69" s="4"/>
      <c r="B69" s="22" t="s">
        <v>194</v>
      </c>
      <c r="C69" s="42">
        <v>0</v>
      </c>
      <c r="D69" s="4"/>
      <c r="E69" s="4"/>
      <c r="F69" s="4"/>
      <c r="G69" s="4"/>
    </row>
    <row r="70" spans="1:7" ht="15" customHeight="1" x14ac:dyDescent="0.25">
      <c r="A70" s="4"/>
      <c r="B70" s="25" t="s">
        <v>195</v>
      </c>
      <c r="C70" s="39">
        <f>C69+C68</f>
        <v>921</v>
      </c>
      <c r="D70" s="4"/>
      <c r="E70" s="4"/>
      <c r="F70" s="4"/>
      <c r="G70" s="32" t="str">
        <f>IF(COUNT(C68:C70)&lt;3,"Chưa điền",IF(ABS(C70-(C68+C69))&lt;0.01,"Đạt","Xem lại phép cộng"))</f>
        <v>Đạt</v>
      </c>
    </row>
    <row r="71" spans="1:7" ht="31.5" customHeight="1" x14ac:dyDescent="0.25">
      <c r="A71" s="4"/>
      <c r="B71" s="25" t="s">
        <v>196</v>
      </c>
      <c r="C71" s="4"/>
      <c r="D71" s="4"/>
      <c r="E71" s="4"/>
      <c r="F71" s="4"/>
      <c r="G71" s="38" t="str">
        <f>IF(COUNT(C70,C37)&lt;2,"Chưa điền",IF(ABS(C70-C37)&lt;0.01,"Đạt: ba báo cáo đã khớp","Chưa khớp: soát dấu +/− ở dòng 58–66, rồi soát dòng Tiền ở bảng cân đối"))</f>
        <v>Đạt: ba báo cáo đã khớp</v>
      </c>
    </row>
    <row r="72" spans="1:7" ht="15" customHeight="1" x14ac:dyDescent="0.25">
      <c r="A72" s="4"/>
      <c r="B72" s="25" t="s">
        <v>197</v>
      </c>
      <c r="C72" s="4"/>
      <c r="D72" s="4"/>
      <c r="E72" s="4"/>
      <c r="F72" s="4"/>
      <c r="G72" s="41" t="str">
        <f>IF(COUNT(C57,F31)&lt;2,"Chưa điền",IF(ABS(C57-F31)&lt;0.01,"Đạt","Chưa khớp bài 1"))</f>
        <v>Đạt</v>
      </c>
    </row>
    <row r="73" spans="1:7" ht="15.75" customHeight="1" x14ac:dyDescent="0.25">
      <c r="A73" s="4"/>
      <c r="B73" s="4"/>
      <c r="C73" s="4"/>
      <c r="D73" s="4"/>
      <c r="E73" s="4"/>
      <c r="F73" s="4"/>
      <c r="G73" s="4"/>
    </row>
    <row r="74" spans="1:7" ht="15" customHeight="1" x14ac:dyDescent="0.25">
      <c r="A74" s="7" t="s">
        <v>198</v>
      </c>
      <c r="B74" s="4"/>
      <c r="C74" s="4"/>
      <c r="D74" s="4"/>
      <c r="E74" s="4"/>
      <c r="F74" s="4"/>
      <c r="G74" s="4"/>
    </row>
    <row r="75" spans="1:7" ht="48" customHeight="1" x14ac:dyDescent="0.25">
      <c r="A75" s="4"/>
      <c r="B75" s="10" t="s">
        <v>199</v>
      </c>
      <c r="C75" s="94" t="s">
        <v>200</v>
      </c>
      <c r="D75" s="95"/>
      <c r="E75" s="95"/>
      <c r="F75" s="95"/>
      <c r="G75" s="96"/>
    </row>
    <row r="76" spans="1:7" ht="48" customHeight="1" x14ac:dyDescent="0.25">
      <c r="A76" s="4"/>
      <c r="B76" s="10" t="s">
        <v>201</v>
      </c>
      <c r="C76" s="94" t="s">
        <v>202</v>
      </c>
      <c r="D76" s="95"/>
      <c r="E76" s="95"/>
      <c r="F76" s="95"/>
      <c r="G76" s="96"/>
    </row>
    <row r="77" spans="1:7" ht="48" customHeight="1" x14ac:dyDescent="0.25">
      <c r="A77" s="4"/>
      <c r="B77" s="10" t="s">
        <v>203</v>
      </c>
      <c r="C77" s="94" t="s">
        <v>204</v>
      </c>
      <c r="D77" s="95"/>
      <c r="E77" s="95"/>
      <c r="F77" s="95"/>
      <c r="G77" s="96"/>
    </row>
    <row r="78" spans="1:7" ht="48" customHeight="1" x14ac:dyDescent="0.25">
      <c r="A78" s="4"/>
      <c r="B78" s="10" t="s">
        <v>205</v>
      </c>
      <c r="C78" s="94" t="s">
        <v>206</v>
      </c>
      <c r="D78" s="95"/>
      <c r="E78" s="95"/>
      <c r="F78" s="95"/>
      <c r="G78" s="96"/>
    </row>
    <row r="79" spans="1:7" ht="15.75" customHeight="1" x14ac:dyDescent="0.25">
      <c r="A79" s="4"/>
      <c r="B79" s="4"/>
      <c r="C79" s="4"/>
      <c r="D79" s="4"/>
      <c r="E79" s="4"/>
      <c r="F79" s="4"/>
      <c r="G79" s="4"/>
    </row>
    <row r="80" spans="1:7" ht="15" customHeight="1" x14ac:dyDescent="0.25">
      <c r="A80" s="7" t="s">
        <v>207</v>
      </c>
      <c r="B80" s="4"/>
      <c r="C80" s="4"/>
      <c r="D80" s="4"/>
      <c r="E80" s="4"/>
      <c r="F80" s="4"/>
      <c r="G80" s="4"/>
    </row>
    <row r="81" spans="1:7" ht="31.5" customHeight="1" x14ac:dyDescent="0.25">
      <c r="A81" s="4"/>
      <c r="B81" s="91" t="s">
        <v>208</v>
      </c>
      <c r="C81" s="92"/>
      <c r="D81" s="92"/>
      <c r="E81" s="92"/>
      <c r="F81" s="92"/>
      <c r="G81" s="92"/>
    </row>
    <row r="82" spans="1:7" ht="15" customHeight="1" x14ac:dyDescent="0.25">
      <c r="A82" s="4"/>
      <c r="B82" s="22" t="s">
        <v>209</v>
      </c>
      <c r="C82" s="43">
        <v>360</v>
      </c>
      <c r="D82" s="4"/>
      <c r="E82" s="4"/>
      <c r="F82" s="4"/>
      <c r="G82" s="4"/>
    </row>
    <row r="83" spans="1:7" ht="15" customHeight="1" x14ac:dyDescent="0.25">
      <c r="A83" s="4"/>
      <c r="B83" s="22" t="s">
        <v>210</v>
      </c>
      <c r="C83" s="43">
        <v>12</v>
      </c>
      <c r="D83" s="4"/>
      <c r="E83" s="4"/>
      <c r="F83" s="4"/>
      <c r="G83" s="4"/>
    </row>
    <row r="84" spans="1:7" ht="15" customHeight="1" x14ac:dyDescent="0.25">
      <c r="A84" s="4"/>
      <c r="B84" s="22" t="s">
        <v>211</v>
      </c>
      <c r="C84" s="43">
        <v>36</v>
      </c>
      <c r="D84" s="4"/>
      <c r="E84" s="4"/>
      <c r="F84" s="4"/>
      <c r="G84" s="4"/>
    </row>
    <row r="85" spans="1:7" ht="15" customHeight="1" x14ac:dyDescent="0.25">
      <c r="A85" s="4"/>
      <c r="B85" s="22" t="s">
        <v>212</v>
      </c>
      <c r="C85" s="44">
        <v>0.15</v>
      </c>
      <c r="D85" s="4"/>
      <c r="E85" s="4"/>
      <c r="F85" s="4"/>
      <c r="G85" s="4"/>
    </row>
    <row r="86" spans="1:7" ht="46.5" customHeight="1" x14ac:dyDescent="0.25">
      <c r="A86" s="4"/>
      <c r="B86" s="10" t="s">
        <v>213</v>
      </c>
      <c r="C86" s="45">
        <f>PV(C85/12,C84,-C83)</f>
        <v>346.16720849906619</v>
      </c>
      <c r="D86" s="4"/>
      <c r="E86" s="4"/>
      <c r="F86" s="4"/>
      <c r="G86" s="32" t="str">
        <f>IF(C86="","Chưa điền",IF(ABS(C86-PV(C85/12,C84,-C83))&lt;1,"Đạt","Xem lại"))</f>
        <v>Đạt</v>
      </c>
    </row>
    <row r="87" spans="1:7" ht="15" customHeight="1" x14ac:dyDescent="0.25">
      <c r="A87" s="4"/>
      <c r="B87" s="22" t="s">
        <v>214</v>
      </c>
      <c r="C87" s="46" t="s">
        <v>215</v>
      </c>
      <c r="D87" s="4"/>
      <c r="E87" s="4"/>
      <c r="F87" s="4"/>
      <c r="G87" s="32" t="str">
        <f>IF(C87="","Chưa điền",IF(C87=IF(PV(C85/12,C84,-C83)&lt;C82,"Thuê","Mua"),"Đạt","Xem lại"))</f>
        <v>Đạt</v>
      </c>
    </row>
    <row r="88" spans="1:7" ht="31.5" customHeight="1" x14ac:dyDescent="0.25">
      <c r="A88" s="4"/>
      <c r="B88" s="10" t="s">
        <v>216</v>
      </c>
      <c r="C88" s="45">
        <f>PV(0.08/12,C84,-C83)</f>
        <v>382.94166612173467</v>
      </c>
      <c r="D88" s="4"/>
      <c r="E88" s="4"/>
      <c r="F88" s="4"/>
      <c r="G88" s="32" t="str">
        <f>IF(C88="","Chưa điền",IF(ABS(C88-PV(0.08/12,C84,-C83))&lt;1,"Đạt","Xem lại"))</f>
        <v>Đạt</v>
      </c>
    </row>
    <row r="89" spans="1:7" ht="15" customHeight="1" x14ac:dyDescent="0.25">
      <c r="A89" s="4"/>
      <c r="B89" s="22" t="s">
        <v>217</v>
      </c>
      <c r="C89" s="46" t="s">
        <v>218</v>
      </c>
      <c r="D89" s="4"/>
      <c r="E89" s="4"/>
      <c r="F89" s="4"/>
      <c r="G89" s="32" t="str">
        <f>IF(C89="","Chưa điền",IF(C89=IF(PV(0.08/12,C84,-C83)&lt;C82,"Thuê","Mua"),"Đạt","Xem lại"))</f>
        <v>Đạt</v>
      </c>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sheetData>
  <mergeCells count="9">
    <mergeCell ref="C76:G76"/>
    <mergeCell ref="C77:G77"/>
    <mergeCell ref="C78:G78"/>
    <mergeCell ref="B81:G81"/>
    <mergeCell ref="A3:G3"/>
    <mergeCell ref="A19:G19"/>
    <mergeCell ref="A34:G34"/>
    <mergeCell ref="A55:G55"/>
    <mergeCell ref="C75:G75"/>
  </mergeCells>
  <dataValidations count="1">
    <dataValidation type="list" allowBlank="1" sqref="C87 C89" xr:uid="{00000000-0002-0000-0200-000000000000}">
      <formula1>"Mua,Thuê"</formula1>
    </dataValidation>
  </dataValidation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defaultColWidth="14.42578125" defaultRowHeight="15" customHeight="1" x14ac:dyDescent="0.25"/>
  <cols>
    <col min="1" max="1" width="48" customWidth="1"/>
    <col min="2" max="2" width="22" customWidth="1"/>
    <col min="3" max="3" width="18" customWidth="1"/>
    <col min="4" max="4" width="60" customWidth="1"/>
    <col min="5" max="5" width="64" customWidth="1"/>
    <col min="6" max="26" width="8.7109375" customWidth="1"/>
  </cols>
  <sheetData>
    <row r="1" spans="1:5" ht="17.25" customHeight="1" x14ac:dyDescent="0.25">
      <c r="A1" s="1" t="s">
        <v>81</v>
      </c>
      <c r="B1" s="4"/>
      <c r="C1" s="4"/>
      <c r="D1" s="4"/>
      <c r="E1" s="4"/>
    </row>
    <row r="2" spans="1:5" ht="15" customHeight="1" x14ac:dyDescent="0.25">
      <c r="A2" s="5" t="s">
        <v>82</v>
      </c>
      <c r="B2" s="4"/>
      <c r="C2" s="4"/>
      <c r="D2" s="4"/>
      <c r="E2" s="4"/>
    </row>
    <row r="3" spans="1:5" ht="31.5" customHeight="1" x14ac:dyDescent="0.25">
      <c r="A3" s="97" t="s">
        <v>83</v>
      </c>
      <c r="B3" s="92"/>
      <c r="C3" s="92"/>
      <c r="D3" s="92"/>
      <c r="E3" s="92"/>
    </row>
    <row r="4" spans="1:5" ht="15" customHeight="1" x14ac:dyDescent="0.25">
      <c r="A4" s="14" t="s">
        <v>85</v>
      </c>
      <c r="B4" s="14" t="s">
        <v>86</v>
      </c>
      <c r="C4" s="14" t="s">
        <v>87</v>
      </c>
      <c r="D4" s="14" t="s">
        <v>88</v>
      </c>
      <c r="E4" s="14" t="s">
        <v>89</v>
      </c>
    </row>
    <row r="5" spans="1:5" ht="90" x14ac:dyDescent="0.25">
      <c r="A5" s="16" t="s">
        <v>90</v>
      </c>
      <c r="B5" s="26" t="s">
        <v>91</v>
      </c>
      <c r="C5" s="27"/>
      <c r="D5" s="26" t="s">
        <v>92</v>
      </c>
      <c r="E5" s="28" t="s">
        <v>93</v>
      </c>
    </row>
    <row r="6" spans="1:5" ht="30" customHeight="1" x14ac:dyDescent="0.25">
      <c r="A6" s="16" t="s">
        <v>94</v>
      </c>
      <c r="B6" s="29">
        <v>2</v>
      </c>
      <c r="C6" s="27" t="s">
        <v>95</v>
      </c>
      <c r="D6" s="26" t="s">
        <v>96</v>
      </c>
      <c r="E6" s="28" t="s">
        <v>97</v>
      </c>
    </row>
    <row r="7" spans="1:5" ht="43.5" customHeight="1" x14ac:dyDescent="0.25">
      <c r="A7" s="16" t="s">
        <v>98</v>
      </c>
      <c r="B7" s="29">
        <v>2500</v>
      </c>
      <c r="C7" s="27" t="s">
        <v>99</v>
      </c>
      <c r="D7" s="26" t="s">
        <v>100</v>
      </c>
      <c r="E7" s="28" t="s">
        <v>101</v>
      </c>
    </row>
    <row r="8" spans="1:5" ht="15.75" customHeight="1" x14ac:dyDescent="0.25">
      <c r="A8" s="16" t="s">
        <v>102</v>
      </c>
      <c r="B8" s="29">
        <v>400</v>
      </c>
      <c r="C8" s="27" t="s">
        <v>99</v>
      </c>
      <c r="D8" s="26" t="s">
        <v>103</v>
      </c>
      <c r="E8" s="28" t="s">
        <v>104</v>
      </c>
    </row>
    <row r="9" spans="1:5" ht="43.5" customHeight="1" x14ac:dyDescent="0.25">
      <c r="A9" s="16" t="s">
        <v>105</v>
      </c>
      <c r="B9" s="29">
        <v>1</v>
      </c>
      <c r="C9" s="27" t="s">
        <v>106</v>
      </c>
      <c r="D9" s="26" t="s">
        <v>107</v>
      </c>
      <c r="E9" s="28" t="s">
        <v>108</v>
      </c>
    </row>
    <row r="10" spans="1:5" ht="30" customHeight="1" x14ac:dyDescent="0.25">
      <c r="A10" s="16" t="s">
        <v>109</v>
      </c>
      <c r="B10" s="29">
        <v>5</v>
      </c>
      <c r="C10" s="27" t="s">
        <v>106</v>
      </c>
      <c r="D10" s="26" t="s">
        <v>110</v>
      </c>
      <c r="E10" s="28" t="s">
        <v>111</v>
      </c>
    </row>
    <row r="11" spans="1:5" ht="30" customHeight="1" x14ac:dyDescent="0.25">
      <c r="A11" s="16" t="s">
        <v>112</v>
      </c>
      <c r="B11" s="29">
        <v>26170</v>
      </c>
      <c r="C11" s="27" t="s">
        <v>113</v>
      </c>
      <c r="D11" s="26" t="s">
        <v>114</v>
      </c>
      <c r="E11" s="28" t="s">
        <v>115</v>
      </c>
    </row>
    <row r="12" spans="1:5" ht="30" customHeight="1" x14ac:dyDescent="0.25">
      <c r="A12" s="16" t="s">
        <v>116</v>
      </c>
      <c r="B12" s="31">
        <v>0.08</v>
      </c>
      <c r="C12" s="27" t="s">
        <v>117</v>
      </c>
      <c r="D12" s="26" t="s">
        <v>118</v>
      </c>
      <c r="E12" s="28" t="s">
        <v>119</v>
      </c>
    </row>
    <row r="13" spans="1:5" ht="43.5" customHeight="1" x14ac:dyDescent="0.25">
      <c r="A13" s="16" t="s">
        <v>120</v>
      </c>
      <c r="B13" s="29">
        <v>120</v>
      </c>
      <c r="C13" s="27" t="s">
        <v>121</v>
      </c>
      <c r="D13" s="26" t="s">
        <v>122</v>
      </c>
      <c r="E13" s="28" t="s">
        <v>123</v>
      </c>
    </row>
    <row r="14" spans="1:5" ht="30" customHeight="1" x14ac:dyDescent="0.25">
      <c r="A14" s="16" t="s">
        <v>124</v>
      </c>
      <c r="B14" s="31">
        <v>0.2</v>
      </c>
      <c r="C14" s="27" t="s">
        <v>117</v>
      </c>
      <c r="D14" s="26" t="s">
        <v>125</v>
      </c>
      <c r="E14" s="28" t="s">
        <v>126</v>
      </c>
    </row>
    <row r="15" spans="1:5" ht="15.75" customHeight="1" x14ac:dyDescent="0.25">
      <c r="A15" s="16" t="s">
        <v>127</v>
      </c>
      <c r="B15" s="29">
        <v>1.5</v>
      </c>
      <c r="C15" s="27" t="s">
        <v>128</v>
      </c>
      <c r="D15" s="26" t="s">
        <v>129</v>
      </c>
      <c r="E15" s="28" t="s">
        <v>130</v>
      </c>
    </row>
    <row r="16" spans="1:5" ht="30" customHeight="1" x14ac:dyDescent="0.25">
      <c r="A16" s="16" t="s">
        <v>131</v>
      </c>
      <c r="B16" s="29">
        <v>50000</v>
      </c>
      <c r="C16" s="27" t="s">
        <v>132</v>
      </c>
      <c r="D16" s="26" t="s">
        <v>133</v>
      </c>
      <c r="E16" s="28" t="s">
        <v>134</v>
      </c>
    </row>
    <row r="17" spans="1:5" ht="30" customHeight="1" x14ac:dyDescent="0.25">
      <c r="A17" s="16" t="s">
        <v>135</v>
      </c>
      <c r="B17" s="29">
        <v>50</v>
      </c>
      <c r="C17" s="27" t="s">
        <v>121</v>
      </c>
      <c r="D17" s="26" t="s">
        <v>136</v>
      </c>
      <c r="E17" s="28" t="s">
        <v>137</v>
      </c>
    </row>
    <row r="18" spans="1:5" ht="15.75" customHeight="1" x14ac:dyDescent="0.25">
      <c r="A18" s="16" t="s">
        <v>138</v>
      </c>
      <c r="B18" s="29">
        <v>30</v>
      </c>
      <c r="C18" s="27" t="s">
        <v>121</v>
      </c>
      <c r="D18" s="26" t="s">
        <v>140</v>
      </c>
      <c r="E18" s="28" t="s">
        <v>141</v>
      </c>
    </row>
    <row r="19" spans="1:5" x14ac:dyDescent="0.25">
      <c r="A19" s="4"/>
      <c r="B19" s="4"/>
      <c r="C19" s="4"/>
      <c r="D19" s="4"/>
      <c r="E19" s="4"/>
    </row>
    <row r="20" spans="1:5" ht="15" customHeight="1" x14ac:dyDescent="0.25">
      <c r="A20" s="7" t="s">
        <v>142</v>
      </c>
      <c r="B20" s="4"/>
      <c r="C20" s="4"/>
      <c r="D20" s="4"/>
      <c r="E20" s="4"/>
    </row>
    <row r="21" spans="1:5" ht="15" customHeight="1" x14ac:dyDescent="0.25">
      <c r="A21" s="22" t="s">
        <v>143</v>
      </c>
      <c r="B21" s="24">
        <f>IFERROR(B6*(B7*B9+B8*B10)/1000000*B11*(1+B12),0)</f>
        <v>254.3724</v>
      </c>
      <c r="C21" s="4"/>
      <c r="D21" s="4"/>
      <c r="E21" s="4"/>
    </row>
    <row r="22" spans="1:5" ht="15" customHeight="1" x14ac:dyDescent="0.25">
      <c r="A22" s="22" t="s">
        <v>145</v>
      </c>
      <c r="B22" s="24">
        <f>IFERROR(B14*B15/60*B16,0)</f>
        <v>250.00000000000006</v>
      </c>
      <c r="C22" s="4"/>
      <c r="D22" s="4"/>
      <c r="E22" s="4"/>
    </row>
    <row r="23" spans="1:5" ht="15" customHeight="1" x14ac:dyDescent="0.25">
      <c r="A23" s="22" t="s">
        <v>147</v>
      </c>
      <c r="B23" s="24">
        <f>B13+B17+B18</f>
        <v>200</v>
      </c>
      <c r="C23" s="4"/>
      <c r="D23" s="4"/>
      <c r="E23" s="4"/>
    </row>
    <row r="24" spans="1:5" ht="15.75" customHeight="1" x14ac:dyDescent="0.25">
      <c r="A24" s="22" t="s">
        <v>149</v>
      </c>
      <c r="B24" s="33">
        <f>B21+B22+B23</f>
        <v>704.37240000000008</v>
      </c>
      <c r="C24" s="4"/>
      <c r="D24" s="4"/>
      <c r="E24" s="13" t="s">
        <v>150</v>
      </c>
    </row>
    <row r="25" spans="1:5" ht="15" customHeight="1" x14ac:dyDescent="0.25">
      <c r="A25" s="22" t="s">
        <v>151</v>
      </c>
      <c r="B25" s="34">
        <f>IFERROR((B24-B21)/B21,0)</f>
        <v>1.7690598508328739</v>
      </c>
      <c r="C25" s="35" t="s">
        <v>152</v>
      </c>
      <c r="D25" s="4"/>
      <c r="E25" s="4"/>
    </row>
    <row r="26" spans="1:5" ht="15" customHeight="1" x14ac:dyDescent="0.25">
      <c r="A26" s="22" t="s">
        <v>153</v>
      </c>
      <c r="B26" s="24">
        <f>3*B24</f>
        <v>2113.1172000000001</v>
      </c>
      <c r="C26" s="35" t="s">
        <v>154</v>
      </c>
      <c r="D26" s="4"/>
      <c r="E26" s="4"/>
    </row>
    <row r="27" spans="1:5" ht="15" customHeight="1" x14ac:dyDescent="0.25">
      <c r="A27" s="22" t="s">
        <v>155</v>
      </c>
      <c r="B27" s="24">
        <f>B24/(1-0.6)</f>
        <v>1760.931</v>
      </c>
      <c r="C27" s="35" t="s">
        <v>156</v>
      </c>
      <c r="D27" s="4"/>
      <c r="E27" s="4"/>
    </row>
    <row r="28" spans="1:5" ht="15.75" customHeight="1" x14ac:dyDescent="0.25">
      <c r="A28" s="4"/>
      <c r="B28" s="4"/>
      <c r="C28" s="4"/>
      <c r="D28" s="4"/>
      <c r="E28" s="4"/>
    </row>
    <row r="29" spans="1:5" ht="15.75" customHeight="1" x14ac:dyDescent="0.25">
      <c r="A29" s="4"/>
      <c r="B29" s="4"/>
      <c r="C29" s="4"/>
      <c r="D29" s="4"/>
      <c r="E29" s="4"/>
    </row>
    <row r="30" spans="1:5" ht="15.75" customHeight="1" x14ac:dyDescent="0.25">
      <c r="A30" s="4"/>
      <c r="B30" s="4"/>
      <c r="C30" s="4"/>
      <c r="D30" s="4"/>
      <c r="E30" s="4"/>
    </row>
    <row r="31" spans="1:5" ht="15.75" customHeight="1" x14ac:dyDescent="0.25">
      <c r="A31" s="4"/>
      <c r="B31" s="4"/>
      <c r="C31" s="4"/>
      <c r="D31" s="4"/>
      <c r="E31" s="4"/>
    </row>
    <row r="32" spans="1:5" ht="15.75" customHeight="1" x14ac:dyDescent="0.25">
      <c r="A32" s="4"/>
      <c r="B32" s="4"/>
      <c r="C32" s="4"/>
      <c r="D32" s="4"/>
      <c r="E32" s="4"/>
    </row>
    <row r="33" spans="1:5" ht="15.75" customHeight="1" x14ac:dyDescent="0.25">
      <c r="A33" s="4"/>
      <c r="B33" s="4"/>
      <c r="C33" s="4"/>
      <c r="D33" s="4"/>
      <c r="E33" s="4"/>
    </row>
    <row r="34" spans="1:5" ht="15.75" customHeight="1" x14ac:dyDescent="0.25">
      <c r="A34" s="4"/>
      <c r="B34" s="4"/>
      <c r="C34" s="4"/>
      <c r="D34" s="4"/>
      <c r="E34" s="4"/>
    </row>
    <row r="35" spans="1:5" ht="15.75" customHeight="1" x14ac:dyDescent="0.25">
      <c r="A35" s="4"/>
      <c r="B35" s="4"/>
      <c r="C35" s="4"/>
      <c r="D35" s="4"/>
      <c r="E35" s="4"/>
    </row>
    <row r="36" spans="1:5" ht="15.75" customHeight="1" x14ac:dyDescent="0.25">
      <c r="A36" s="4"/>
      <c r="B36" s="4"/>
      <c r="C36" s="4"/>
      <c r="D36" s="4"/>
      <c r="E36" s="4"/>
    </row>
    <row r="37" spans="1:5" ht="15.75" customHeight="1" x14ac:dyDescent="0.25">
      <c r="A37" s="4"/>
      <c r="B37" s="4"/>
      <c r="C37" s="4"/>
      <c r="D37" s="4"/>
      <c r="E37" s="4"/>
    </row>
    <row r="38" spans="1:5" ht="15.75" customHeight="1" x14ac:dyDescent="0.25">
      <c r="A38" s="4"/>
      <c r="B38" s="4"/>
      <c r="C38" s="4"/>
      <c r="D38" s="4"/>
      <c r="E38" s="4"/>
    </row>
    <row r="39" spans="1:5" ht="15.75" customHeight="1" x14ac:dyDescent="0.25">
      <c r="A39" s="4"/>
      <c r="B39" s="4"/>
      <c r="C39" s="4"/>
      <c r="D39" s="4"/>
      <c r="E39" s="4"/>
    </row>
    <row r="40" spans="1:5" ht="15.75" customHeight="1" x14ac:dyDescent="0.25">
      <c r="A40" s="4"/>
      <c r="B40" s="4"/>
      <c r="C40" s="4"/>
      <c r="D40" s="4"/>
      <c r="E40" s="4"/>
    </row>
    <row r="41" spans="1:5" ht="15.75" customHeight="1" x14ac:dyDescent="0.25">
      <c r="A41" s="4"/>
      <c r="B41" s="4"/>
      <c r="C41" s="4"/>
      <c r="D41" s="4"/>
      <c r="E41" s="4"/>
    </row>
    <row r="42" spans="1:5" ht="15.75" customHeight="1" x14ac:dyDescent="0.25">
      <c r="A42" s="4"/>
      <c r="B42" s="4"/>
      <c r="C42" s="4"/>
      <c r="D42" s="4"/>
      <c r="E42" s="4"/>
    </row>
    <row r="43" spans="1:5" ht="15.75" customHeight="1" x14ac:dyDescent="0.25">
      <c r="A43" s="4"/>
      <c r="B43" s="4"/>
      <c r="C43" s="4"/>
      <c r="D43" s="4"/>
      <c r="E43" s="4"/>
    </row>
    <row r="44" spans="1:5" ht="15.75" customHeight="1" x14ac:dyDescent="0.25">
      <c r="A44" s="4"/>
      <c r="B44" s="4"/>
      <c r="C44" s="4"/>
      <c r="D44" s="4"/>
      <c r="E44" s="4"/>
    </row>
    <row r="45" spans="1:5" ht="15.75" customHeight="1" x14ac:dyDescent="0.25">
      <c r="A45" s="4"/>
      <c r="B45" s="4"/>
      <c r="C45" s="4"/>
      <c r="D45" s="4"/>
      <c r="E45" s="4"/>
    </row>
    <row r="46" spans="1:5" ht="15.75" customHeight="1" x14ac:dyDescent="0.25">
      <c r="A46" s="4"/>
      <c r="B46" s="4"/>
      <c r="C46" s="4"/>
      <c r="D46" s="4"/>
      <c r="E46" s="4"/>
    </row>
    <row r="47" spans="1:5" ht="15.75" customHeight="1" x14ac:dyDescent="0.25">
      <c r="A47" s="4"/>
      <c r="B47" s="4"/>
      <c r="C47" s="4"/>
      <c r="D47" s="4"/>
      <c r="E47" s="4"/>
    </row>
    <row r="48" spans="1:5" ht="15.75" customHeight="1" x14ac:dyDescent="0.25">
      <c r="A48" s="4"/>
      <c r="B48" s="4"/>
      <c r="C48" s="4"/>
      <c r="D48" s="4"/>
      <c r="E48" s="4"/>
    </row>
    <row r="49" spans="1:5" ht="15.75" customHeight="1" x14ac:dyDescent="0.25">
      <c r="A49" s="4"/>
      <c r="B49" s="4"/>
      <c r="C49" s="4"/>
      <c r="D49" s="4"/>
      <c r="E49" s="4"/>
    </row>
    <row r="50" spans="1:5" ht="15.75" customHeight="1" x14ac:dyDescent="0.25">
      <c r="A50" s="4"/>
      <c r="B50" s="4"/>
      <c r="C50" s="4"/>
      <c r="D50" s="4"/>
      <c r="E50" s="4"/>
    </row>
    <row r="51" spans="1:5" ht="15.75" customHeight="1" x14ac:dyDescent="0.25">
      <c r="A51" s="4"/>
      <c r="B51" s="4"/>
      <c r="C51" s="4"/>
      <c r="D51" s="4"/>
      <c r="E51" s="4"/>
    </row>
    <row r="52" spans="1:5" ht="15.75" customHeight="1" x14ac:dyDescent="0.25">
      <c r="A52" s="4"/>
      <c r="B52" s="4"/>
      <c r="C52" s="4"/>
      <c r="D52" s="4"/>
      <c r="E52" s="4"/>
    </row>
    <row r="53" spans="1:5" ht="15.75" customHeight="1" x14ac:dyDescent="0.25">
      <c r="A53" s="4"/>
      <c r="B53" s="4"/>
      <c r="C53" s="4"/>
      <c r="D53" s="4"/>
      <c r="E53" s="4"/>
    </row>
    <row r="54" spans="1:5" ht="15.75" customHeight="1" x14ac:dyDescent="0.25">
      <c r="A54" s="4"/>
      <c r="B54" s="4"/>
      <c r="C54" s="4"/>
      <c r="D54" s="4"/>
      <c r="E54" s="4"/>
    </row>
    <row r="55" spans="1:5" ht="15.75" customHeight="1" x14ac:dyDescent="0.25">
      <c r="A55" s="4"/>
      <c r="B55" s="4"/>
      <c r="C55" s="4"/>
      <c r="D55" s="4"/>
      <c r="E55" s="4"/>
    </row>
    <row r="56" spans="1:5" ht="15.75" customHeight="1" x14ac:dyDescent="0.25">
      <c r="A56" s="4"/>
      <c r="B56" s="4"/>
      <c r="C56" s="4"/>
      <c r="D56" s="4"/>
      <c r="E56" s="4"/>
    </row>
    <row r="57" spans="1:5" ht="15.75" customHeight="1" x14ac:dyDescent="0.25">
      <c r="A57" s="4"/>
      <c r="B57" s="4"/>
      <c r="C57" s="4"/>
      <c r="D57" s="4"/>
      <c r="E57" s="4"/>
    </row>
    <row r="58" spans="1:5" ht="15.75" customHeight="1" x14ac:dyDescent="0.25">
      <c r="A58" s="4"/>
      <c r="B58" s="4"/>
      <c r="C58" s="4"/>
      <c r="D58" s="4"/>
      <c r="E58" s="4"/>
    </row>
    <row r="59" spans="1:5" ht="15.75" customHeight="1" x14ac:dyDescent="0.25">
      <c r="A59" s="4"/>
      <c r="B59" s="4"/>
      <c r="C59" s="4"/>
      <c r="D59" s="4"/>
      <c r="E59" s="4"/>
    </row>
    <row r="60" spans="1:5" ht="15.75" customHeight="1" x14ac:dyDescent="0.25">
      <c r="A60" s="4"/>
      <c r="B60" s="4"/>
      <c r="C60" s="4"/>
      <c r="D60" s="4"/>
      <c r="E60" s="4"/>
    </row>
    <row r="61" spans="1:5" ht="15.75" customHeight="1" x14ac:dyDescent="0.25">
      <c r="A61" s="4"/>
      <c r="B61" s="4"/>
      <c r="C61" s="4"/>
      <c r="D61" s="4"/>
      <c r="E61" s="4"/>
    </row>
    <row r="62" spans="1:5" ht="15.75" customHeight="1" x14ac:dyDescent="0.25">
      <c r="A62" s="4"/>
      <c r="B62" s="4"/>
      <c r="C62" s="4"/>
      <c r="D62" s="4"/>
      <c r="E62" s="4"/>
    </row>
    <row r="63" spans="1:5" ht="15.75" customHeight="1" x14ac:dyDescent="0.25">
      <c r="A63" s="4"/>
      <c r="B63" s="4"/>
      <c r="C63" s="4"/>
      <c r="D63" s="4"/>
      <c r="E63" s="4"/>
    </row>
    <row r="64" spans="1:5" ht="15.75" customHeight="1" x14ac:dyDescent="0.25">
      <c r="A64" s="4"/>
      <c r="B64" s="4"/>
      <c r="C64" s="4"/>
      <c r="D64" s="4"/>
      <c r="E64" s="4"/>
    </row>
    <row r="65" spans="1:5" ht="15.75" customHeight="1" x14ac:dyDescent="0.25">
      <c r="A65" s="4"/>
      <c r="B65" s="4"/>
      <c r="C65" s="4"/>
      <c r="D65" s="4"/>
      <c r="E65" s="4"/>
    </row>
    <row r="66" spans="1:5" ht="15.75" customHeight="1" x14ac:dyDescent="0.25">
      <c r="A66" s="4"/>
      <c r="B66" s="4"/>
      <c r="C66" s="4"/>
      <c r="D66" s="4"/>
      <c r="E66" s="4"/>
    </row>
    <row r="67" spans="1:5" ht="15.75" customHeight="1" x14ac:dyDescent="0.25">
      <c r="A67" s="4"/>
      <c r="B67" s="4"/>
      <c r="C67" s="4"/>
      <c r="D67" s="4"/>
      <c r="E67" s="4"/>
    </row>
    <row r="68" spans="1:5" ht="15.75" customHeight="1" x14ac:dyDescent="0.25">
      <c r="A68" s="4"/>
      <c r="B68" s="4"/>
      <c r="C68" s="4"/>
      <c r="D68" s="4"/>
      <c r="E68" s="4"/>
    </row>
    <row r="69" spans="1:5" ht="15.75" customHeight="1" x14ac:dyDescent="0.25">
      <c r="A69" s="4"/>
      <c r="B69" s="4"/>
      <c r="C69" s="4"/>
      <c r="D69" s="4"/>
      <c r="E69" s="4"/>
    </row>
    <row r="70" spans="1:5" ht="15.75" customHeight="1" x14ac:dyDescent="0.25">
      <c r="A70" s="4"/>
      <c r="B70" s="4"/>
      <c r="C70" s="4"/>
      <c r="D70" s="4"/>
      <c r="E70" s="4"/>
    </row>
    <row r="71" spans="1:5" ht="15.75" customHeight="1" x14ac:dyDescent="0.25">
      <c r="A71" s="4"/>
      <c r="B71" s="4"/>
      <c r="C71" s="4"/>
      <c r="D71" s="4"/>
      <c r="E71" s="4"/>
    </row>
    <row r="72" spans="1:5" ht="15.75" customHeight="1" x14ac:dyDescent="0.25">
      <c r="A72" s="4"/>
      <c r="B72" s="4"/>
      <c r="C72" s="4"/>
      <c r="D72" s="4"/>
      <c r="E72" s="4"/>
    </row>
    <row r="73" spans="1:5" ht="15.75" customHeight="1" x14ac:dyDescent="0.25">
      <c r="A73" s="4"/>
      <c r="B73" s="4"/>
      <c r="C73" s="4"/>
      <c r="D73" s="4"/>
      <c r="E73" s="4"/>
    </row>
    <row r="74" spans="1:5" ht="15.75" customHeight="1" x14ac:dyDescent="0.25">
      <c r="A74" s="4"/>
      <c r="B74" s="4"/>
      <c r="C74" s="4"/>
      <c r="D74" s="4"/>
      <c r="E74" s="4"/>
    </row>
    <row r="75" spans="1:5" ht="15.75" customHeight="1" x14ac:dyDescent="0.25">
      <c r="A75" s="4"/>
      <c r="B75" s="4"/>
      <c r="C75" s="4"/>
      <c r="D75" s="4"/>
      <c r="E75" s="4"/>
    </row>
    <row r="76" spans="1:5" ht="15.75" customHeight="1" x14ac:dyDescent="0.25">
      <c r="A76" s="4"/>
      <c r="B76" s="4"/>
      <c r="C76" s="4"/>
      <c r="D76" s="4"/>
      <c r="E76" s="4"/>
    </row>
    <row r="77" spans="1:5" ht="15.75" customHeight="1" x14ac:dyDescent="0.25">
      <c r="A77" s="4"/>
      <c r="B77" s="4"/>
      <c r="C77" s="4"/>
      <c r="D77" s="4"/>
      <c r="E77" s="4"/>
    </row>
    <row r="78" spans="1:5" ht="15.75" customHeight="1" x14ac:dyDescent="0.25">
      <c r="A78" s="4"/>
      <c r="B78" s="4"/>
      <c r="C78" s="4"/>
      <c r="D78" s="4"/>
      <c r="E78" s="4"/>
    </row>
    <row r="79" spans="1:5" ht="15.75" customHeight="1" x14ac:dyDescent="0.25">
      <c r="A79" s="4"/>
      <c r="B79" s="4"/>
      <c r="C79" s="4"/>
      <c r="D79" s="4"/>
      <c r="E79" s="4"/>
    </row>
    <row r="80" spans="1:5" ht="15.75" customHeight="1" x14ac:dyDescent="0.25">
      <c r="A80" s="4"/>
      <c r="B80" s="4"/>
      <c r="C80" s="4"/>
      <c r="D80" s="4"/>
      <c r="E80" s="4"/>
    </row>
    <row r="81" spans="1:5" ht="15.75" customHeight="1" x14ac:dyDescent="0.25">
      <c r="A81" s="4"/>
      <c r="B81" s="4"/>
      <c r="C81" s="4"/>
      <c r="D81" s="4"/>
      <c r="E81" s="4"/>
    </row>
    <row r="82" spans="1:5" ht="15.75" customHeight="1" x14ac:dyDescent="0.25">
      <c r="A82" s="4"/>
      <c r="B82" s="4"/>
      <c r="C82" s="4"/>
      <c r="D82" s="4"/>
      <c r="E82" s="4"/>
    </row>
    <row r="83" spans="1:5" ht="15.75" customHeight="1" x14ac:dyDescent="0.25">
      <c r="A83" s="4"/>
      <c r="B83" s="4"/>
      <c r="C83" s="4"/>
      <c r="D83" s="4"/>
      <c r="E83" s="4"/>
    </row>
    <row r="84" spans="1:5" ht="15.75" customHeight="1" x14ac:dyDescent="0.25">
      <c r="A84" s="4"/>
      <c r="B84" s="4"/>
      <c r="C84" s="4"/>
      <c r="D84" s="4"/>
      <c r="E84" s="4"/>
    </row>
    <row r="85" spans="1:5" ht="15.75" customHeight="1" x14ac:dyDescent="0.25">
      <c r="A85" s="4"/>
      <c r="B85" s="4"/>
      <c r="C85" s="4"/>
      <c r="D85" s="4"/>
      <c r="E85" s="4"/>
    </row>
    <row r="86" spans="1:5" ht="15.75" customHeight="1" x14ac:dyDescent="0.25">
      <c r="A86" s="4"/>
      <c r="B86" s="4"/>
      <c r="C86" s="4"/>
      <c r="D86" s="4"/>
      <c r="E86" s="4"/>
    </row>
    <row r="87" spans="1:5" ht="15.75" customHeight="1" x14ac:dyDescent="0.25">
      <c r="A87" s="4"/>
      <c r="B87" s="4"/>
      <c r="C87" s="4"/>
      <c r="D87" s="4"/>
      <c r="E87" s="4"/>
    </row>
    <row r="88" spans="1:5" ht="15.75" customHeight="1" x14ac:dyDescent="0.25">
      <c r="A88" s="4"/>
      <c r="B88" s="4"/>
      <c r="C88" s="4"/>
      <c r="D88" s="4"/>
      <c r="E88" s="4"/>
    </row>
    <row r="89" spans="1:5" ht="15.75" customHeight="1" x14ac:dyDescent="0.25">
      <c r="A89" s="4"/>
      <c r="B89" s="4"/>
      <c r="C89" s="4"/>
      <c r="D89" s="4"/>
      <c r="E89" s="4"/>
    </row>
    <row r="90" spans="1:5" ht="15.75" customHeight="1" x14ac:dyDescent="0.25">
      <c r="A90" s="4"/>
      <c r="B90" s="4"/>
      <c r="C90" s="4"/>
      <c r="D90" s="4"/>
      <c r="E90" s="4"/>
    </row>
    <row r="91" spans="1:5" ht="15.75" customHeight="1" x14ac:dyDescent="0.25">
      <c r="A91" s="4"/>
      <c r="B91" s="4"/>
      <c r="C91" s="4"/>
      <c r="D91" s="4"/>
      <c r="E91" s="4"/>
    </row>
    <row r="92" spans="1:5" ht="15.75" customHeight="1" x14ac:dyDescent="0.25">
      <c r="A92" s="4"/>
      <c r="B92" s="4"/>
      <c r="C92" s="4"/>
      <c r="D92" s="4"/>
      <c r="E92" s="4"/>
    </row>
    <row r="93" spans="1:5" ht="15.75" customHeight="1" x14ac:dyDescent="0.25">
      <c r="A93" s="4"/>
      <c r="B93" s="4"/>
      <c r="C93" s="4"/>
      <c r="D93" s="4"/>
      <c r="E93" s="4"/>
    </row>
    <row r="94" spans="1:5" ht="15.75" customHeight="1" x14ac:dyDescent="0.25">
      <c r="A94" s="4"/>
      <c r="B94" s="4"/>
      <c r="C94" s="4"/>
      <c r="D94" s="4"/>
      <c r="E94" s="4"/>
    </row>
    <row r="95" spans="1:5" ht="15.75" customHeight="1" x14ac:dyDescent="0.25">
      <c r="A95" s="4"/>
      <c r="B95" s="4"/>
      <c r="C95" s="4"/>
      <c r="D95" s="4"/>
      <c r="E95" s="4"/>
    </row>
    <row r="96" spans="1:5" ht="15.75" customHeight="1" x14ac:dyDescent="0.25">
      <c r="A96" s="4"/>
      <c r="B96" s="4"/>
      <c r="C96" s="4"/>
      <c r="D96" s="4"/>
      <c r="E96" s="4"/>
    </row>
    <row r="97" spans="1:5" ht="15.75" customHeight="1" x14ac:dyDescent="0.25">
      <c r="A97" s="4"/>
      <c r="B97" s="4"/>
      <c r="C97" s="4"/>
      <c r="D97" s="4"/>
      <c r="E97" s="4"/>
    </row>
    <row r="98" spans="1:5" ht="15.75" customHeight="1" x14ac:dyDescent="0.25">
      <c r="A98" s="4"/>
      <c r="B98" s="4"/>
      <c r="C98" s="4"/>
      <c r="D98" s="4"/>
      <c r="E98" s="4"/>
    </row>
    <row r="99" spans="1:5" ht="15.75" customHeight="1" x14ac:dyDescent="0.25">
      <c r="A99" s="4"/>
      <c r="B99" s="4"/>
      <c r="C99" s="4"/>
      <c r="D99" s="4"/>
      <c r="E99" s="4"/>
    </row>
    <row r="100" spans="1:5" ht="15.75" customHeight="1" x14ac:dyDescent="0.25">
      <c r="A100" s="4"/>
      <c r="B100" s="4"/>
      <c r="C100" s="4"/>
      <c r="D100" s="4"/>
      <c r="E100" s="4"/>
    </row>
    <row r="101" spans="1:5" ht="15.75" customHeight="1" x14ac:dyDescent="0.25">
      <c r="A101" s="4"/>
      <c r="B101" s="4"/>
      <c r="C101" s="4"/>
      <c r="D101" s="4"/>
      <c r="E101" s="4"/>
    </row>
    <row r="102" spans="1:5" ht="15.75" customHeight="1" x14ac:dyDescent="0.25">
      <c r="A102" s="4"/>
      <c r="B102" s="4"/>
      <c r="C102" s="4"/>
      <c r="D102" s="4"/>
      <c r="E102" s="4"/>
    </row>
    <row r="103" spans="1:5" ht="15.75" customHeight="1" x14ac:dyDescent="0.25">
      <c r="A103" s="4"/>
      <c r="B103" s="4"/>
      <c r="C103" s="4"/>
      <c r="D103" s="4"/>
      <c r="E103" s="4"/>
    </row>
    <row r="104" spans="1:5" ht="15.75" customHeight="1" x14ac:dyDescent="0.25">
      <c r="A104" s="4"/>
      <c r="B104" s="4"/>
      <c r="C104" s="4"/>
      <c r="D104" s="4"/>
      <c r="E104" s="4"/>
    </row>
    <row r="105" spans="1:5" ht="15.75" customHeight="1" x14ac:dyDescent="0.25">
      <c r="A105" s="4"/>
      <c r="B105" s="4"/>
      <c r="C105" s="4"/>
      <c r="D105" s="4"/>
      <c r="E105" s="4"/>
    </row>
    <row r="106" spans="1:5" ht="15.75" customHeight="1" x14ac:dyDescent="0.25">
      <c r="A106" s="4"/>
      <c r="B106" s="4"/>
      <c r="C106" s="4"/>
      <c r="D106" s="4"/>
      <c r="E106" s="4"/>
    </row>
    <row r="107" spans="1:5" ht="15.75" customHeight="1" x14ac:dyDescent="0.25">
      <c r="A107" s="4"/>
      <c r="B107" s="4"/>
      <c r="C107" s="4"/>
      <c r="D107" s="4"/>
      <c r="E107" s="4"/>
    </row>
    <row r="108" spans="1:5" ht="15.75" customHeight="1" x14ac:dyDescent="0.25">
      <c r="A108" s="4"/>
      <c r="B108" s="4"/>
      <c r="C108" s="4"/>
      <c r="D108" s="4"/>
      <c r="E108" s="4"/>
    </row>
    <row r="109" spans="1:5" ht="15.75" customHeight="1" x14ac:dyDescent="0.25">
      <c r="A109" s="4"/>
      <c r="B109" s="4"/>
      <c r="C109" s="4"/>
      <c r="D109" s="4"/>
      <c r="E109" s="4"/>
    </row>
    <row r="110" spans="1:5" ht="15.75" customHeight="1" x14ac:dyDescent="0.25">
      <c r="A110" s="4"/>
      <c r="B110" s="4"/>
      <c r="C110" s="4"/>
      <c r="D110" s="4"/>
      <c r="E110" s="4"/>
    </row>
    <row r="111" spans="1:5" ht="15.75" customHeight="1" x14ac:dyDescent="0.25">
      <c r="A111" s="4"/>
      <c r="B111" s="4"/>
      <c r="C111" s="4"/>
      <c r="D111" s="4"/>
      <c r="E111" s="4"/>
    </row>
    <row r="112" spans="1:5" ht="15.75" customHeight="1" x14ac:dyDescent="0.25">
      <c r="A112" s="4"/>
      <c r="B112" s="4"/>
      <c r="C112" s="4"/>
      <c r="D112" s="4"/>
      <c r="E112" s="4"/>
    </row>
    <row r="113" spans="1:5" ht="15.75" customHeight="1" x14ac:dyDescent="0.25">
      <c r="A113" s="4"/>
      <c r="B113" s="4"/>
      <c r="C113" s="4"/>
      <c r="D113" s="4"/>
      <c r="E113" s="4"/>
    </row>
    <row r="114" spans="1:5" ht="15.75" customHeight="1" x14ac:dyDescent="0.25">
      <c r="A114" s="4"/>
      <c r="B114" s="4"/>
      <c r="C114" s="4"/>
      <c r="D114" s="4"/>
      <c r="E114" s="4"/>
    </row>
    <row r="115" spans="1:5" ht="15.75" customHeight="1" x14ac:dyDescent="0.25">
      <c r="A115" s="4"/>
      <c r="B115" s="4"/>
      <c r="C115" s="4"/>
      <c r="D115" s="4"/>
      <c r="E115" s="4"/>
    </row>
    <row r="116" spans="1:5" ht="15.75" customHeight="1" x14ac:dyDescent="0.25">
      <c r="A116" s="4"/>
      <c r="B116" s="4"/>
      <c r="C116" s="4"/>
      <c r="D116" s="4"/>
      <c r="E116" s="4"/>
    </row>
    <row r="117" spans="1:5" ht="15.75" customHeight="1" x14ac:dyDescent="0.25">
      <c r="A117" s="4"/>
      <c r="B117" s="4"/>
      <c r="C117" s="4"/>
      <c r="D117" s="4"/>
      <c r="E117" s="4"/>
    </row>
    <row r="118" spans="1:5" ht="15.75" customHeight="1" x14ac:dyDescent="0.25">
      <c r="A118" s="4"/>
      <c r="B118" s="4"/>
      <c r="C118" s="4"/>
      <c r="D118" s="4"/>
      <c r="E118" s="4"/>
    </row>
    <row r="119" spans="1:5" ht="15.75" customHeight="1" x14ac:dyDescent="0.25">
      <c r="A119" s="4"/>
      <c r="B119" s="4"/>
      <c r="C119" s="4"/>
      <c r="D119" s="4"/>
      <c r="E119" s="4"/>
    </row>
    <row r="120" spans="1:5" ht="15.75" customHeight="1" x14ac:dyDescent="0.25">
      <c r="A120" s="4"/>
      <c r="B120" s="4"/>
      <c r="C120" s="4"/>
      <c r="D120" s="4"/>
      <c r="E120" s="4"/>
    </row>
    <row r="121" spans="1:5" ht="15.75" customHeight="1" x14ac:dyDescent="0.25">
      <c r="A121" s="4"/>
      <c r="B121" s="4"/>
      <c r="C121" s="4"/>
      <c r="D121" s="4"/>
      <c r="E121" s="4"/>
    </row>
    <row r="122" spans="1:5" ht="15.75" customHeight="1" x14ac:dyDescent="0.25">
      <c r="A122" s="4"/>
      <c r="B122" s="4"/>
      <c r="C122" s="4"/>
      <c r="D122" s="4"/>
      <c r="E122" s="4"/>
    </row>
    <row r="123" spans="1:5" ht="15.75" customHeight="1" x14ac:dyDescent="0.25">
      <c r="A123" s="4"/>
      <c r="B123" s="4"/>
      <c r="C123" s="4"/>
      <c r="D123" s="4"/>
      <c r="E123" s="4"/>
    </row>
    <row r="124" spans="1:5" ht="15.75" customHeight="1" x14ac:dyDescent="0.25">
      <c r="A124" s="4"/>
      <c r="B124" s="4"/>
      <c r="C124" s="4"/>
      <c r="D124" s="4"/>
      <c r="E124" s="4"/>
    </row>
    <row r="125" spans="1:5" ht="15.75" customHeight="1" x14ac:dyDescent="0.25">
      <c r="A125" s="4"/>
      <c r="B125" s="4"/>
      <c r="C125" s="4"/>
      <c r="D125" s="4"/>
      <c r="E125" s="4"/>
    </row>
    <row r="126" spans="1:5" ht="15.75" customHeight="1" x14ac:dyDescent="0.25">
      <c r="A126" s="4"/>
      <c r="B126" s="4"/>
      <c r="C126" s="4"/>
      <c r="D126" s="4"/>
      <c r="E126" s="4"/>
    </row>
    <row r="127" spans="1:5" ht="15.75" customHeight="1" x14ac:dyDescent="0.25">
      <c r="A127" s="4"/>
      <c r="B127" s="4"/>
      <c r="C127" s="4"/>
      <c r="D127" s="4"/>
      <c r="E127" s="4"/>
    </row>
    <row r="128" spans="1:5" ht="15.75" customHeight="1" x14ac:dyDescent="0.25">
      <c r="A128" s="4"/>
      <c r="B128" s="4"/>
      <c r="C128" s="4"/>
      <c r="D128" s="4"/>
      <c r="E128" s="4"/>
    </row>
    <row r="129" spans="1:5" ht="15.75" customHeight="1" x14ac:dyDescent="0.25">
      <c r="A129" s="4"/>
      <c r="B129" s="4"/>
      <c r="C129" s="4"/>
      <c r="D129" s="4"/>
      <c r="E129" s="4"/>
    </row>
    <row r="130" spans="1:5" ht="15.75" customHeight="1" x14ac:dyDescent="0.25">
      <c r="A130" s="4"/>
      <c r="B130" s="4"/>
      <c r="C130" s="4"/>
      <c r="D130" s="4"/>
      <c r="E130" s="4"/>
    </row>
    <row r="131" spans="1:5" ht="15.75" customHeight="1" x14ac:dyDescent="0.25">
      <c r="A131" s="4"/>
      <c r="B131" s="4"/>
      <c r="C131" s="4"/>
      <c r="D131" s="4"/>
      <c r="E131" s="4"/>
    </row>
    <row r="132" spans="1:5" ht="15.75" customHeight="1" x14ac:dyDescent="0.25">
      <c r="A132" s="4"/>
      <c r="B132" s="4"/>
      <c r="C132" s="4"/>
      <c r="D132" s="4"/>
      <c r="E132" s="4"/>
    </row>
    <row r="133" spans="1:5" ht="15.75" customHeight="1" x14ac:dyDescent="0.25">
      <c r="A133" s="4"/>
      <c r="B133" s="4"/>
      <c r="C133" s="4"/>
      <c r="D133" s="4"/>
      <c r="E133" s="4"/>
    </row>
    <row r="134" spans="1:5" ht="15.75" customHeight="1" x14ac:dyDescent="0.25">
      <c r="A134" s="4"/>
      <c r="B134" s="4"/>
      <c r="C134" s="4"/>
      <c r="D134" s="4"/>
      <c r="E134" s="4"/>
    </row>
    <row r="135" spans="1:5" ht="15.75" customHeight="1" x14ac:dyDescent="0.25">
      <c r="A135" s="4"/>
      <c r="B135" s="4"/>
      <c r="C135" s="4"/>
      <c r="D135" s="4"/>
      <c r="E135" s="4"/>
    </row>
    <row r="136" spans="1:5" ht="15.75" customHeight="1" x14ac:dyDescent="0.25">
      <c r="A136" s="4"/>
      <c r="B136" s="4"/>
      <c r="C136" s="4"/>
      <c r="D136" s="4"/>
      <c r="E136" s="4"/>
    </row>
    <row r="137" spans="1:5" ht="15.75" customHeight="1" x14ac:dyDescent="0.25">
      <c r="A137" s="4"/>
      <c r="B137" s="4"/>
      <c r="C137" s="4"/>
      <c r="D137" s="4"/>
      <c r="E137" s="4"/>
    </row>
    <row r="138" spans="1:5" ht="15.75" customHeight="1" x14ac:dyDescent="0.25">
      <c r="A138" s="4"/>
      <c r="B138" s="4"/>
      <c r="C138" s="4"/>
      <c r="D138" s="4"/>
      <c r="E138" s="4"/>
    </row>
    <row r="139" spans="1:5" ht="15.75" customHeight="1" x14ac:dyDescent="0.25">
      <c r="A139" s="4"/>
      <c r="B139" s="4"/>
      <c r="C139" s="4"/>
      <c r="D139" s="4"/>
      <c r="E139" s="4"/>
    </row>
    <row r="140" spans="1:5" ht="15.75" customHeight="1" x14ac:dyDescent="0.25">
      <c r="A140" s="4"/>
      <c r="B140" s="4"/>
      <c r="C140" s="4"/>
      <c r="D140" s="4"/>
      <c r="E140" s="4"/>
    </row>
    <row r="141" spans="1:5" ht="15.75" customHeight="1" x14ac:dyDescent="0.25">
      <c r="A141" s="4"/>
      <c r="B141" s="4"/>
      <c r="C141" s="4"/>
      <c r="D141" s="4"/>
      <c r="E141" s="4"/>
    </row>
    <row r="142" spans="1:5" ht="15.75" customHeight="1" x14ac:dyDescent="0.25">
      <c r="A142" s="4"/>
      <c r="B142" s="4"/>
      <c r="C142" s="4"/>
      <c r="D142" s="4"/>
      <c r="E142" s="4"/>
    </row>
    <row r="143" spans="1:5" ht="15.75" customHeight="1" x14ac:dyDescent="0.25">
      <c r="A143" s="4"/>
      <c r="B143" s="4"/>
      <c r="C143" s="4"/>
      <c r="D143" s="4"/>
      <c r="E143" s="4"/>
    </row>
    <row r="144" spans="1:5" ht="15.75" customHeight="1" x14ac:dyDescent="0.25">
      <c r="A144" s="4"/>
      <c r="B144" s="4"/>
      <c r="C144" s="4"/>
      <c r="D144" s="4"/>
      <c r="E144" s="4"/>
    </row>
    <row r="145" spans="1:5" ht="15.75" customHeight="1" x14ac:dyDescent="0.25">
      <c r="A145" s="4"/>
      <c r="B145" s="4"/>
      <c r="C145" s="4"/>
      <c r="D145" s="4"/>
      <c r="E145" s="4"/>
    </row>
    <row r="146" spans="1:5" ht="15.75" customHeight="1" x14ac:dyDescent="0.25">
      <c r="A146" s="4"/>
      <c r="B146" s="4"/>
      <c r="C146" s="4"/>
      <c r="D146" s="4"/>
      <c r="E146" s="4"/>
    </row>
    <row r="147" spans="1:5" ht="15.75" customHeight="1" x14ac:dyDescent="0.25">
      <c r="A147" s="4"/>
      <c r="B147" s="4"/>
      <c r="C147" s="4"/>
      <c r="D147" s="4"/>
      <c r="E147" s="4"/>
    </row>
    <row r="148" spans="1:5" ht="15.75" customHeight="1" x14ac:dyDescent="0.25">
      <c r="A148" s="4"/>
      <c r="B148" s="4"/>
      <c r="C148" s="4"/>
      <c r="D148" s="4"/>
      <c r="E148" s="4"/>
    </row>
    <row r="149" spans="1:5" ht="15.75" customHeight="1" x14ac:dyDescent="0.25">
      <c r="A149" s="4"/>
      <c r="B149" s="4"/>
      <c r="C149" s="4"/>
      <c r="D149" s="4"/>
      <c r="E149" s="4"/>
    </row>
    <row r="150" spans="1:5" ht="15.75" customHeight="1" x14ac:dyDescent="0.25">
      <c r="A150" s="4"/>
      <c r="B150" s="4"/>
      <c r="C150" s="4"/>
      <c r="D150" s="4"/>
      <c r="E150" s="4"/>
    </row>
    <row r="151" spans="1:5" ht="15.75" customHeight="1" x14ac:dyDescent="0.25">
      <c r="A151" s="4"/>
      <c r="B151" s="4"/>
      <c r="C151" s="4"/>
      <c r="D151" s="4"/>
      <c r="E151" s="4"/>
    </row>
    <row r="152" spans="1:5" ht="15.75" customHeight="1" x14ac:dyDescent="0.25">
      <c r="A152" s="4"/>
      <c r="B152" s="4"/>
      <c r="C152" s="4"/>
      <c r="D152" s="4"/>
      <c r="E152" s="4"/>
    </row>
    <row r="153" spans="1:5" ht="15.75" customHeight="1" x14ac:dyDescent="0.25">
      <c r="A153" s="4"/>
      <c r="B153" s="4"/>
      <c r="C153" s="4"/>
      <c r="D153" s="4"/>
      <c r="E153" s="4"/>
    </row>
    <row r="154" spans="1:5" ht="15.75" customHeight="1" x14ac:dyDescent="0.25">
      <c r="A154" s="4"/>
      <c r="B154" s="4"/>
      <c r="C154" s="4"/>
      <c r="D154" s="4"/>
      <c r="E154" s="4"/>
    </row>
    <row r="155" spans="1:5" ht="15.75" customHeight="1" x14ac:dyDescent="0.25">
      <c r="A155" s="4"/>
      <c r="B155" s="4"/>
      <c r="C155" s="4"/>
      <c r="D155" s="4"/>
      <c r="E155" s="4"/>
    </row>
    <row r="156" spans="1:5" ht="15.75" customHeight="1" x14ac:dyDescent="0.25">
      <c r="A156" s="4"/>
      <c r="B156" s="4"/>
      <c r="C156" s="4"/>
      <c r="D156" s="4"/>
      <c r="E156" s="4"/>
    </row>
    <row r="157" spans="1:5" ht="15.75" customHeight="1" x14ac:dyDescent="0.25">
      <c r="A157" s="4"/>
      <c r="B157" s="4"/>
      <c r="C157" s="4"/>
      <c r="D157" s="4"/>
      <c r="E157" s="4"/>
    </row>
    <row r="158" spans="1:5" ht="15.75" customHeight="1" x14ac:dyDescent="0.25">
      <c r="A158" s="4"/>
      <c r="B158" s="4"/>
      <c r="C158" s="4"/>
      <c r="D158" s="4"/>
      <c r="E158" s="4"/>
    </row>
    <row r="159" spans="1:5" ht="15.75" customHeight="1" x14ac:dyDescent="0.25">
      <c r="A159" s="4"/>
      <c r="B159" s="4"/>
      <c r="C159" s="4"/>
      <c r="D159" s="4"/>
      <c r="E159" s="4"/>
    </row>
    <row r="160" spans="1:5" ht="15.75" customHeight="1" x14ac:dyDescent="0.25">
      <c r="A160" s="4"/>
      <c r="B160" s="4"/>
      <c r="C160" s="4"/>
      <c r="D160" s="4"/>
      <c r="E160" s="4"/>
    </row>
    <row r="161" spans="1:5" ht="15.75" customHeight="1" x14ac:dyDescent="0.25">
      <c r="A161" s="4"/>
      <c r="B161" s="4"/>
      <c r="C161" s="4"/>
      <c r="D161" s="4"/>
      <c r="E161" s="4"/>
    </row>
    <row r="162" spans="1:5" ht="15.75" customHeight="1" x14ac:dyDescent="0.25">
      <c r="A162" s="4"/>
      <c r="B162" s="4"/>
      <c r="C162" s="4"/>
      <c r="D162" s="4"/>
      <c r="E162" s="4"/>
    </row>
    <row r="163" spans="1:5" ht="15.75" customHeight="1" x14ac:dyDescent="0.25">
      <c r="A163" s="4"/>
      <c r="B163" s="4"/>
      <c r="C163" s="4"/>
      <c r="D163" s="4"/>
      <c r="E163" s="4"/>
    </row>
    <row r="164" spans="1:5" ht="15.75" customHeight="1" x14ac:dyDescent="0.25">
      <c r="A164" s="4"/>
      <c r="B164" s="4"/>
      <c r="C164" s="4"/>
      <c r="D164" s="4"/>
      <c r="E164" s="4"/>
    </row>
    <row r="165" spans="1:5" ht="15.75" customHeight="1" x14ac:dyDescent="0.25">
      <c r="A165" s="4"/>
      <c r="B165" s="4"/>
      <c r="C165" s="4"/>
      <c r="D165" s="4"/>
      <c r="E165" s="4"/>
    </row>
    <row r="166" spans="1:5" ht="15.75" customHeight="1" x14ac:dyDescent="0.25">
      <c r="A166" s="4"/>
      <c r="B166" s="4"/>
      <c r="C166" s="4"/>
      <c r="D166" s="4"/>
      <c r="E166" s="4"/>
    </row>
    <row r="167" spans="1:5" ht="15.75" customHeight="1" x14ac:dyDescent="0.25">
      <c r="A167" s="4"/>
      <c r="B167" s="4"/>
      <c r="C167" s="4"/>
      <c r="D167" s="4"/>
      <c r="E167" s="4"/>
    </row>
    <row r="168" spans="1:5" ht="15.75" customHeight="1" x14ac:dyDescent="0.25">
      <c r="A168" s="4"/>
      <c r="B168" s="4"/>
      <c r="C168" s="4"/>
      <c r="D168" s="4"/>
      <c r="E168" s="4"/>
    </row>
    <row r="169" spans="1:5" ht="15.75" customHeight="1" x14ac:dyDescent="0.25">
      <c r="A169" s="4"/>
      <c r="B169" s="4"/>
      <c r="C169" s="4"/>
      <c r="D169" s="4"/>
      <c r="E169" s="4"/>
    </row>
    <row r="170" spans="1:5" ht="15.75" customHeight="1" x14ac:dyDescent="0.25">
      <c r="A170" s="4"/>
      <c r="B170" s="4"/>
      <c r="C170" s="4"/>
      <c r="D170" s="4"/>
      <c r="E170" s="4"/>
    </row>
    <row r="171" spans="1:5" ht="15.75" customHeight="1" x14ac:dyDescent="0.25">
      <c r="A171" s="4"/>
      <c r="B171" s="4"/>
      <c r="C171" s="4"/>
      <c r="D171" s="4"/>
      <c r="E171" s="4"/>
    </row>
    <row r="172" spans="1:5" ht="15.75" customHeight="1" x14ac:dyDescent="0.25">
      <c r="A172" s="4"/>
      <c r="B172" s="4"/>
      <c r="C172" s="4"/>
      <c r="D172" s="4"/>
      <c r="E172" s="4"/>
    </row>
    <row r="173" spans="1:5" ht="15.75" customHeight="1" x14ac:dyDescent="0.25">
      <c r="A173" s="4"/>
      <c r="B173" s="4"/>
      <c r="C173" s="4"/>
      <c r="D173" s="4"/>
      <c r="E173" s="4"/>
    </row>
    <row r="174" spans="1:5" ht="15.75" customHeight="1" x14ac:dyDescent="0.25">
      <c r="A174" s="4"/>
      <c r="B174" s="4"/>
      <c r="C174" s="4"/>
      <c r="D174" s="4"/>
      <c r="E174" s="4"/>
    </row>
    <row r="175" spans="1:5" ht="15.75" customHeight="1" x14ac:dyDescent="0.25">
      <c r="A175" s="4"/>
      <c r="B175" s="4"/>
      <c r="C175" s="4"/>
      <c r="D175" s="4"/>
      <c r="E175" s="4"/>
    </row>
    <row r="176" spans="1:5" ht="15.75" customHeight="1" x14ac:dyDescent="0.25">
      <c r="A176" s="4"/>
      <c r="B176" s="4"/>
      <c r="C176" s="4"/>
      <c r="D176" s="4"/>
      <c r="E176" s="4"/>
    </row>
    <row r="177" spans="1:5" ht="15.75" customHeight="1" x14ac:dyDescent="0.25">
      <c r="A177" s="4"/>
      <c r="B177" s="4"/>
      <c r="C177" s="4"/>
      <c r="D177" s="4"/>
      <c r="E177" s="4"/>
    </row>
    <row r="178" spans="1:5" ht="15.75" customHeight="1" x14ac:dyDescent="0.25">
      <c r="A178" s="4"/>
      <c r="B178" s="4"/>
      <c r="C178" s="4"/>
      <c r="D178" s="4"/>
      <c r="E178" s="4"/>
    </row>
    <row r="179" spans="1:5" ht="15.75" customHeight="1" x14ac:dyDescent="0.25">
      <c r="A179" s="4"/>
      <c r="B179" s="4"/>
      <c r="C179" s="4"/>
      <c r="D179" s="4"/>
      <c r="E179" s="4"/>
    </row>
    <row r="180" spans="1:5" ht="15.75" customHeight="1" x14ac:dyDescent="0.25">
      <c r="A180" s="4"/>
      <c r="B180" s="4"/>
      <c r="C180" s="4"/>
      <c r="D180" s="4"/>
      <c r="E180" s="4"/>
    </row>
    <row r="181" spans="1:5" ht="15.75" customHeight="1" x14ac:dyDescent="0.25">
      <c r="A181" s="4"/>
      <c r="B181" s="4"/>
      <c r="C181" s="4"/>
      <c r="D181" s="4"/>
      <c r="E181" s="4"/>
    </row>
    <row r="182" spans="1:5" ht="15.75" customHeight="1" x14ac:dyDescent="0.25">
      <c r="A182" s="4"/>
      <c r="B182" s="4"/>
      <c r="C182" s="4"/>
      <c r="D182" s="4"/>
      <c r="E182" s="4"/>
    </row>
    <row r="183" spans="1:5" ht="15.75" customHeight="1" x14ac:dyDescent="0.25">
      <c r="A183" s="4"/>
      <c r="B183" s="4"/>
      <c r="C183" s="4"/>
      <c r="D183" s="4"/>
      <c r="E183" s="4"/>
    </row>
    <row r="184" spans="1:5" ht="15.75" customHeight="1" x14ac:dyDescent="0.25">
      <c r="A184" s="4"/>
      <c r="B184" s="4"/>
      <c r="C184" s="4"/>
      <c r="D184" s="4"/>
      <c r="E184" s="4"/>
    </row>
    <row r="185" spans="1:5" ht="15.75" customHeight="1" x14ac:dyDescent="0.25">
      <c r="A185" s="4"/>
      <c r="B185" s="4"/>
      <c r="C185" s="4"/>
      <c r="D185" s="4"/>
      <c r="E185" s="4"/>
    </row>
    <row r="186" spans="1:5" ht="15.75" customHeight="1" x14ac:dyDescent="0.25">
      <c r="A186" s="4"/>
      <c r="B186" s="4"/>
      <c r="C186" s="4"/>
      <c r="D186" s="4"/>
      <c r="E186" s="4"/>
    </row>
    <row r="187" spans="1:5" ht="15.75" customHeight="1" x14ac:dyDescent="0.25">
      <c r="A187" s="4"/>
      <c r="B187" s="4"/>
      <c r="C187" s="4"/>
      <c r="D187" s="4"/>
      <c r="E187" s="4"/>
    </row>
    <row r="188" spans="1:5" ht="15.75" customHeight="1" x14ac:dyDescent="0.25">
      <c r="A188" s="4"/>
      <c r="B188" s="4"/>
      <c r="C188" s="4"/>
      <c r="D188" s="4"/>
      <c r="E188" s="4"/>
    </row>
    <row r="189" spans="1:5" ht="15.75" customHeight="1" x14ac:dyDescent="0.25">
      <c r="A189" s="4"/>
      <c r="B189" s="4"/>
      <c r="C189" s="4"/>
      <c r="D189" s="4"/>
      <c r="E189" s="4"/>
    </row>
    <row r="190" spans="1:5" ht="15.75" customHeight="1" x14ac:dyDescent="0.25">
      <c r="A190" s="4"/>
      <c r="B190" s="4"/>
      <c r="C190" s="4"/>
      <c r="D190" s="4"/>
      <c r="E190" s="4"/>
    </row>
    <row r="191" spans="1:5" ht="15.75" customHeight="1" x14ac:dyDescent="0.25">
      <c r="A191" s="4"/>
      <c r="B191" s="4"/>
      <c r="C191" s="4"/>
      <c r="D191" s="4"/>
      <c r="E191" s="4"/>
    </row>
    <row r="192" spans="1:5" ht="15.75" customHeight="1" x14ac:dyDescent="0.25">
      <c r="A192" s="4"/>
      <c r="B192" s="4"/>
      <c r="C192" s="4"/>
      <c r="D192" s="4"/>
      <c r="E192" s="4"/>
    </row>
    <row r="193" spans="1:5" ht="15.75" customHeight="1" x14ac:dyDescent="0.25">
      <c r="A193" s="4"/>
      <c r="B193" s="4"/>
      <c r="C193" s="4"/>
      <c r="D193" s="4"/>
      <c r="E193" s="4"/>
    </row>
    <row r="194" spans="1:5" ht="15.75" customHeight="1" x14ac:dyDescent="0.25">
      <c r="A194" s="4"/>
      <c r="B194" s="4"/>
      <c r="C194" s="4"/>
      <c r="D194" s="4"/>
      <c r="E194" s="4"/>
    </row>
    <row r="195" spans="1:5" ht="15.75" customHeight="1" x14ac:dyDescent="0.25">
      <c r="A195" s="4"/>
      <c r="B195" s="4"/>
      <c r="C195" s="4"/>
      <c r="D195" s="4"/>
      <c r="E195" s="4"/>
    </row>
    <row r="196" spans="1:5" ht="15.75" customHeight="1" x14ac:dyDescent="0.25">
      <c r="A196" s="4"/>
      <c r="B196" s="4"/>
      <c r="C196" s="4"/>
      <c r="D196" s="4"/>
      <c r="E196" s="4"/>
    </row>
    <row r="197" spans="1:5" ht="15.75" customHeight="1" x14ac:dyDescent="0.25">
      <c r="A197" s="4"/>
      <c r="B197" s="4"/>
      <c r="C197" s="4"/>
      <c r="D197" s="4"/>
      <c r="E197" s="4"/>
    </row>
    <row r="198" spans="1:5" ht="15.75" customHeight="1" x14ac:dyDescent="0.25">
      <c r="A198" s="4"/>
      <c r="B198" s="4"/>
      <c r="C198" s="4"/>
      <c r="D198" s="4"/>
      <c r="E198" s="4"/>
    </row>
    <row r="199" spans="1:5" ht="15.75" customHeight="1" x14ac:dyDescent="0.25">
      <c r="A199" s="4"/>
      <c r="B199" s="4"/>
      <c r="C199" s="4"/>
      <c r="D199" s="4"/>
      <c r="E199" s="4"/>
    </row>
    <row r="200" spans="1:5" ht="15.75" customHeight="1" x14ac:dyDescent="0.25">
      <c r="A200" s="4"/>
      <c r="B200" s="4"/>
      <c r="C200" s="4"/>
      <c r="D200" s="4"/>
      <c r="E200" s="4"/>
    </row>
    <row r="201" spans="1:5" ht="15.75" customHeight="1" x14ac:dyDescent="0.25">
      <c r="A201" s="4"/>
      <c r="B201" s="4"/>
      <c r="C201" s="4"/>
      <c r="D201" s="4"/>
      <c r="E201" s="4"/>
    </row>
    <row r="202" spans="1:5" ht="15.75" customHeight="1" x14ac:dyDescent="0.25">
      <c r="A202" s="4"/>
      <c r="B202" s="4"/>
      <c r="C202" s="4"/>
      <c r="D202" s="4"/>
      <c r="E202" s="4"/>
    </row>
    <row r="203" spans="1:5" ht="15.75" customHeight="1" x14ac:dyDescent="0.25">
      <c r="A203" s="4"/>
      <c r="B203" s="4"/>
      <c r="C203" s="4"/>
      <c r="D203" s="4"/>
      <c r="E203" s="4"/>
    </row>
    <row r="204" spans="1:5" ht="15.75" customHeight="1" x14ac:dyDescent="0.25">
      <c r="A204" s="4"/>
      <c r="B204" s="4"/>
      <c r="C204" s="4"/>
      <c r="D204" s="4"/>
      <c r="E204" s="4"/>
    </row>
    <row r="205" spans="1:5" ht="15.75" customHeight="1" x14ac:dyDescent="0.25">
      <c r="A205" s="4"/>
      <c r="B205" s="4"/>
      <c r="C205" s="4"/>
      <c r="D205" s="4"/>
      <c r="E205" s="4"/>
    </row>
    <row r="206" spans="1:5" ht="15.75" customHeight="1" x14ac:dyDescent="0.25">
      <c r="A206" s="4"/>
      <c r="B206" s="4"/>
      <c r="C206" s="4"/>
      <c r="D206" s="4"/>
      <c r="E206" s="4"/>
    </row>
    <row r="207" spans="1:5" ht="15.75" customHeight="1" x14ac:dyDescent="0.25">
      <c r="A207" s="4"/>
      <c r="B207" s="4"/>
      <c r="C207" s="4"/>
      <c r="D207" s="4"/>
      <c r="E207" s="4"/>
    </row>
    <row r="208" spans="1:5" ht="15.75" customHeight="1" x14ac:dyDescent="0.25">
      <c r="A208" s="4"/>
      <c r="B208" s="4"/>
      <c r="C208" s="4"/>
      <c r="D208" s="4"/>
      <c r="E208" s="4"/>
    </row>
    <row r="209" spans="1:5" ht="15.75" customHeight="1" x14ac:dyDescent="0.25">
      <c r="A209" s="4"/>
      <c r="B209" s="4"/>
      <c r="C209" s="4"/>
      <c r="D209" s="4"/>
      <c r="E209" s="4"/>
    </row>
    <row r="210" spans="1:5" ht="15.75" customHeight="1" x14ac:dyDescent="0.25">
      <c r="A210" s="4"/>
      <c r="B210" s="4"/>
      <c r="C210" s="4"/>
      <c r="D210" s="4"/>
      <c r="E210" s="4"/>
    </row>
    <row r="211" spans="1:5" ht="15.75" customHeight="1" x14ac:dyDescent="0.25">
      <c r="A211" s="4"/>
      <c r="B211" s="4"/>
      <c r="C211" s="4"/>
      <c r="D211" s="4"/>
      <c r="E211" s="4"/>
    </row>
    <row r="212" spans="1:5" ht="15.75" customHeight="1" x14ac:dyDescent="0.25">
      <c r="A212" s="4"/>
      <c r="B212" s="4"/>
      <c r="C212" s="4"/>
      <c r="D212" s="4"/>
      <c r="E212" s="4"/>
    </row>
    <row r="213" spans="1:5" ht="15.75" customHeight="1" x14ac:dyDescent="0.25">
      <c r="A213" s="4"/>
      <c r="B213" s="4"/>
      <c r="C213" s="4"/>
      <c r="D213" s="4"/>
      <c r="E213" s="4"/>
    </row>
    <row r="214" spans="1:5" ht="15.75" customHeight="1" x14ac:dyDescent="0.25">
      <c r="A214" s="4"/>
      <c r="B214" s="4"/>
      <c r="C214" s="4"/>
      <c r="D214" s="4"/>
      <c r="E214" s="4"/>
    </row>
    <row r="215" spans="1:5" ht="15.75" customHeight="1" x14ac:dyDescent="0.25">
      <c r="A215" s="4"/>
      <c r="B215" s="4"/>
      <c r="C215" s="4"/>
      <c r="D215" s="4"/>
      <c r="E215" s="4"/>
    </row>
    <row r="216" spans="1:5" ht="15.75" customHeight="1" x14ac:dyDescent="0.25">
      <c r="A216" s="4"/>
      <c r="B216" s="4"/>
      <c r="C216" s="4"/>
      <c r="D216" s="4"/>
      <c r="E216" s="4"/>
    </row>
    <row r="217" spans="1:5" ht="15.75" customHeight="1" x14ac:dyDescent="0.25">
      <c r="A217" s="4"/>
      <c r="B217" s="4"/>
      <c r="C217" s="4"/>
      <c r="D217" s="4"/>
      <c r="E217" s="4"/>
    </row>
    <row r="218" spans="1:5" ht="15.75" customHeight="1" x14ac:dyDescent="0.25">
      <c r="A218" s="4"/>
      <c r="B218" s="4"/>
      <c r="C218" s="4"/>
      <c r="D218" s="4"/>
      <c r="E218" s="4"/>
    </row>
    <row r="219" spans="1:5" ht="15.75" customHeight="1" x14ac:dyDescent="0.25">
      <c r="A219" s="4"/>
      <c r="B219" s="4"/>
      <c r="C219" s="4"/>
      <c r="D219" s="4"/>
      <c r="E219" s="4"/>
    </row>
    <row r="220" spans="1:5" ht="15.75" customHeight="1" x14ac:dyDescent="0.25">
      <c r="A220" s="4"/>
      <c r="B220" s="4"/>
      <c r="C220" s="4"/>
      <c r="D220" s="4"/>
      <c r="E220" s="4"/>
    </row>
    <row r="221" spans="1:5" ht="15.75" customHeight="1" x14ac:dyDescent="0.25">
      <c r="A221" s="4"/>
      <c r="B221" s="4"/>
      <c r="C221" s="4"/>
      <c r="D221" s="4"/>
      <c r="E221" s="4"/>
    </row>
    <row r="222" spans="1:5" ht="15.75" customHeight="1" x14ac:dyDescent="0.25">
      <c r="A222" s="4"/>
      <c r="B222" s="4"/>
      <c r="C222" s="4"/>
      <c r="D222" s="4"/>
      <c r="E222" s="4"/>
    </row>
    <row r="223" spans="1:5" ht="15.75" customHeight="1" x14ac:dyDescent="0.25">
      <c r="A223" s="4"/>
      <c r="B223" s="4"/>
      <c r="C223" s="4"/>
      <c r="D223" s="4"/>
      <c r="E223" s="4"/>
    </row>
    <row r="224" spans="1:5" ht="15.75" customHeight="1" x14ac:dyDescent="0.25">
      <c r="A224" s="4"/>
      <c r="B224" s="4"/>
      <c r="C224" s="4"/>
      <c r="D224" s="4"/>
      <c r="E224" s="4"/>
    </row>
    <row r="225" spans="1:5" ht="15.75" customHeight="1" x14ac:dyDescent="0.25">
      <c r="A225" s="4"/>
      <c r="B225" s="4"/>
      <c r="C225" s="4"/>
      <c r="D225" s="4"/>
      <c r="E225" s="4"/>
    </row>
    <row r="226" spans="1:5" ht="15.75" customHeight="1" x14ac:dyDescent="0.25">
      <c r="A226" s="4"/>
      <c r="B226" s="4"/>
      <c r="C226" s="4"/>
      <c r="D226" s="4"/>
      <c r="E226" s="4"/>
    </row>
    <row r="227" spans="1:5" ht="15.75" customHeight="1" x14ac:dyDescent="0.25">
      <c r="A227" s="4"/>
      <c r="B227" s="4"/>
      <c r="C227" s="4"/>
      <c r="D227" s="4"/>
      <c r="E227" s="4"/>
    </row>
    <row r="228" spans="1:5" ht="15.75" customHeight="1" x14ac:dyDescent="0.25">
      <c r="A228" s="4"/>
      <c r="B228" s="4"/>
      <c r="C228" s="4"/>
      <c r="D228" s="4"/>
      <c r="E228" s="4"/>
    </row>
    <row r="229" spans="1:5" ht="15.75" customHeight="1" x14ac:dyDescent="0.25">
      <c r="A229" s="4"/>
      <c r="B229" s="4"/>
      <c r="C229" s="4"/>
      <c r="D229" s="4"/>
      <c r="E229" s="4"/>
    </row>
    <row r="230" spans="1:5" ht="15.75" customHeight="1" x14ac:dyDescent="0.25">
      <c r="A230" s="4"/>
      <c r="B230" s="4"/>
      <c r="C230" s="4"/>
      <c r="D230" s="4"/>
      <c r="E230" s="4"/>
    </row>
    <row r="231" spans="1:5" ht="15.75" customHeight="1" x14ac:dyDescent="0.25">
      <c r="A231" s="4"/>
      <c r="B231" s="4"/>
      <c r="C231" s="4"/>
      <c r="D231" s="4"/>
      <c r="E231" s="4"/>
    </row>
    <row r="232" spans="1:5" ht="15.75" customHeight="1" x14ac:dyDescent="0.25">
      <c r="A232" s="4"/>
      <c r="B232" s="4"/>
      <c r="C232" s="4"/>
      <c r="D232" s="4"/>
      <c r="E232" s="4"/>
    </row>
    <row r="233" spans="1:5" ht="15.75" customHeight="1" x14ac:dyDescent="0.25">
      <c r="A233" s="4"/>
      <c r="B233" s="4"/>
      <c r="C233" s="4"/>
      <c r="D233" s="4"/>
      <c r="E233" s="4"/>
    </row>
    <row r="234" spans="1:5" ht="15.75" customHeight="1" x14ac:dyDescent="0.25">
      <c r="A234" s="4"/>
      <c r="B234" s="4"/>
      <c r="C234" s="4"/>
      <c r="D234" s="4"/>
      <c r="E234" s="4"/>
    </row>
    <row r="235" spans="1:5" ht="15.75" customHeight="1" x14ac:dyDescent="0.25">
      <c r="A235" s="4"/>
      <c r="B235" s="4"/>
      <c r="C235" s="4"/>
      <c r="D235" s="4"/>
      <c r="E235" s="4"/>
    </row>
    <row r="236" spans="1:5" ht="15.75" customHeight="1" x14ac:dyDescent="0.25">
      <c r="A236" s="4"/>
      <c r="B236" s="4"/>
      <c r="C236" s="4"/>
      <c r="D236" s="4"/>
      <c r="E236" s="4"/>
    </row>
    <row r="237" spans="1:5" ht="15.75" customHeight="1" x14ac:dyDescent="0.25">
      <c r="A237" s="4"/>
      <c r="B237" s="4"/>
      <c r="C237" s="4"/>
      <c r="D237" s="4"/>
      <c r="E237" s="4"/>
    </row>
    <row r="238" spans="1:5" ht="15.75" customHeight="1" x14ac:dyDescent="0.25">
      <c r="A238" s="4"/>
      <c r="B238" s="4"/>
      <c r="C238" s="4"/>
      <c r="D238" s="4"/>
      <c r="E238" s="4"/>
    </row>
    <row r="239" spans="1:5" ht="15.75" customHeight="1" x14ac:dyDescent="0.25">
      <c r="A239" s="4"/>
      <c r="B239" s="4"/>
      <c r="C239" s="4"/>
      <c r="D239" s="4"/>
      <c r="E239" s="4"/>
    </row>
    <row r="240" spans="1:5" ht="15.75" customHeight="1" x14ac:dyDescent="0.25">
      <c r="A240" s="4"/>
      <c r="B240" s="4"/>
      <c r="C240" s="4"/>
      <c r="D240" s="4"/>
      <c r="E240" s="4"/>
    </row>
    <row r="241" spans="1:5" ht="15.75" customHeight="1" x14ac:dyDescent="0.25">
      <c r="A241" s="4"/>
      <c r="B241" s="4"/>
      <c r="C241" s="4"/>
      <c r="D241" s="4"/>
      <c r="E241" s="4"/>
    </row>
    <row r="242" spans="1:5" ht="15.75" customHeight="1" x14ac:dyDescent="0.25">
      <c r="A242" s="4"/>
      <c r="B242" s="4"/>
      <c r="C242" s="4"/>
      <c r="D242" s="4"/>
      <c r="E242" s="4"/>
    </row>
    <row r="243" spans="1:5" ht="15.75" customHeight="1" x14ac:dyDescent="0.25">
      <c r="A243" s="4"/>
      <c r="B243" s="4"/>
      <c r="C243" s="4"/>
      <c r="D243" s="4"/>
      <c r="E243" s="4"/>
    </row>
    <row r="244" spans="1:5" ht="15.75" customHeight="1" x14ac:dyDescent="0.25">
      <c r="A244" s="4"/>
      <c r="B244" s="4"/>
      <c r="C244" s="4"/>
      <c r="D244" s="4"/>
      <c r="E244" s="4"/>
    </row>
    <row r="245" spans="1:5" ht="15.75" customHeight="1" x14ac:dyDescent="0.25">
      <c r="A245" s="4"/>
      <c r="B245" s="4"/>
      <c r="C245" s="4"/>
      <c r="D245" s="4"/>
      <c r="E245" s="4"/>
    </row>
    <row r="246" spans="1:5" ht="15.75" customHeight="1" x14ac:dyDescent="0.25">
      <c r="A246" s="4"/>
      <c r="B246" s="4"/>
      <c r="C246" s="4"/>
      <c r="D246" s="4"/>
      <c r="E246" s="4"/>
    </row>
    <row r="247" spans="1:5" ht="15.75" customHeight="1" x14ac:dyDescent="0.25">
      <c r="A247" s="4"/>
      <c r="B247" s="4"/>
      <c r="C247" s="4"/>
      <c r="D247" s="4"/>
      <c r="E247" s="4"/>
    </row>
    <row r="248" spans="1:5" ht="15.75" customHeight="1" x14ac:dyDescent="0.25">
      <c r="A248" s="4"/>
      <c r="B248" s="4"/>
      <c r="C248" s="4"/>
      <c r="D248" s="4"/>
      <c r="E248" s="4"/>
    </row>
    <row r="249" spans="1:5" ht="15.75" customHeight="1" x14ac:dyDescent="0.25">
      <c r="A249" s="4"/>
      <c r="B249" s="4"/>
      <c r="C249" s="4"/>
      <c r="D249" s="4"/>
      <c r="E249" s="4"/>
    </row>
    <row r="250" spans="1:5" ht="15.75" customHeight="1" x14ac:dyDescent="0.25">
      <c r="A250" s="4"/>
      <c r="B250" s="4"/>
      <c r="C250" s="4"/>
      <c r="D250" s="4"/>
      <c r="E250" s="4"/>
    </row>
    <row r="251" spans="1:5" ht="15.75" customHeight="1" x14ac:dyDescent="0.25">
      <c r="A251" s="4"/>
      <c r="B251" s="4"/>
      <c r="C251" s="4"/>
      <c r="D251" s="4"/>
      <c r="E251" s="4"/>
    </row>
    <row r="252" spans="1:5" ht="15.75" customHeight="1" x14ac:dyDescent="0.25">
      <c r="A252" s="4"/>
      <c r="B252" s="4"/>
      <c r="C252" s="4"/>
      <c r="D252" s="4"/>
      <c r="E252" s="4"/>
    </row>
    <row r="253" spans="1:5" ht="15.75" customHeight="1" x14ac:dyDescent="0.25">
      <c r="A253" s="4"/>
      <c r="B253" s="4"/>
      <c r="C253" s="4"/>
      <c r="D253" s="4"/>
      <c r="E253" s="4"/>
    </row>
    <row r="254" spans="1:5" ht="15.75" customHeight="1" x14ac:dyDescent="0.25">
      <c r="A254" s="4"/>
      <c r="B254" s="4"/>
      <c r="C254" s="4"/>
      <c r="D254" s="4"/>
      <c r="E254" s="4"/>
    </row>
    <row r="255" spans="1:5" ht="15.75" customHeight="1" x14ac:dyDescent="0.25">
      <c r="A255" s="4"/>
      <c r="B255" s="4"/>
      <c r="C255" s="4"/>
      <c r="D255" s="4"/>
      <c r="E255" s="4"/>
    </row>
    <row r="256" spans="1:5" ht="15.75" customHeight="1" x14ac:dyDescent="0.25">
      <c r="A256" s="4"/>
      <c r="B256" s="4"/>
      <c r="C256" s="4"/>
      <c r="D256" s="4"/>
      <c r="E256" s="4"/>
    </row>
    <row r="257" spans="1:5" ht="15.75" customHeight="1" x14ac:dyDescent="0.25">
      <c r="A257" s="4"/>
      <c r="B257" s="4"/>
      <c r="C257" s="4"/>
      <c r="D257" s="4"/>
      <c r="E257" s="4"/>
    </row>
    <row r="258" spans="1:5" ht="15.75" customHeight="1" x14ac:dyDescent="0.25">
      <c r="A258" s="4"/>
      <c r="B258" s="4"/>
      <c r="C258" s="4"/>
      <c r="D258" s="4"/>
      <c r="E258" s="4"/>
    </row>
    <row r="259" spans="1:5" ht="15.75" customHeight="1" x14ac:dyDescent="0.25">
      <c r="A259" s="4"/>
      <c r="B259" s="4"/>
      <c r="C259" s="4"/>
      <c r="D259" s="4"/>
      <c r="E259" s="4"/>
    </row>
    <row r="260" spans="1:5" ht="15.75" customHeight="1" x14ac:dyDescent="0.25">
      <c r="A260" s="4"/>
      <c r="B260" s="4"/>
      <c r="C260" s="4"/>
      <c r="D260" s="4"/>
      <c r="E260" s="4"/>
    </row>
    <row r="261" spans="1:5" ht="15.75" customHeight="1" x14ac:dyDescent="0.25">
      <c r="A261" s="4"/>
      <c r="B261" s="4"/>
      <c r="C261" s="4"/>
      <c r="D261" s="4"/>
      <c r="E261" s="4"/>
    </row>
    <row r="262" spans="1:5" ht="15.75" customHeight="1" x14ac:dyDescent="0.25">
      <c r="A262" s="4"/>
      <c r="B262" s="4"/>
      <c r="C262" s="4"/>
      <c r="D262" s="4"/>
      <c r="E262" s="4"/>
    </row>
    <row r="263" spans="1:5" ht="15.75" customHeight="1" x14ac:dyDescent="0.25">
      <c r="A263" s="4"/>
      <c r="B263" s="4"/>
      <c r="C263" s="4"/>
      <c r="D263" s="4"/>
      <c r="E263" s="4"/>
    </row>
    <row r="264" spans="1:5" ht="15.75" customHeight="1" x14ac:dyDescent="0.25">
      <c r="A264" s="4"/>
      <c r="B264" s="4"/>
      <c r="C264" s="4"/>
      <c r="D264" s="4"/>
      <c r="E264" s="4"/>
    </row>
    <row r="265" spans="1:5" ht="15.75" customHeight="1" x14ac:dyDescent="0.25">
      <c r="A265" s="4"/>
      <c r="B265" s="4"/>
      <c r="C265" s="4"/>
      <c r="D265" s="4"/>
      <c r="E265" s="4"/>
    </row>
    <row r="266" spans="1:5" ht="15.75" customHeight="1" x14ac:dyDescent="0.25">
      <c r="A266" s="4"/>
      <c r="B266" s="4"/>
      <c r="C266" s="4"/>
      <c r="D266" s="4"/>
      <c r="E266" s="4"/>
    </row>
    <row r="267" spans="1:5" ht="15.75" customHeight="1" x14ac:dyDescent="0.25">
      <c r="A267" s="4"/>
      <c r="B267" s="4"/>
      <c r="C267" s="4"/>
      <c r="D267" s="4"/>
      <c r="E267" s="4"/>
    </row>
    <row r="268" spans="1:5" ht="15.75" customHeight="1" x14ac:dyDescent="0.25">
      <c r="A268" s="4"/>
      <c r="B268" s="4"/>
      <c r="C268" s="4"/>
      <c r="D268" s="4"/>
      <c r="E268" s="4"/>
    </row>
    <row r="269" spans="1:5" ht="15.75" customHeight="1" x14ac:dyDescent="0.25">
      <c r="A269" s="4"/>
      <c r="B269" s="4"/>
      <c r="C269" s="4"/>
      <c r="D269" s="4"/>
      <c r="E269" s="4"/>
    </row>
    <row r="270" spans="1:5" ht="15.75" customHeight="1" x14ac:dyDescent="0.25">
      <c r="A270" s="4"/>
      <c r="B270" s="4"/>
      <c r="C270" s="4"/>
      <c r="D270" s="4"/>
      <c r="E270" s="4"/>
    </row>
    <row r="271" spans="1:5" ht="15.75" customHeight="1" x14ac:dyDescent="0.25">
      <c r="A271" s="4"/>
      <c r="B271" s="4"/>
      <c r="C271" s="4"/>
      <c r="D271" s="4"/>
      <c r="E271" s="4"/>
    </row>
    <row r="272" spans="1:5" ht="15.75" customHeight="1" x14ac:dyDescent="0.25">
      <c r="A272" s="4"/>
      <c r="B272" s="4"/>
      <c r="C272" s="4"/>
      <c r="D272" s="4"/>
      <c r="E272" s="4"/>
    </row>
    <row r="273" spans="1:5" ht="15.75" customHeight="1" x14ac:dyDescent="0.25">
      <c r="A273" s="4"/>
      <c r="B273" s="4"/>
      <c r="C273" s="4"/>
      <c r="D273" s="4"/>
      <c r="E273" s="4"/>
    </row>
    <row r="274" spans="1:5" ht="15.75" customHeight="1" x14ac:dyDescent="0.25">
      <c r="A274" s="4"/>
      <c r="B274" s="4"/>
      <c r="C274" s="4"/>
      <c r="D274" s="4"/>
      <c r="E274" s="4"/>
    </row>
    <row r="275" spans="1:5" ht="15.75" customHeight="1" x14ac:dyDescent="0.25">
      <c r="A275" s="4"/>
      <c r="B275" s="4"/>
      <c r="C275" s="4"/>
      <c r="D275" s="4"/>
      <c r="E275" s="4"/>
    </row>
    <row r="276" spans="1:5" ht="15.75" customHeight="1" x14ac:dyDescent="0.25">
      <c r="A276" s="4"/>
      <c r="B276" s="4"/>
      <c r="C276" s="4"/>
      <c r="D276" s="4"/>
      <c r="E276" s="4"/>
    </row>
    <row r="277" spans="1:5" ht="15.75" customHeight="1" x14ac:dyDescent="0.25">
      <c r="A277" s="4"/>
      <c r="B277" s="4"/>
      <c r="C277" s="4"/>
      <c r="D277" s="4"/>
      <c r="E277" s="4"/>
    </row>
    <row r="278" spans="1:5" ht="15.75" customHeight="1" x14ac:dyDescent="0.25">
      <c r="A278" s="4"/>
      <c r="B278" s="4"/>
      <c r="C278" s="4"/>
      <c r="D278" s="4"/>
      <c r="E278" s="4"/>
    </row>
    <row r="279" spans="1:5" ht="15.75" customHeight="1" x14ac:dyDescent="0.25">
      <c r="A279" s="4"/>
      <c r="B279" s="4"/>
      <c r="C279" s="4"/>
      <c r="D279" s="4"/>
      <c r="E279" s="4"/>
    </row>
    <row r="280" spans="1:5" ht="15.75" customHeight="1" x14ac:dyDescent="0.25">
      <c r="A280" s="4"/>
      <c r="B280" s="4"/>
      <c r="C280" s="4"/>
      <c r="D280" s="4"/>
      <c r="E280" s="4"/>
    </row>
    <row r="281" spans="1:5" ht="15.75" customHeight="1" x14ac:dyDescent="0.25">
      <c r="A281" s="4"/>
      <c r="B281" s="4"/>
      <c r="C281" s="4"/>
      <c r="D281" s="4"/>
      <c r="E281" s="4"/>
    </row>
    <row r="282" spans="1:5" ht="15.75" customHeight="1" x14ac:dyDescent="0.25">
      <c r="A282" s="4"/>
      <c r="B282" s="4"/>
      <c r="C282" s="4"/>
      <c r="D282" s="4"/>
      <c r="E282" s="4"/>
    </row>
    <row r="283" spans="1:5" ht="15.75" customHeight="1" x14ac:dyDescent="0.25">
      <c r="A283" s="4"/>
      <c r="B283" s="4"/>
      <c r="C283" s="4"/>
      <c r="D283" s="4"/>
      <c r="E283" s="4"/>
    </row>
    <row r="284" spans="1:5" ht="15.75" customHeight="1" x14ac:dyDescent="0.25">
      <c r="A284" s="4"/>
      <c r="B284" s="4"/>
      <c r="C284" s="4"/>
      <c r="D284" s="4"/>
      <c r="E284" s="4"/>
    </row>
    <row r="285" spans="1:5" ht="15.75" customHeight="1" x14ac:dyDescent="0.25">
      <c r="A285" s="4"/>
      <c r="B285" s="4"/>
      <c r="C285" s="4"/>
      <c r="D285" s="4"/>
      <c r="E285" s="4"/>
    </row>
    <row r="286" spans="1:5" ht="15.75" customHeight="1" x14ac:dyDescent="0.25">
      <c r="A286" s="4"/>
      <c r="B286" s="4"/>
      <c r="C286" s="4"/>
      <c r="D286" s="4"/>
      <c r="E286" s="4"/>
    </row>
    <row r="287" spans="1:5" ht="15.75" customHeight="1" x14ac:dyDescent="0.25">
      <c r="A287" s="4"/>
      <c r="B287" s="4"/>
      <c r="C287" s="4"/>
      <c r="D287" s="4"/>
      <c r="E287" s="4"/>
    </row>
    <row r="288" spans="1:5" ht="15.75" customHeight="1" x14ac:dyDescent="0.25">
      <c r="A288" s="4"/>
      <c r="B288" s="4"/>
      <c r="C288" s="4"/>
      <c r="D288" s="4"/>
      <c r="E288" s="4"/>
    </row>
    <row r="289" spans="1:5" ht="15.75" customHeight="1" x14ac:dyDescent="0.25">
      <c r="A289" s="4"/>
      <c r="B289" s="4"/>
      <c r="C289" s="4"/>
      <c r="D289" s="4"/>
      <c r="E289" s="4"/>
    </row>
    <row r="290" spans="1:5" ht="15.75" customHeight="1" x14ac:dyDescent="0.25">
      <c r="A290" s="4"/>
      <c r="B290" s="4"/>
      <c r="C290" s="4"/>
      <c r="D290" s="4"/>
      <c r="E290" s="4"/>
    </row>
    <row r="291" spans="1:5" ht="15.75" customHeight="1" x14ac:dyDescent="0.25">
      <c r="A291" s="4"/>
      <c r="B291" s="4"/>
      <c r="C291" s="4"/>
      <c r="D291" s="4"/>
      <c r="E291" s="4"/>
    </row>
    <row r="292" spans="1:5" ht="15.75" customHeight="1" x14ac:dyDescent="0.25">
      <c r="A292" s="4"/>
      <c r="B292" s="4"/>
      <c r="C292" s="4"/>
      <c r="D292" s="4"/>
      <c r="E292" s="4"/>
    </row>
    <row r="293" spans="1:5" ht="15.75" customHeight="1" x14ac:dyDescent="0.25">
      <c r="A293" s="4"/>
      <c r="B293" s="4"/>
      <c r="C293" s="4"/>
      <c r="D293" s="4"/>
      <c r="E293" s="4"/>
    </row>
    <row r="294" spans="1:5" ht="15.75" customHeight="1" x14ac:dyDescent="0.25">
      <c r="A294" s="4"/>
      <c r="B294" s="4"/>
      <c r="C294" s="4"/>
      <c r="D294" s="4"/>
      <c r="E294" s="4"/>
    </row>
    <row r="295" spans="1:5" ht="15.75" customHeight="1" x14ac:dyDescent="0.25">
      <c r="A295" s="4"/>
      <c r="B295" s="4"/>
      <c r="C295" s="4"/>
      <c r="D295" s="4"/>
      <c r="E295" s="4"/>
    </row>
    <row r="296" spans="1:5" ht="15.75" customHeight="1" x14ac:dyDescent="0.25">
      <c r="A296" s="4"/>
      <c r="B296" s="4"/>
      <c r="C296" s="4"/>
      <c r="D296" s="4"/>
      <c r="E296" s="4"/>
    </row>
    <row r="297" spans="1:5" ht="15.75" customHeight="1" x14ac:dyDescent="0.25">
      <c r="A297" s="4"/>
      <c r="B297" s="4"/>
      <c r="C297" s="4"/>
      <c r="D297" s="4"/>
      <c r="E297" s="4"/>
    </row>
    <row r="298" spans="1:5" ht="15.75" customHeight="1" x14ac:dyDescent="0.25">
      <c r="A298" s="4"/>
      <c r="B298" s="4"/>
      <c r="C298" s="4"/>
      <c r="D298" s="4"/>
      <c r="E298" s="4"/>
    </row>
    <row r="299" spans="1:5" ht="15.75" customHeight="1" x14ac:dyDescent="0.25">
      <c r="A299" s="4"/>
      <c r="B299" s="4"/>
      <c r="C299" s="4"/>
      <c r="D299" s="4"/>
      <c r="E299" s="4"/>
    </row>
    <row r="300" spans="1:5" ht="15.75" customHeight="1" x14ac:dyDescent="0.25">
      <c r="A300" s="4"/>
      <c r="B300" s="4"/>
      <c r="C300" s="4"/>
      <c r="D300" s="4"/>
      <c r="E300" s="4"/>
    </row>
    <row r="301" spans="1:5" ht="15.75" customHeight="1" x14ac:dyDescent="0.25">
      <c r="A301" s="4"/>
      <c r="B301" s="4"/>
      <c r="C301" s="4"/>
      <c r="D301" s="4"/>
      <c r="E301" s="4"/>
    </row>
    <row r="302" spans="1:5" ht="15.75" customHeight="1" x14ac:dyDescent="0.25">
      <c r="A302" s="4"/>
      <c r="B302" s="4"/>
      <c r="C302" s="4"/>
      <c r="D302" s="4"/>
      <c r="E302" s="4"/>
    </row>
    <row r="303" spans="1:5" ht="15.75" customHeight="1" x14ac:dyDescent="0.25">
      <c r="A303" s="4"/>
      <c r="B303" s="4"/>
      <c r="C303" s="4"/>
      <c r="D303" s="4"/>
      <c r="E303" s="4"/>
    </row>
    <row r="304" spans="1:5" ht="15.75" customHeight="1" x14ac:dyDescent="0.25">
      <c r="A304" s="4"/>
      <c r="B304" s="4"/>
      <c r="C304" s="4"/>
      <c r="D304" s="4"/>
      <c r="E304" s="4"/>
    </row>
    <row r="305" spans="1:5" ht="15.75" customHeight="1" x14ac:dyDescent="0.25">
      <c r="A305" s="4"/>
      <c r="B305" s="4"/>
      <c r="C305" s="4"/>
      <c r="D305" s="4"/>
      <c r="E305" s="4"/>
    </row>
    <row r="306" spans="1:5" ht="15.75" customHeight="1" x14ac:dyDescent="0.25">
      <c r="A306" s="4"/>
      <c r="B306" s="4"/>
      <c r="C306" s="4"/>
      <c r="D306" s="4"/>
      <c r="E306" s="4"/>
    </row>
    <row r="307" spans="1:5" ht="15.75" customHeight="1" x14ac:dyDescent="0.25">
      <c r="A307" s="4"/>
      <c r="B307" s="4"/>
      <c r="C307" s="4"/>
      <c r="D307" s="4"/>
      <c r="E307" s="4"/>
    </row>
    <row r="308" spans="1:5" ht="15.75" customHeight="1" x14ac:dyDescent="0.25">
      <c r="A308" s="4"/>
      <c r="B308" s="4"/>
      <c r="C308" s="4"/>
      <c r="D308" s="4"/>
      <c r="E308" s="4"/>
    </row>
    <row r="309" spans="1:5" ht="15.75" customHeight="1" x14ac:dyDescent="0.25">
      <c r="A309" s="4"/>
      <c r="B309" s="4"/>
      <c r="C309" s="4"/>
      <c r="D309" s="4"/>
      <c r="E309" s="4"/>
    </row>
    <row r="310" spans="1:5" ht="15.75" customHeight="1" x14ac:dyDescent="0.25">
      <c r="A310" s="4"/>
      <c r="B310" s="4"/>
      <c r="C310" s="4"/>
      <c r="D310" s="4"/>
      <c r="E310" s="4"/>
    </row>
    <row r="311" spans="1:5" ht="15.75" customHeight="1" x14ac:dyDescent="0.25">
      <c r="A311" s="4"/>
      <c r="B311" s="4"/>
      <c r="C311" s="4"/>
      <c r="D311" s="4"/>
      <c r="E311" s="4"/>
    </row>
    <row r="312" spans="1:5" ht="15.75" customHeight="1" x14ac:dyDescent="0.25">
      <c r="A312" s="4"/>
      <c r="B312" s="4"/>
      <c r="C312" s="4"/>
      <c r="D312" s="4"/>
      <c r="E312" s="4"/>
    </row>
    <row r="313" spans="1:5" ht="15.75" customHeight="1" x14ac:dyDescent="0.25">
      <c r="A313" s="4"/>
      <c r="B313" s="4"/>
      <c r="C313" s="4"/>
      <c r="D313" s="4"/>
      <c r="E313" s="4"/>
    </row>
    <row r="314" spans="1:5" ht="15.75" customHeight="1" x14ac:dyDescent="0.25">
      <c r="A314" s="4"/>
      <c r="B314" s="4"/>
      <c r="C314" s="4"/>
      <c r="D314" s="4"/>
      <c r="E314" s="4"/>
    </row>
    <row r="315" spans="1:5" ht="15.75" customHeight="1" x14ac:dyDescent="0.25">
      <c r="A315" s="4"/>
      <c r="B315" s="4"/>
      <c r="C315" s="4"/>
      <c r="D315" s="4"/>
      <c r="E315" s="4"/>
    </row>
    <row r="316" spans="1:5" ht="15.75" customHeight="1" x14ac:dyDescent="0.25">
      <c r="A316" s="4"/>
      <c r="B316" s="4"/>
      <c r="C316" s="4"/>
      <c r="D316" s="4"/>
      <c r="E316" s="4"/>
    </row>
    <row r="317" spans="1:5" ht="15.75" customHeight="1" x14ac:dyDescent="0.25">
      <c r="A317" s="4"/>
      <c r="B317" s="4"/>
      <c r="C317" s="4"/>
      <c r="D317" s="4"/>
      <c r="E317" s="4"/>
    </row>
    <row r="318" spans="1:5" ht="15.75" customHeight="1" x14ac:dyDescent="0.25">
      <c r="A318" s="4"/>
      <c r="B318" s="4"/>
      <c r="C318" s="4"/>
      <c r="D318" s="4"/>
      <c r="E318" s="4"/>
    </row>
    <row r="319" spans="1:5" ht="15.75" customHeight="1" x14ac:dyDescent="0.25">
      <c r="A319" s="4"/>
      <c r="B319" s="4"/>
      <c r="C319" s="4"/>
      <c r="D319" s="4"/>
      <c r="E319" s="4"/>
    </row>
    <row r="320" spans="1:5" ht="15.75" customHeight="1" x14ac:dyDescent="0.25">
      <c r="A320" s="4"/>
      <c r="B320" s="4"/>
      <c r="C320" s="4"/>
      <c r="D320" s="4"/>
      <c r="E320" s="4"/>
    </row>
    <row r="321" spans="1:5" ht="15.75" customHeight="1" x14ac:dyDescent="0.25">
      <c r="A321" s="4"/>
      <c r="B321" s="4"/>
      <c r="C321" s="4"/>
      <c r="D321" s="4"/>
      <c r="E321" s="4"/>
    </row>
    <row r="322" spans="1:5" ht="15.75" customHeight="1" x14ac:dyDescent="0.25">
      <c r="A322" s="4"/>
      <c r="B322" s="4"/>
      <c r="C322" s="4"/>
      <c r="D322" s="4"/>
      <c r="E322" s="4"/>
    </row>
    <row r="323" spans="1:5" ht="15.75" customHeight="1" x14ac:dyDescent="0.25">
      <c r="A323" s="4"/>
      <c r="B323" s="4"/>
      <c r="C323" s="4"/>
      <c r="D323" s="4"/>
      <c r="E323" s="4"/>
    </row>
    <row r="324" spans="1:5" ht="15.75" customHeight="1" x14ac:dyDescent="0.25">
      <c r="A324" s="4"/>
      <c r="B324" s="4"/>
      <c r="C324" s="4"/>
      <c r="D324" s="4"/>
      <c r="E324" s="4"/>
    </row>
    <row r="325" spans="1:5" ht="15.75" customHeight="1" x14ac:dyDescent="0.25">
      <c r="A325" s="4"/>
      <c r="B325" s="4"/>
      <c r="C325" s="4"/>
      <c r="D325" s="4"/>
      <c r="E325" s="4"/>
    </row>
    <row r="326" spans="1:5" ht="15.75" customHeight="1" x14ac:dyDescent="0.25">
      <c r="A326" s="4"/>
      <c r="B326" s="4"/>
      <c r="C326" s="4"/>
      <c r="D326" s="4"/>
      <c r="E326" s="4"/>
    </row>
    <row r="327" spans="1:5" ht="15.75" customHeight="1" x14ac:dyDescent="0.25">
      <c r="A327" s="4"/>
      <c r="B327" s="4"/>
      <c r="C327" s="4"/>
      <c r="D327" s="4"/>
      <c r="E327" s="4"/>
    </row>
    <row r="328" spans="1:5" ht="15.75" customHeight="1" x14ac:dyDescent="0.25">
      <c r="A328" s="4"/>
      <c r="B328" s="4"/>
      <c r="C328" s="4"/>
      <c r="D328" s="4"/>
      <c r="E328" s="4"/>
    </row>
    <row r="329" spans="1:5" ht="15.75" customHeight="1" x14ac:dyDescent="0.25">
      <c r="A329" s="4"/>
      <c r="B329" s="4"/>
      <c r="C329" s="4"/>
      <c r="D329" s="4"/>
      <c r="E329" s="4"/>
    </row>
    <row r="330" spans="1:5" ht="15.75" customHeight="1" x14ac:dyDescent="0.25">
      <c r="A330" s="4"/>
      <c r="B330" s="4"/>
      <c r="C330" s="4"/>
      <c r="D330" s="4"/>
      <c r="E330" s="4"/>
    </row>
    <row r="331" spans="1:5" ht="15.75" customHeight="1" x14ac:dyDescent="0.25">
      <c r="A331" s="4"/>
      <c r="B331" s="4"/>
      <c r="C331" s="4"/>
      <c r="D331" s="4"/>
      <c r="E331" s="4"/>
    </row>
    <row r="332" spans="1:5" ht="15.75" customHeight="1" x14ac:dyDescent="0.25">
      <c r="A332" s="4"/>
      <c r="B332" s="4"/>
      <c r="C332" s="4"/>
      <c r="D332" s="4"/>
      <c r="E332" s="4"/>
    </row>
    <row r="333" spans="1:5" ht="15.75" customHeight="1" x14ac:dyDescent="0.25">
      <c r="A333" s="4"/>
      <c r="B333" s="4"/>
      <c r="C333" s="4"/>
      <c r="D333" s="4"/>
      <c r="E333" s="4"/>
    </row>
    <row r="334" spans="1:5" ht="15.75" customHeight="1" x14ac:dyDescent="0.25">
      <c r="A334" s="4"/>
      <c r="B334" s="4"/>
      <c r="C334" s="4"/>
      <c r="D334" s="4"/>
      <c r="E334" s="4"/>
    </row>
    <row r="335" spans="1:5" ht="15.75" customHeight="1" x14ac:dyDescent="0.25">
      <c r="A335" s="4"/>
      <c r="B335" s="4"/>
      <c r="C335" s="4"/>
      <c r="D335" s="4"/>
      <c r="E335" s="4"/>
    </row>
    <row r="336" spans="1:5" ht="15.75" customHeight="1" x14ac:dyDescent="0.25">
      <c r="A336" s="4"/>
      <c r="B336" s="4"/>
      <c r="C336" s="4"/>
      <c r="D336" s="4"/>
      <c r="E336" s="4"/>
    </row>
    <row r="337" spans="1:5" ht="15.75" customHeight="1" x14ac:dyDescent="0.25">
      <c r="A337" s="4"/>
      <c r="B337" s="4"/>
      <c r="C337" s="4"/>
      <c r="D337" s="4"/>
      <c r="E337" s="4"/>
    </row>
    <row r="338" spans="1:5" ht="15.75" customHeight="1" x14ac:dyDescent="0.25">
      <c r="A338" s="4"/>
      <c r="B338" s="4"/>
      <c r="C338" s="4"/>
      <c r="D338" s="4"/>
      <c r="E338" s="4"/>
    </row>
    <row r="339" spans="1:5" ht="15.75" customHeight="1" x14ac:dyDescent="0.25">
      <c r="A339" s="4"/>
      <c r="B339" s="4"/>
      <c r="C339" s="4"/>
      <c r="D339" s="4"/>
      <c r="E339" s="4"/>
    </row>
    <row r="340" spans="1:5" ht="15.75" customHeight="1" x14ac:dyDescent="0.25">
      <c r="A340" s="4"/>
      <c r="B340" s="4"/>
      <c r="C340" s="4"/>
      <c r="D340" s="4"/>
      <c r="E340" s="4"/>
    </row>
    <row r="341" spans="1:5" ht="15.75" customHeight="1" x14ac:dyDescent="0.25">
      <c r="A341" s="4"/>
      <c r="B341" s="4"/>
      <c r="C341" s="4"/>
      <c r="D341" s="4"/>
      <c r="E341" s="4"/>
    </row>
    <row r="342" spans="1:5" ht="15.75" customHeight="1" x14ac:dyDescent="0.25">
      <c r="A342" s="4"/>
      <c r="B342" s="4"/>
      <c r="C342" s="4"/>
      <c r="D342" s="4"/>
      <c r="E342" s="4"/>
    </row>
    <row r="343" spans="1:5" ht="15.75" customHeight="1" x14ac:dyDescent="0.25">
      <c r="A343" s="4"/>
      <c r="B343" s="4"/>
      <c r="C343" s="4"/>
      <c r="D343" s="4"/>
      <c r="E343" s="4"/>
    </row>
    <row r="344" spans="1:5" ht="15.75" customHeight="1" x14ac:dyDescent="0.25">
      <c r="A344" s="4"/>
      <c r="B344" s="4"/>
      <c r="C344" s="4"/>
      <c r="D344" s="4"/>
      <c r="E344" s="4"/>
    </row>
    <row r="345" spans="1:5" ht="15.75" customHeight="1" x14ac:dyDescent="0.25">
      <c r="A345" s="4"/>
      <c r="B345" s="4"/>
      <c r="C345" s="4"/>
      <c r="D345" s="4"/>
      <c r="E345" s="4"/>
    </row>
    <row r="346" spans="1:5" ht="15.75" customHeight="1" x14ac:dyDescent="0.25">
      <c r="A346" s="4"/>
      <c r="B346" s="4"/>
      <c r="C346" s="4"/>
      <c r="D346" s="4"/>
      <c r="E346" s="4"/>
    </row>
    <row r="347" spans="1:5" ht="15.75" customHeight="1" x14ac:dyDescent="0.25">
      <c r="A347" s="4"/>
      <c r="B347" s="4"/>
      <c r="C347" s="4"/>
      <c r="D347" s="4"/>
      <c r="E347" s="4"/>
    </row>
    <row r="348" spans="1:5" ht="15.75" customHeight="1" x14ac:dyDescent="0.25">
      <c r="A348" s="4"/>
      <c r="B348" s="4"/>
      <c r="C348" s="4"/>
      <c r="D348" s="4"/>
      <c r="E348" s="4"/>
    </row>
    <row r="349" spans="1:5" ht="15.75" customHeight="1" x14ac:dyDescent="0.25">
      <c r="A349" s="4"/>
      <c r="B349" s="4"/>
      <c r="C349" s="4"/>
      <c r="D349" s="4"/>
      <c r="E349" s="4"/>
    </row>
    <row r="350" spans="1:5" ht="15.75" customHeight="1" x14ac:dyDescent="0.25">
      <c r="A350" s="4"/>
      <c r="B350" s="4"/>
      <c r="C350" s="4"/>
      <c r="D350" s="4"/>
      <c r="E350" s="4"/>
    </row>
    <row r="351" spans="1:5" ht="15.75" customHeight="1" x14ac:dyDescent="0.25">
      <c r="A351" s="4"/>
      <c r="B351" s="4"/>
      <c r="C351" s="4"/>
      <c r="D351" s="4"/>
      <c r="E351" s="4"/>
    </row>
    <row r="352" spans="1:5" ht="15.75" customHeight="1" x14ac:dyDescent="0.25">
      <c r="A352" s="4"/>
      <c r="B352" s="4"/>
      <c r="C352" s="4"/>
      <c r="D352" s="4"/>
      <c r="E352" s="4"/>
    </row>
    <row r="353" spans="1:5" ht="15.75" customHeight="1" x14ac:dyDescent="0.25">
      <c r="A353" s="4"/>
      <c r="B353" s="4"/>
      <c r="C353" s="4"/>
      <c r="D353" s="4"/>
      <c r="E353" s="4"/>
    </row>
    <row r="354" spans="1:5" ht="15.75" customHeight="1" x14ac:dyDescent="0.25">
      <c r="A354" s="4"/>
      <c r="B354" s="4"/>
      <c r="C354" s="4"/>
      <c r="D354" s="4"/>
      <c r="E354" s="4"/>
    </row>
    <row r="355" spans="1:5" ht="15.75" customHeight="1" x14ac:dyDescent="0.25">
      <c r="A355" s="4"/>
      <c r="B355" s="4"/>
      <c r="C355" s="4"/>
      <c r="D355" s="4"/>
      <c r="E355" s="4"/>
    </row>
    <row r="356" spans="1:5" ht="15.75" customHeight="1" x14ac:dyDescent="0.25">
      <c r="A356" s="4"/>
      <c r="B356" s="4"/>
      <c r="C356" s="4"/>
      <c r="D356" s="4"/>
      <c r="E356" s="4"/>
    </row>
    <row r="357" spans="1:5" ht="15.75" customHeight="1" x14ac:dyDescent="0.25">
      <c r="A357" s="4"/>
      <c r="B357" s="4"/>
      <c r="C357" s="4"/>
      <c r="D357" s="4"/>
      <c r="E357" s="4"/>
    </row>
    <row r="358" spans="1:5" ht="15.75" customHeight="1" x14ac:dyDescent="0.25">
      <c r="A358" s="4"/>
      <c r="B358" s="4"/>
      <c r="C358" s="4"/>
      <c r="D358" s="4"/>
      <c r="E358" s="4"/>
    </row>
    <row r="359" spans="1:5" ht="15.75" customHeight="1" x14ac:dyDescent="0.25">
      <c r="A359" s="4"/>
      <c r="B359" s="4"/>
      <c r="C359" s="4"/>
      <c r="D359" s="4"/>
      <c r="E359" s="4"/>
    </row>
    <row r="360" spans="1:5" ht="15.75" customHeight="1" x14ac:dyDescent="0.25">
      <c r="A360" s="4"/>
      <c r="B360" s="4"/>
      <c r="C360" s="4"/>
      <c r="D360" s="4"/>
      <c r="E360" s="4"/>
    </row>
    <row r="361" spans="1:5" ht="15.75" customHeight="1" x14ac:dyDescent="0.25">
      <c r="A361" s="4"/>
      <c r="B361" s="4"/>
      <c r="C361" s="4"/>
      <c r="D361" s="4"/>
      <c r="E361" s="4"/>
    </row>
    <row r="362" spans="1:5" ht="15.75" customHeight="1" x14ac:dyDescent="0.25">
      <c r="A362" s="4"/>
      <c r="B362" s="4"/>
      <c r="C362" s="4"/>
      <c r="D362" s="4"/>
      <c r="E362" s="4"/>
    </row>
    <row r="363" spans="1:5" ht="15.75" customHeight="1" x14ac:dyDescent="0.25">
      <c r="A363" s="4"/>
      <c r="B363" s="4"/>
      <c r="C363" s="4"/>
      <c r="D363" s="4"/>
      <c r="E363" s="4"/>
    </row>
    <row r="364" spans="1:5" ht="15.75" customHeight="1" x14ac:dyDescent="0.25">
      <c r="A364" s="4"/>
      <c r="B364" s="4"/>
      <c r="C364" s="4"/>
      <c r="D364" s="4"/>
      <c r="E364" s="4"/>
    </row>
    <row r="365" spans="1:5" ht="15.75" customHeight="1" x14ac:dyDescent="0.25">
      <c r="A365" s="4"/>
      <c r="B365" s="4"/>
      <c r="C365" s="4"/>
      <c r="D365" s="4"/>
      <c r="E365" s="4"/>
    </row>
    <row r="366" spans="1:5" ht="15.75" customHeight="1" x14ac:dyDescent="0.25">
      <c r="A366" s="4"/>
      <c r="B366" s="4"/>
      <c r="C366" s="4"/>
      <c r="D366" s="4"/>
      <c r="E366" s="4"/>
    </row>
    <row r="367" spans="1:5" ht="15.75" customHeight="1" x14ac:dyDescent="0.25">
      <c r="A367" s="4"/>
      <c r="B367" s="4"/>
      <c r="C367" s="4"/>
      <c r="D367" s="4"/>
      <c r="E367" s="4"/>
    </row>
    <row r="368" spans="1:5" ht="15.75" customHeight="1" x14ac:dyDescent="0.25">
      <c r="A368" s="4"/>
      <c r="B368" s="4"/>
      <c r="C368" s="4"/>
      <c r="D368" s="4"/>
      <c r="E368" s="4"/>
    </row>
    <row r="369" spans="1:5" ht="15.75" customHeight="1" x14ac:dyDescent="0.25">
      <c r="A369" s="4"/>
      <c r="B369" s="4"/>
      <c r="C369" s="4"/>
      <c r="D369" s="4"/>
      <c r="E369" s="4"/>
    </row>
    <row r="370" spans="1:5" ht="15.75" customHeight="1" x14ac:dyDescent="0.25">
      <c r="A370" s="4"/>
      <c r="B370" s="4"/>
      <c r="C370" s="4"/>
      <c r="D370" s="4"/>
      <c r="E370" s="4"/>
    </row>
    <row r="371" spans="1:5" ht="15.75" customHeight="1" x14ac:dyDescent="0.25">
      <c r="A371" s="4"/>
      <c r="B371" s="4"/>
      <c r="C371" s="4"/>
      <c r="D371" s="4"/>
      <c r="E371" s="4"/>
    </row>
    <row r="372" spans="1:5" ht="15.75" customHeight="1" x14ac:dyDescent="0.25">
      <c r="A372" s="4"/>
      <c r="B372" s="4"/>
      <c r="C372" s="4"/>
      <c r="D372" s="4"/>
      <c r="E372" s="4"/>
    </row>
    <row r="373" spans="1:5" ht="15.75" customHeight="1" x14ac:dyDescent="0.25">
      <c r="A373" s="4"/>
      <c r="B373" s="4"/>
      <c r="C373" s="4"/>
      <c r="D373" s="4"/>
      <c r="E373" s="4"/>
    </row>
    <row r="374" spans="1:5" ht="15.75" customHeight="1" x14ac:dyDescent="0.25">
      <c r="A374" s="4"/>
      <c r="B374" s="4"/>
      <c r="C374" s="4"/>
      <c r="D374" s="4"/>
      <c r="E374" s="4"/>
    </row>
    <row r="375" spans="1:5" ht="15.75" customHeight="1" x14ac:dyDescent="0.25">
      <c r="A375" s="4"/>
      <c r="B375" s="4"/>
      <c r="C375" s="4"/>
      <c r="D375" s="4"/>
      <c r="E375" s="4"/>
    </row>
    <row r="376" spans="1:5" ht="15.75" customHeight="1" x14ac:dyDescent="0.25">
      <c r="A376" s="4"/>
      <c r="B376" s="4"/>
      <c r="C376" s="4"/>
      <c r="D376" s="4"/>
      <c r="E376" s="4"/>
    </row>
    <row r="377" spans="1:5" ht="15.75" customHeight="1" x14ac:dyDescent="0.25">
      <c r="A377" s="4"/>
      <c r="B377" s="4"/>
      <c r="C377" s="4"/>
      <c r="D377" s="4"/>
      <c r="E377" s="4"/>
    </row>
    <row r="378" spans="1:5" ht="15.75" customHeight="1" x14ac:dyDescent="0.25">
      <c r="A378" s="4"/>
      <c r="B378" s="4"/>
      <c r="C378" s="4"/>
      <c r="D378" s="4"/>
      <c r="E378" s="4"/>
    </row>
    <row r="379" spans="1:5" ht="15.75" customHeight="1" x14ac:dyDescent="0.25">
      <c r="A379" s="4"/>
      <c r="B379" s="4"/>
      <c r="C379" s="4"/>
      <c r="D379" s="4"/>
      <c r="E379" s="4"/>
    </row>
    <row r="380" spans="1:5" ht="15.75" customHeight="1" x14ac:dyDescent="0.25">
      <c r="A380" s="4"/>
      <c r="B380" s="4"/>
      <c r="C380" s="4"/>
      <c r="D380" s="4"/>
      <c r="E380" s="4"/>
    </row>
    <row r="381" spans="1:5" ht="15.75" customHeight="1" x14ac:dyDescent="0.25">
      <c r="A381" s="4"/>
      <c r="B381" s="4"/>
      <c r="C381" s="4"/>
      <c r="D381" s="4"/>
      <c r="E381" s="4"/>
    </row>
    <row r="382" spans="1:5" ht="15.75" customHeight="1" x14ac:dyDescent="0.25">
      <c r="A382" s="4"/>
      <c r="B382" s="4"/>
      <c r="C382" s="4"/>
      <c r="D382" s="4"/>
      <c r="E382" s="4"/>
    </row>
    <row r="383" spans="1:5" ht="15.75" customHeight="1" x14ac:dyDescent="0.25">
      <c r="A383" s="4"/>
      <c r="B383" s="4"/>
      <c r="C383" s="4"/>
      <c r="D383" s="4"/>
      <c r="E383" s="4"/>
    </row>
    <row r="384" spans="1:5" ht="15.75" customHeight="1" x14ac:dyDescent="0.25">
      <c r="A384" s="4"/>
      <c r="B384" s="4"/>
      <c r="C384" s="4"/>
      <c r="D384" s="4"/>
      <c r="E384" s="4"/>
    </row>
    <row r="385" spans="1:5" ht="15.75" customHeight="1" x14ac:dyDescent="0.25">
      <c r="A385" s="4"/>
      <c r="B385" s="4"/>
      <c r="C385" s="4"/>
      <c r="D385" s="4"/>
      <c r="E385" s="4"/>
    </row>
    <row r="386" spans="1:5" ht="15.75" customHeight="1" x14ac:dyDescent="0.25">
      <c r="A386" s="4"/>
      <c r="B386" s="4"/>
      <c r="C386" s="4"/>
      <c r="D386" s="4"/>
      <c r="E386" s="4"/>
    </row>
    <row r="387" spans="1:5" ht="15.75" customHeight="1" x14ac:dyDescent="0.25">
      <c r="A387" s="4"/>
      <c r="B387" s="4"/>
      <c r="C387" s="4"/>
      <c r="D387" s="4"/>
      <c r="E387" s="4"/>
    </row>
    <row r="388" spans="1:5" ht="15.75" customHeight="1" x14ac:dyDescent="0.25">
      <c r="A388" s="4"/>
      <c r="B388" s="4"/>
      <c r="C388" s="4"/>
      <c r="D388" s="4"/>
      <c r="E388" s="4"/>
    </row>
    <row r="389" spans="1:5" ht="15.75" customHeight="1" x14ac:dyDescent="0.25">
      <c r="A389" s="4"/>
      <c r="B389" s="4"/>
      <c r="C389" s="4"/>
      <c r="D389" s="4"/>
      <c r="E389" s="4"/>
    </row>
    <row r="390" spans="1:5" ht="15.75" customHeight="1" x14ac:dyDescent="0.25">
      <c r="A390" s="4"/>
      <c r="B390" s="4"/>
      <c r="C390" s="4"/>
      <c r="D390" s="4"/>
      <c r="E390" s="4"/>
    </row>
    <row r="391" spans="1:5" ht="15.75" customHeight="1" x14ac:dyDescent="0.25">
      <c r="A391" s="4"/>
      <c r="B391" s="4"/>
      <c r="C391" s="4"/>
      <c r="D391" s="4"/>
      <c r="E391" s="4"/>
    </row>
    <row r="392" spans="1:5" ht="15.75" customHeight="1" x14ac:dyDescent="0.25">
      <c r="A392" s="4"/>
      <c r="B392" s="4"/>
      <c r="C392" s="4"/>
      <c r="D392" s="4"/>
      <c r="E392" s="4"/>
    </row>
    <row r="393" spans="1:5" ht="15.75" customHeight="1" x14ac:dyDescent="0.25">
      <c r="A393" s="4"/>
      <c r="B393" s="4"/>
      <c r="C393" s="4"/>
      <c r="D393" s="4"/>
      <c r="E393" s="4"/>
    </row>
    <row r="394" spans="1:5" ht="15.75" customHeight="1" x14ac:dyDescent="0.25">
      <c r="A394" s="4"/>
      <c r="B394" s="4"/>
      <c r="C394" s="4"/>
      <c r="D394" s="4"/>
      <c r="E394" s="4"/>
    </row>
    <row r="395" spans="1:5" ht="15.75" customHeight="1" x14ac:dyDescent="0.25">
      <c r="A395" s="4"/>
      <c r="B395" s="4"/>
      <c r="C395" s="4"/>
      <c r="D395" s="4"/>
      <c r="E395" s="4"/>
    </row>
    <row r="396" spans="1:5" ht="15.75" customHeight="1" x14ac:dyDescent="0.25">
      <c r="A396" s="4"/>
      <c r="B396" s="4"/>
      <c r="C396" s="4"/>
      <c r="D396" s="4"/>
      <c r="E396" s="4"/>
    </row>
    <row r="397" spans="1:5" ht="15.75" customHeight="1" x14ac:dyDescent="0.25">
      <c r="A397" s="4"/>
      <c r="B397" s="4"/>
      <c r="C397" s="4"/>
      <c r="D397" s="4"/>
      <c r="E397" s="4"/>
    </row>
    <row r="398" spans="1:5" ht="15.75" customHeight="1" x14ac:dyDescent="0.25">
      <c r="A398" s="4"/>
      <c r="B398" s="4"/>
      <c r="C398" s="4"/>
      <c r="D398" s="4"/>
      <c r="E398" s="4"/>
    </row>
    <row r="399" spans="1:5" ht="15.75" customHeight="1" x14ac:dyDescent="0.25">
      <c r="A399" s="4"/>
      <c r="B399" s="4"/>
      <c r="C399" s="4"/>
      <c r="D399" s="4"/>
      <c r="E399" s="4"/>
    </row>
    <row r="400" spans="1:5" ht="15.75" customHeight="1" x14ac:dyDescent="0.25">
      <c r="A400" s="4"/>
      <c r="B400" s="4"/>
      <c r="C400" s="4"/>
      <c r="D400" s="4"/>
      <c r="E400" s="4"/>
    </row>
    <row r="401" spans="1:5" ht="15.75" customHeight="1" x14ac:dyDescent="0.25">
      <c r="A401" s="4"/>
      <c r="B401" s="4"/>
      <c r="C401" s="4"/>
      <c r="D401" s="4"/>
      <c r="E401" s="4"/>
    </row>
    <row r="402" spans="1:5" ht="15.75" customHeight="1" x14ac:dyDescent="0.25">
      <c r="A402" s="4"/>
      <c r="B402" s="4"/>
      <c r="C402" s="4"/>
      <c r="D402" s="4"/>
      <c r="E402" s="4"/>
    </row>
    <row r="403" spans="1:5" ht="15.75" customHeight="1" x14ac:dyDescent="0.25">
      <c r="A403" s="4"/>
      <c r="B403" s="4"/>
      <c r="C403" s="4"/>
      <c r="D403" s="4"/>
      <c r="E403" s="4"/>
    </row>
    <row r="404" spans="1:5" ht="15.75" customHeight="1" x14ac:dyDescent="0.25">
      <c r="A404" s="4"/>
      <c r="B404" s="4"/>
      <c r="C404" s="4"/>
      <c r="D404" s="4"/>
      <c r="E404" s="4"/>
    </row>
    <row r="405" spans="1:5" ht="15.75" customHeight="1" x14ac:dyDescent="0.25">
      <c r="A405" s="4"/>
      <c r="B405" s="4"/>
      <c r="C405" s="4"/>
      <c r="D405" s="4"/>
      <c r="E405" s="4"/>
    </row>
    <row r="406" spans="1:5" ht="15.75" customHeight="1" x14ac:dyDescent="0.25">
      <c r="A406" s="4"/>
      <c r="B406" s="4"/>
      <c r="C406" s="4"/>
      <c r="D406" s="4"/>
      <c r="E406" s="4"/>
    </row>
    <row r="407" spans="1:5" ht="15.75" customHeight="1" x14ac:dyDescent="0.25">
      <c r="A407" s="4"/>
      <c r="B407" s="4"/>
      <c r="C407" s="4"/>
      <c r="D407" s="4"/>
      <c r="E407" s="4"/>
    </row>
    <row r="408" spans="1:5" ht="15.75" customHeight="1" x14ac:dyDescent="0.25">
      <c r="A408" s="4"/>
      <c r="B408" s="4"/>
      <c r="C408" s="4"/>
      <c r="D408" s="4"/>
      <c r="E408" s="4"/>
    </row>
    <row r="409" spans="1:5" ht="15.75" customHeight="1" x14ac:dyDescent="0.25">
      <c r="A409" s="4"/>
      <c r="B409" s="4"/>
      <c r="C409" s="4"/>
      <c r="D409" s="4"/>
      <c r="E409" s="4"/>
    </row>
    <row r="410" spans="1:5" ht="15.75" customHeight="1" x14ac:dyDescent="0.25">
      <c r="A410" s="4"/>
      <c r="B410" s="4"/>
      <c r="C410" s="4"/>
      <c r="D410" s="4"/>
      <c r="E410" s="4"/>
    </row>
    <row r="411" spans="1:5" ht="15.75" customHeight="1" x14ac:dyDescent="0.25">
      <c r="A411" s="4"/>
      <c r="B411" s="4"/>
      <c r="C411" s="4"/>
      <c r="D411" s="4"/>
      <c r="E411" s="4"/>
    </row>
    <row r="412" spans="1:5" ht="15.75" customHeight="1" x14ac:dyDescent="0.25">
      <c r="A412" s="4"/>
      <c r="B412" s="4"/>
      <c r="C412" s="4"/>
      <c r="D412" s="4"/>
      <c r="E412" s="4"/>
    </row>
    <row r="413" spans="1:5" ht="15.75" customHeight="1" x14ac:dyDescent="0.25">
      <c r="A413" s="4"/>
      <c r="B413" s="4"/>
      <c r="C413" s="4"/>
      <c r="D413" s="4"/>
      <c r="E413" s="4"/>
    </row>
    <row r="414" spans="1:5" ht="15.75" customHeight="1" x14ac:dyDescent="0.25">
      <c r="A414" s="4"/>
      <c r="B414" s="4"/>
      <c r="C414" s="4"/>
      <c r="D414" s="4"/>
      <c r="E414" s="4"/>
    </row>
    <row r="415" spans="1:5" ht="15.75" customHeight="1" x14ac:dyDescent="0.25">
      <c r="A415" s="4"/>
      <c r="B415" s="4"/>
      <c r="C415" s="4"/>
      <c r="D415" s="4"/>
      <c r="E415" s="4"/>
    </row>
    <row r="416" spans="1:5" ht="15.75" customHeight="1" x14ac:dyDescent="0.25">
      <c r="A416" s="4"/>
      <c r="B416" s="4"/>
      <c r="C416" s="4"/>
      <c r="D416" s="4"/>
      <c r="E416" s="4"/>
    </row>
    <row r="417" spans="1:5" ht="15.75" customHeight="1" x14ac:dyDescent="0.25">
      <c r="A417" s="4"/>
      <c r="B417" s="4"/>
      <c r="C417" s="4"/>
      <c r="D417" s="4"/>
      <c r="E417" s="4"/>
    </row>
    <row r="418" spans="1:5" ht="15.75" customHeight="1" x14ac:dyDescent="0.25">
      <c r="A418" s="4"/>
      <c r="B418" s="4"/>
      <c r="C418" s="4"/>
      <c r="D418" s="4"/>
      <c r="E418" s="4"/>
    </row>
    <row r="419" spans="1:5" ht="15.75" customHeight="1" x14ac:dyDescent="0.25">
      <c r="A419" s="4"/>
      <c r="B419" s="4"/>
      <c r="C419" s="4"/>
      <c r="D419" s="4"/>
      <c r="E419" s="4"/>
    </row>
    <row r="420" spans="1:5" ht="15.75" customHeight="1" x14ac:dyDescent="0.25">
      <c r="A420" s="4"/>
      <c r="B420" s="4"/>
      <c r="C420" s="4"/>
      <c r="D420" s="4"/>
      <c r="E420" s="4"/>
    </row>
    <row r="421" spans="1:5" ht="15.75" customHeight="1" x14ac:dyDescent="0.25">
      <c r="A421" s="4"/>
      <c r="B421" s="4"/>
      <c r="C421" s="4"/>
      <c r="D421" s="4"/>
      <c r="E421" s="4"/>
    </row>
    <row r="422" spans="1:5" ht="15.75" customHeight="1" x14ac:dyDescent="0.25">
      <c r="A422" s="4"/>
      <c r="B422" s="4"/>
      <c r="C422" s="4"/>
      <c r="D422" s="4"/>
      <c r="E422" s="4"/>
    </row>
    <row r="423" spans="1:5" ht="15.75" customHeight="1" x14ac:dyDescent="0.25">
      <c r="A423" s="4"/>
      <c r="B423" s="4"/>
      <c r="C423" s="4"/>
      <c r="D423" s="4"/>
      <c r="E423" s="4"/>
    </row>
    <row r="424" spans="1:5" ht="15.75" customHeight="1" x14ac:dyDescent="0.25">
      <c r="A424" s="4"/>
      <c r="B424" s="4"/>
      <c r="C424" s="4"/>
      <c r="D424" s="4"/>
      <c r="E424" s="4"/>
    </row>
    <row r="425" spans="1:5" ht="15.75" customHeight="1" x14ac:dyDescent="0.25">
      <c r="A425" s="4"/>
      <c r="B425" s="4"/>
      <c r="C425" s="4"/>
      <c r="D425" s="4"/>
      <c r="E425" s="4"/>
    </row>
    <row r="426" spans="1:5" ht="15.75" customHeight="1" x14ac:dyDescent="0.25">
      <c r="A426" s="4"/>
      <c r="B426" s="4"/>
      <c r="C426" s="4"/>
      <c r="D426" s="4"/>
      <c r="E426" s="4"/>
    </row>
    <row r="427" spans="1:5" ht="15.75" customHeight="1" x14ac:dyDescent="0.25">
      <c r="A427" s="4"/>
      <c r="B427" s="4"/>
      <c r="C427" s="4"/>
      <c r="D427" s="4"/>
      <c r="E427" s="4"/>
    </row>
    <row r="428" spans="1:5" ht="15.75" customHeight="1" x14ac:dyDescent="0.25">
      <c r="A428" s="4"/>
      <c r="B428" s="4"/>
      <c r="C428" s="4"/>
      <c r="D428" s="4"/>
      <c r="E428" s="4"/>
    </row>
    <row r="429" spans="1:5" ht="15.75" customHeight="1" x14ac:dyDescent="0.25">
      <c r="A429" s="4"/>
      <c r="B429" s="4"/>
      <c r="C429" s="4"/>
      <c r="D429" s="4"/>
      <c r="E429" s="4"/>
    </row>
    <row r="430" spans="1:5" ht="15.75" customHeight="1" x14ac:dyDescent="0.25">
      <c r="A430" s="4"/>
      <c r="B430" s="4"/>
      <c r="C430" s="4"/>
      <c r="D430" s="4"/>
      <c r="E430" s="4"/>
    </row>
    <row r="431" spans="1:5" ht="15.75" customHeight="1" x14ac:dyDescent="0.25">
      <c r="A431" s="4"/>
      <c r="B431" s="4"/>
      <c r="C431" s="4"/>
      <c r="D431" s="4"/>
      <c r="E431" s="4"/>
    </row>
    <row r="432" spans="1:5" ht="15.75" customHeight="1" x14ac:dyDescent="0.25">
      <c r="A432" s="4"/>
      <c r="B432" s="4"/>
      <c r="C432" s="4"/>
      <c r="D432" s="4"/>
      <c r="E432" s="4"/>
    </row>
    <row r="433" spans="1:5" ht="15.75" customHeight="1" x14ac:dyDescent="0.25">
      <c r="A433" s="4"/>
      <c r="B433" s="4"/>
      <c r="C433" s="4"/>
      <c r="D433" s="4"/>
      <c r="E433" s="4"/>
    </row>
    <row r="434" spans="1:5" ht="15.75" customHeight="1" x14ac:dyDescent="0.25">
      <c r="A434" s="4"/>
      <c r="B434" s="4"/>
      <c r="C434" s="4"/>
      <c r="D434" s="4"/>
      <c r="E434" s="4"/>
    </row>
    <row r="435" spans="1:5" ht="15.75" customHeight="1" x14ac:dyDescent="0.25">
      <c r="A435" s="4"/>
      <c r="B435" s="4"/>
      <c r="C435" s="4"/>
      <c r="D435" s="4"/>
      <c r="E435" s="4"/>
    </row>
    <row r="436" spans="1:5" ht="15.75" customHeight="1" x14ac:dyDescent="0.25">
      <c r="A436" s="4"/>
      <c r="B436" s="4"/>
      <c r="C436" s="4"/>
      <c r="D436" s="4"/>
      <c r="E436" s="4"/>
    </row>
    <row r="437" spans="1:5" ht="15.75" customHeight="1" x14ac:dyDescent="0.25">
      <c r="A437" s="4"/>
      <c r="B437" s="4"/>
      <c r="C437" s="4"/>
      <c r="D437" s="4"/>
      <c r="E437" s="4"/>
    </row>
    <row r="438" spans="1:5" ht="15.75" customHeight="1" x14ac:dyDescent="0.25">
      <c r="A438" s="4"/>
      <c r="B438" s="4"/>
      <c r="C438" s="4"/>
      <c r="D438" s="4"/>
      <c r="E438" s="4"/>
    </row>
    <row r="439" spans="1:5" ht="15.75" customHeight="1" x14ac:dyDescent="0.25">
      <c r="A439" s="4"/>
      <c r="B439" s="4"/>
      <c r="C439" s="4"/>
      <c r="D439" s="4"/>
      <c r="E439" s="4"/>
    </row>
    <row r="440" spans="1:5" ht="15.75" customHeight="1" x14ac:dyDescent="0.25">
      <c r="A440" s="4"/>
      <c r="B440" s="4"/>
      <c r="C440" s="4"/>
      <c r="D440" s="4"/>
      <c r="E440" s="4"/>
    </row>
    <row r="441" spans="1:5" ht="15.75" customHeight="1" x14ac:dyDescent="0.25">
      <c r="A441" s="4"/>
      <c r="B441" s="4"/>
      <c r="C441" s="4"/>
      <c r="D441" s="4"/>
      <c r="E441" s="4"/>
    </row>
    <row r="442" spans="1:5" ht="15.75" customHeight="1" x14ac:dyDescent="0.25">
      <c r="A442" s="4"/>
      <c r="B442" s="4"/>
      <c r="C442" s="4"/>
      <c r="D442" s="4"/>
      <c r="E442" s="4"/>
    </row>
    <row r="443" spans="1:5" ht="15.75" customHeight="1" x14ac:dyDescent="0.25">
      <c r="A443" s="4"/>
      <c r="B443" s="4"/>
      <c r="C443" s="4"/>
      <c r="D443" s="4"/>
      <c r="E443" s="4"/>
    </row>
    <row r="444" spans="1:5" ht="15.75" customHeight="1" x14ac:dyDescent="0.25">
      <c r="A444" s="4"/>
      <c r="B444" s="4"/>
      <c r="C444" s="4"/>
      <c r="D444" s="4"/>
      <c r="E444" s="4"/>
    </row>
    <row r="445" spans="1:5" ht="15.75" customHeight="1" x14ac:dyDescent="0.25">
      <c r="A445" s="4"/>
      <c r="B445" s="4"/>
      <c r="C445" s="4"/>
      <c r="D445" s="4"/>
      <c r="E445" s="4"/>
    </row>
    <row r="446" spans="1:5" ht="15.75" customHeight="1" x14ac:dyDescent="0.25">
      <c r="A446" s="4"/>
      <c r="B446" s="4"/>
      <c r="C446" s="4"/>
      <c r="D446" s="4"/>
      <c r="E446" s="4"/>
    </row>
    <row r="447" spans="1:5" ht="15.75" customHeight="1" x14ac:dyDescent="0.25">
      <c r="A447" s="4"/>
      <c r="B447" s="4"/>
      <c r="C447" s="4"/>
      <c r="D447" s="4"/>
      <c r="E447" s="4"/>
    </row>
    <row r="448" spans="1:5" ht="15.75" customHeight="1" x14ac:dyDescent="0.25">
      <c r="A448" s="4"/>
      <c r="B448" s="4"/>
      <c r="C448" s="4"/>
      <c r="D448" s="4"/>
      <c r="E448" s="4"/>
    </row>
    <row r="449" spans="1:5" ht="15.75" customHeight="1" x14ac:dyDescent="0.25">
      <c r="A449" s="4"/>
      <c r="B449" s="4"/>
      <c r="C449" s="4"/>
      <c r="D449" s="4"/>
      <c r="E449" s="4"/>
    </row>
    <row r="450" spans="1:5" ht="15.75" customHeight="1" x14ac:dyDescent="0.25">
      <c r="A450" s="4"/>
      <c r="B450" s="4"/>
      <c r="C450" s="4"/>
      <c r="D450" s="4"/>
      <c r="E450" s="4"/>
    </row>
    <row r="451" spans="1:5" ht="15.75" customHeight="1" x14ac:dyDescent="0.25">
      <c r="A451" s="4"/>
      <c r="B451" s="4"/>
      <c r="C451" s="4"/>
      <c r="D451" s="4"/>
      <c r="E451" s="4"/>
    </row>
    <row r="452" spans="1:5" ht="15.75" customHeight="1" x14ac:dyDescent="0.25">
      <c r="A452" s="4"/>
      <c r="B452" s="4"/>
      <c r="C452" s="4"/>
      <c r="D452" s="4"/>
      <c r="E452" s="4"/>
    </row>
    <row r="453" spans="1:5" ht="15.75" customHeight="1" x14ac:dyDescent="0.25">
      <c r="A453" s="4"/>
      <c r="B453" s="4"/>
      <c r="C453" s="4"/>
      <c r="D453" s="4"/>
      <c r="E453" s="4"/>
    </row>
    <row r="454" spans="1:5" ht="15.75" customHeight="1" x14ac:dyDescent="0.25">
      <c r="A454" s="4"/>
      <c r="B454" s="4"/>
      <c r="C454" s="4"/>
      <c r="D454" s="4"/>
      <c r="E454" s="4"/>
    </row>
    <row r="455" spans="1:5" ht="15.75" customHeight="1" x14ac:dyDescent="0.25">
      <c r="A455" s="4"/>
      <c r="B455" s="4"/>
      <c r="C455" s="4"/>
      <c r="D455" s="4"/>
      <c r="E455" s="4"/>
    </row>
    <row r="456" spans="1:5" ht="15.75" customHeight="1" x14ac:dyDescent="0.25">
      <c r="A456" s="4"/>
      <c r="B456" s="4"/>
      <c r="C456" s="4"/>
      <c r="D456" s="4"/>
      <c r="E456" s="4"/>
    </row>
    <row r="457" spans="1:5" ht="15.75" customHeight="1" x14ac:dyDescent="0.25">
      <c r="A457" s="4"/>
      <c r="B457" s="4"/>
      <c r="C457" s="4"/>
      <c r="D457" s="4"/>
      <c r="E457" s="4"/>
    </row>
    <row r="458" spans="1:5" ht="15.75" customHeight="1" x14ac:dyDescent="0.25">
      <c r="A458" s="4"/>
      <c r="B458" s="4"/>
      <c r="C458" s="4"/>
      <c r="D458" s="4"/>
      <c r="E458" s="4"/>
    </row>
    <row r="459" spans="1:5" ht="15.75" customHeight="1" x14ac:dyDescent="0.25">
      <c r="A459" s="4"/>
      <c r="B459" s="4"/>
      <c r="C459" s="4"/>
      <c r="D459" s="4"/>
      <c r="E459" s="4"/>
    </row>
    <row r="460" spans="1:5" ht="15.75" customHeight="1" x14ac:dyDescent="0.25">
      <c r="A460" s="4"/>
      <c r="B460" s="4"/>
      <c r="C460" s="4"/>
      <c r="D460" s="4"/>
      <c r="E460" s="4"/>
    </row>
    <row r="461" spans="1:5" ht="15.75" customHeight="1" x14ac:dyDescent="0.25">
      <c r="A461" s="4"/>
      <c r="B461" s="4"/>
      <c r="C461" s="4"/>
      <c r="D461" s="4"/>
      <c r="E461" s="4"/>
    </row>
    <row r="462" spans="1:5" ht="15.75" customHeight="1" x14ac:dyDescent="0.25">
      <c r="A462" s="4"/>
      <c r="B462" s="4"/>
      <c r="C462" s="4"/>
      <c r="D462" s="4"/>
      <c r="E462" s="4"/>
    </row>
    <row r="463" spans="1:5" ht="15.75" customHeight="1" x14ac:dyDescent="0.25">
      <c r="A463" s="4"/>
      <c r="B463" s="4"/>
      <c r="C463" s="4"/>
      <c r="D463" s="4"/>
      <c r="E463" s="4"/>
    </row>
    <row r="464" spans="1:5" ht="15.75" customHeight="1" x14ac:dyDescent="0.25">
      <c r="A464" s="4"/>
      <c r="B464" s="4"/>
      <c r="C464" s="4"/>
      <c r="D464" s="4"/>
      <c r="E464" s="4"/>
    </row>
    <row r="465" spans="1:5" ht="15.75" customHeight="1" x14ac:dyDescent="0.25">
      <c r="A465" s="4"/>
      <c r="B465" s="4"/>
      <c r="C465" s="4"/>
      <c r="D465" s="4"/>
      <c r="E465" s="4"/>
    </row>
    <row r="466" spans="1:5" ht="15.75" customHeight="1" x14ac:dyDescent="0.25">
      <c r="A466" s="4"/>
      <c r="B466" s="4"/>
      <c r="C466" s="4"/>
      <c r="D466" s="4"/>
      <c r="E466" s="4"/>
    </row>
    <row r="467" spans="1:5" ht="15.75" customHeight="1" x14ac:dyDescent="0.25">
      <c r="A467" s="4"/>
      <c r="B467" s="4"/>
      <c r="C467" s="4"/>
      <c r="D467" s="4"/>
      <c r="E467" s="4"/>
    </row>
    <row r="468" spans="1:5" ht="15.75" customHeight="1" x14ac:dyDescent="0.25">
      <c r="A468" s="4"/>
      <c r="B468" s="4"/>
      <c r="C468" s="4"/>
      <c r="D468" s="4"/>
      <c r="E468" s="4"/>
    </row>
    <row r="469" spans="1:5" ht="15.75" customHeight="1" x14ac:dyDescent="0.25">
      <c r="A469" s="4"/>
      <c r="B469" s="4"/>
      <c r="C469" s="4"/>
      <c r="D469" s="4"/>
      <c r="E469" s="4"/>
    </row>
    <row r="470" spans="1:5" ht="15.75" customHeight="1" x14ac:dyDescent="0.25">
      <c r="A470" s="4"/>
      <c r="B470" s="4"/>
      <c r="C470" s="4"/>
      <c r="D470" s="4"/>
      <c r="E470" s="4"/>
    </row>
    <row r="471" spans="1:5" ht="15.75" customHeight="1" x14ac:dyDescent="0.25">
      <c r="A471" s="4"/>
      <c r="B471" s="4"/>
      <c r="C471" s="4"/>
      <c r="D471" s="4"/>
      <c r="E471" s="4"/>
    </row>
    <row r="472" spans="1:5" ht="15.75" customHeight="1" x14ac:dyDescent="0.25">
      <c r="A472" s="4"/>
      <c r="B472" s="4"/>
      <c r="C472" s="4"/>
      <c r="D472" s="4"/>
      <c r="E472" s="4"/>
    </row>
    <row r="473" spans="1:5" ht="15.75" customHeight="1" x14ac:dyDescent="0.25">
      <c r="A473" s="4"/>
      <c r="B473" s="4"/>
      <c r="C473" s="4"/>
      <c r="D473" s="4"/>
      <c r="E473" s="4"/>
    </row>
    <row r="474" spans="1:5" ht="15.75" customHeight="1" x14ac:dyDescent="0.25">
      <c r="A474" s="4"/>
      <c r="B474" s="4"/>
      <c r="C474" s="4"/>
      <c r="D474" s="4"/>
      <c r="E474" s="4"/>
    </row>
    <row r="475" spans="1:5" ht="15.75" customHeight="1" x14ac:dyDescent="0.25">
      <c r="A475" s="4"/>
      <c r="B475" s="4"/>
      <c r="C475" s="4"/>
      <c r="D475" s="4"/>
      <c r="E475" s="4"/>
    </row>
    <row r="476" spans="1:5" ht="15.75" customHeight="1" x14ac:dyDescent="0.25">
      <c r="A476" s="4"/>
      <c r="B476" s="4"/>
      <c r="C476" s="4"/>
      <c r="D476" s="4"/>
      <c r="E476" s="4"/>
    </row>
    <row r="477" spans="1:5" ht="15.75" customHeight="1" x14ac:dyDescent="0.25">
      <c r="A477" s="4"/>
      <c r="B477" s="4"/>
      <c r="C477" s="4"/>
      <c r="D477" s="4"/>
      <c r="E477" s="4"/>
    </row>
    <row r="478" spans="1:5" ht="15.75" customHeight="1" x14ac:dyDescent="0.25">
      <c r="A478" s="4"/>
      <c r="B478" s="4"/>
      <c r="C478" s="4"/>
      <c r="D478" s="4"/>
      <c r="E478" s="4"/>
    </row>
    <row r="479" spans="1:5" ht="15.75" customHeight="1" x14ac:dyDescent="0.25">
      <c r="A479" s="4"/>
      <c r="B479" s="4"/>
      <c r="C479" s="4"/>
      <c r="D479" s="4"/>
      <c r="E479" s="4"/>
    </row>
    <row r="480" spans="1:5" ht="15.75" customHeight="1" x14ac:dyDescent="0.25">
      <c r="A480" s="4"/>
      <c r="B480" s="4"/>
      <c r="C480" s="4"/>
      <c r="D480" s="4"/>
      <c r="E480" s="4"/>
    </row>
    <row r="481" spans="1:5" ht="15.75" customHeight="1" x14ac:dyDescent="0.25">
      <c r="A481" s="4"/>
      <c r="B481" s="4"/>
      <c r="C481" s="4"/>
      <c r="D481" s="4"/>
      <c r="E481" s="4"/>
    </row>
    <row r="482" spans="1:5" ht="15.75" customHeight="1" x14ac:dyDescent="0.25">
      <c r="A482" s="4"/>
      <c r="B482" s="4"/>
      <c r="C482" s="4"/>
      <c r="D482" s="4"/>
      <c r="E482" s="4"/>
    </row>
    <row r="483" spans="1:5" ht="15.75" customHeight="1" x14ac:dyDescent="0.25">
      <c r="A483" s="4"/>
      <c r="B483" s="4"/>
      <c r="C483" s="4"/>
      <c r="D483" s="4"/>
      <c r="E483" s="4"/>
    </row>
    <row r="484" spans="1:5" ht="15.75" customHeight="1" x14ac:dyDescent="0.25">
      <c r="A484" s="4"/>
      <c r="B484" s="4"/>
      <c r="C484" s="4"/>
      <c r="D484" s="4"/>
      <c r="E484" s="4"/>
    </row>
    <row r="485" spans="1:5" ht="15.75" customHeight="1" x14ac:dyDescent="0.25">
      <c r="A485" s="4"/>
      <c r="B485" s="4"/>
      <c r="C485" s="4"/>
      <c r="D485" s="4"/>
      <c r="E485" s="4"/>
    </row>
    <row r="486" spans="1:5" ht="15.75" customHeight="1" x14ac:dyDescent="0.25">
      <c r="A486" s="4"/>
      <c r="B486" s="4"/>
      <c r="C486" s="4"/>
      <c r="D486" s="4"/>
      <c r="E486" s="4"/>
    </row>
    <row r="487" spans="1:5" ht="15.75" customHeight="1" x14ac:dyDescent="0.25">
      <c r="A487" s="4"/>
      <c r="B487" s="4"/>
      <c r="C487" s="4"/>
      <c r="D487" s="4"/>
      <c r="E487" s="4"/>
    </row>
    <row r="488" spans="1:5" ht="15.75" customHeight="1" x14ac:dyDescent="0.25">
      <c r="A488" s="4"/>
      <c r="B488" s="4"/>
      <c r="C488" s="4"/>
      <c r="D488" s="4"/>
      <c r="E488" s="4"/>
    </row>
    <row r="489" spans="1:5" ht="15.75" customHeight="1" x14ac:dyDescent="0.25">
      <c r="A489" s="4"/>
      <c r="B489" s="4"/>
      <c r="C489" s="4"/>
      <c r="D489" s="4"/>
      <c r="E489" s="4"/>
    </row>
    <row r="490" spans="1:5" ht="15.75" customHeight="1" x14ac:dyDescent="0.25">
      <c r="A490" s="4"/>
      <c r="B490" s="4"/>
      <c r="C490" s="4"/>
      <c r="D490" s="4"/>
      <c r="E490" s="4"/>
    </row>
    <row r="491" spans="1:5" ht="15.75" customHeight="1" x14ac:dyDescent="0.25">
      <c r="A491" s="4"/>
      <c r="B491" s="4"/>
      <c r="C491" s="4"/>
      <c r="D491" s="4"/>
      <c r="E491" s="4"/>
    </row>
    <row r="492" spans="1:5" ht="15.75" customHeight="1" x14ac:dyDescent="0.25">
      <c r="A492" s="4"/>
      <c r="B492" s="4"/>
      <c r="C492" s="4"/>
      <c r="D492" s="4"/>
      <c r="E492" s="4"/>
    </row>
    <row r="493" spans="1:5" ht="15.75" customHeight="1" x14ac:dyDescent="0.25">
      <c r="A493" s="4"/>
      <c r="B493" s="4"/>
      <c r="C493" s="4"/>
      <c r="D493" s="4"/>
      <c r="E493" s="4"/>
    </row>
    <row r="494" spans="1:5" ht="15.75" customHeight="1" x14ac:dyDescent="0.25">
      <c r="A494" s="4"/>
      <c r="B494" s="4"/>
      <c r="C494" s="4"/>
      <c r="D494" s="4"/>
      <c r="E494" s="4"/>
    </row>
    <row r="495" spans="1:5" ht="15.75" customHeight="1" x14ac:dyDescent="0.25">
      <c r="A495" s="4"/>
      <c r="B495" s="4"/>
      <c r="C495" s="4"/>
      <c r="D495" s="4"/>
      <c r="E495" s="4"/>
    </row>
    <row r="496" spans="1:5" ht="15.75" customHeight="1" x14ac:dyDescent="0.25">
      <c r="A496" s="4"/>
      <c r="B496" s="4"/>
      <c r="C496" s="4"/>
      <c r="D496" s="4"/>
      <c r="E496" s="4"/>
    </row>
    <row r="497" spans="1:5" ht="15.75" customHeight="1" x14ac:dyDescent="0.25">
      <c r="A497" s="4"/>
      <c r="B497" s="4"/>
      <c r="C497" s="4"/>
      <c r="D497" s="4"/>
      <c r="E497" s="4"/>
    </row>
    <row r="498" spans="1:5" ht="15.75" customHeight="1" x14ac:dyDescent="0.25">
      <c r="A498" s="4"/>
      <c r="B498" s="4"/>
      <c r="C498" s="4"/>
      <c r="D498" s="4"/>
      <c r="E498" s="4"/>
    </row>
    <row r="499" spans="1:5" ht="15.75" customHeight="1" x14ac:dyDescent="0.25">
      <c r="A499" s="4"/>
      <c r="B499" s="4"/>
      <c r="C499" s="4"/>
      <c r="D499" s="4"/>
      <c r="E499" s="4"/>
    </row>
    <row r="500" spans="1:5" ht="15.75" customHeight="1" x14ac:dyDescent="0.25">
      <c r="A500" s="4"/>
      <c r="B500" s="4"/>
      <c r="C500" s="4"/>
      <c r="D500" s="4"/>
      <c r="E500" s="4"/>
    </row>
    <row r="501" spans="1:5" ht="15.75" customHeight="1" x14ac:dyDescent="0.25">
      <c r="A501" s="4"/>
      <c r="B501" s="4"/>
      <c r="C501" s="4"/>
      <c r="D501" s="4"/>
      <c r="E501" s="4"/>
    </row>
    <row r="502" spans="1:5" ht="15.75" customHeight="1" x14ac:dyDescent="0.25">
      <c r="A502" s="4"/>
      <c r="B502" s="4"/>
      <c r="C502" s="4"/>
      <c r="D502" s="4"/>
      <c r="E502" s="4"/>
    </row>
    <row r="503" spans="1:5" ht="15.75" customHeight="1" x14ac:dyDescent="0.25">
      <c r="A503" s="4"/>
      <c r="B503" s="4"/>
      <c r="C503" s="4"/>
      <c r="D503" s="4"/>
      <c r="E503" s="4"/>
    </row>
    <row r="504" spans="1:5" ht="15.75" customHeight="1" x14ac:dyDescent="0.25">
      <c r="A504" s="4"/>
      <c r="B504" s="4"/>
      <c r="C504" s="4"/>
      <c r="D504" s="4"/>
      <c r="E504" s="4"/>
    </row>
    <row r="505" spans="1:5" ht="15.75" customHeight="1" x14ac:dyDescent="0.25">
      <c r="A505" s="4"/>
      <c r="B505" s="4"/>
      <c r="C505" s="4"/>
      <c r="D505" s="4"/>
      <c r="E505" s="4"/>
    </row>
    <row r="506" spans="1:5" ht="15.75" customHeight="1" x14ac:dyDescent="0.25">
      <c r="A506" s="4"/>
      <c r="B506" s="4"/>
      <c r="C506" s="4"/>
      <c r="D506" s="4"/>
      <c r="E506" s="4"/>
    </row>
    <row r="507" spans="1:5" ht="15.75" customHeight="1" x14ac:dyDescent="0.25">
      <c r="A507" s="4"/>
      <c r="B507" s="4"/>
      <c r="C507" s="4"/>
      <c r="D507" s="4"/>
      <c r="E507" s="4"/>
    </row>
    <row r="508" spans="1:5" ht="15.75" customHeight="1" x14ac:dyDescent="0.25">
      <c r="A508" s="4"/>
      <c r="B508" s="4"/>
      <c r="C508" s="4"/>
      <c r="D508" s="4"/>
      <c r="E508" s="4"/>
    </row>
    <row r="509" spans="1:5" ht="15.75" customHeight="1" x14ac:dyDescent="0.25">
      <c r="A509" s="4"/>
      <c r="B509" s="4"/>
      <c r="C509" s="4"/>
      <c r="D509" s="4"/>
      <c r="E509" s="4"/>
    </row>
    <row r="510" spans="1:5" ht="15.75" customHeight="1" x14ac:dyDescent="0.25">
      <c r="A510" s="4"/>
      <c r="B510" s="4"/>
      <c r="C510" s="4"/>
      <c r="D510" s="4"/>
      <c r="E510" s="4"/>
    </row>
    <row r="511" spans="1:5" ht="15.75" customHeight="1" x14ac:dyDescent="0.25">
      <c r="A511" s="4"/>
      <c r="B511" s="4"/>
      <c r="C511" s="4"/>
      <c r="D511" s="4"/>
      <c r="E511" s="4"/>
    </row>
    <row r="512" spans="1:5" ht="15.75" customHeight="1" x14ac:dyDescent="0.25">
      <c r="A512" s="4"/>
      <c r="B512" s="4"/>
      <c r="C512" s="4"/>
      <c r="D512" s="4"/>
      <c r="E512" s="4"/>
    </row>
    <row r="513" spans="1:5" ht="15.75" customHeight="1" x14ac:dyDescent="0.25">
      <c r="A513" s="4"/>
      <c r="B513" s="4"/>
      <c r="C513" s="4"/>
      <c r="D513" s="4"/>
      <c r="E513" s="4"/>
    </row>
    <row r="514" spans="1:5" ht="15.75" customHeight="1" x14ac:dyDescent="0.25">
      <c r="A514" s="4"/>
      <c r="B514" s="4"/>
      <c r="C514" s="4"/>
      <c r="D514" s="4"/>
      <c r="E514" s="4"/>
    </row>
    <row r="515" spans="1:5" ht="15.75" customHeight="1" x14ac:dyDescent="0.25">
      <c r="A515" s="4"/>
      <c r="B515" s="4"/>
      <c r="C515" s="4"/>
      <c r="D515" s="4"/>
      <c r="E515" s="4"/>
    </row>
    <row r="516" spans="1:5" ht="15.75" customHeight="1" x14ac:dyDescent="0.25">
      <c r="A516" s="4"/>
      <c r="B516" s="4"/>
      <c r="C516" s="4"/>
      <c r="D516" s="4"/>
      <c r="E516" s="4"/>
    </row>
    <row r="517" spans="1:5" ht="15.75" customHeight="1" x14ac:dyDescent="0.25">
      <c r="A517" s="4"/>
      <c r="B517" s="4"/>
      <c r="C517" s="4"/>
      <c r="D517" s="4"/>
      <c r="E517" s="4"/>
    </row>
    <row r="518" spans="1:5" ht="15.75" customHeight="1" x14ac:dyDescent="0.25">
      <c r="A518" s="4"/>
      <c r="B518" s="4"/>
      <c r="C518" s="4"/>
      <c r="D518" s="4"/>
      <c r="E518" s="4"/>
    </row>
    <row r="519" spans="1:5" ht="15.75" customHeight="1" x14ac:dyDescent="0.25">
      <c r="A519" s="4"/>
      <c r="B519" s="4"/>
      <c r="C519" s="4"/>
      <c r="D519" s="4"/>
      <c r="E519" s="4"/>
    </row>
    <row r="520" spans="1:5" ht="15.75" customHeight="1" x14ac:dyDescent="0.25">
      <c r="A520" s="4"/>
      <c r="B520" s="4"/>
      <c r="C520" s="4"/>
      <c r="D520" s="4"/>
      <c r="E520" s="4"/>
    </row>
    <row r="521" spans="1:5" ht="15.75" customHeight="1" x14ac:dyDescent="0.25">
      <c r="A521" s="4"/>
      <c r="B521" s="4"/>
      <c r="C521" s="4"/>
      <c r="D521" s="4"/>
      <c r="E521" s="4"/>
    </row>
    <row r="522" spans="1:5" ht="15.75" customHeight="1" x14ac:dyDescent="0.25">
      <c r="A522" s="4"/>
      <c r="B522" s="4"/>
      <c r="C522" s="4"/>
      <c r="D522" s="4"/>
      <c r="E522" s="4"/>
    </row>
    <row r="523" spans="1:5" ht="15.75" customHeight="1" x14ac:dyDescent="0.25">
      <c r="A523" s="4"/>
      <c r="B523" s="4"/>
      <c r="C523" s="4"/>
      <c r="D523" s="4"/>
      <c r="E523" s="4"/>
    </row>
    <row r="524" spans="1:5" ht="15.75" customHeight="1" x14ac:dyDescent="0.25">
      <c r="A524" s="4"/>
      <c r="B524" s="4"/>
      <c r="C524" s="4"/>
      <c r="D524" s="4"/>
      <c r="E524" s="4"/>
    </row>
    <row r="525" spans="1:5" ht="15.75" customHeight="1" x14ac:dyDescent="0.25">
      <c r="A525" s="4"/>
      <c r="B525" s="4"/>
      <c r="C525" s="4"/>
      <c r="D525" s="4"/>
      <c r="E525" s="4"/>
    </row>
    <row r="526" spans="1:5" ht="15.75" customHeight="1" x14ac:dyDescent="0.25">
      <c r="A526" s="4"/>
      <c r="B526" s="4"/>
      <c r="C526" s="4"/>
      <c r="D526" s="4"/>
      <c r="E526" s="4"/>
    </row>
    <row r="527" spans="1:5" ht="15.75" customHeight="1" x14ac:dyDescent="0.25">
      <c r="A527" s="4"/>
      <c r="B527" s="4"/>
      <c r="C527" s="4"/>
      <c r="D527" s="4"/>
      <c r="E527" s="4"/>
    </row>
    <row r="528" spans="1:5" ht="15.75" customHeight="1" x14ac:dyDescent="0.25">
      <c r="A528" s="4"/>
      <c r="B528" s="4"/>
      <c r="C528" s="4"/>
      <c r="D528" s="4"/>
      <c r="E528" s="4"/>
    </row>
    <row r="529" spans="1:5" ht="15.75" customHeight="1" x14ac:dyDescent="0.25">
      <c r="A529" s="4"/>
      <c r="B529" s="4"/>
      <c r="C529" s="4"/>
      <c r="D529" s="4"/>
      <c r="E529" s="4"/>
    </row>
    <row r="530" spans="1:5" ht="15.75" customHeight="1" x14ac:dyDescent="0.25">
      <c r="A530" s="4"/>
      <c r="B530" s="4"/>
      <c r="C530" s="4"/>
      <c r="D530" s="4"/>
      <c r="E530" s="4"/>
    </row>
    <row r="531" spans="1:5" ht="15.75" customHeight="1" x14ac:dyDescent="0.25">
      <c r="A531" s="4"/>
      <c r="B531" s="4"/>
      <c r="C531" s="4"/>
      <c r="D531" s="4"/>
      <c r="E531" s="4"/>
    </row>
    <row r="532" spans="1:5" ht="15.75" customHeight="1" x14ac:dyDescent="0.25">
      <c r="A532" s="4"/>
      <c r="B532" s="4"/>
      <c r="C532" s="4"/>
      <c r="D532" s="4"/>
      <c r="E532" s="4"/>
    </row>
    <row r="533" spans="1:5" ht="15.75" customHeight="1" x14ac:dyDescent="0.25">
      <c r="A533" s="4"/>
      <c r="B533" s="4"/>
      <c r="C533" s="4"/>
      <c r="D533" s="4"/>
      <c r="E533" s="4"/>
    </row>
    <row r="534" spans="1:5" ht="15.75" customHeight="1" x14ac:dyDescent="0.25">
      <c r="A534" s="4"/>
      <c r="B534" s="4"/>
      <c r="C534" s="4"/>
      <c r="D534" s="4"/>
      <c r="E534" s="4"/>
    </row>
    <row r="535" spans="1:5" ht="15.75" customHeight="1" x14ac:dyDescent="0.25">
      <c r="A535" s="4"/>
      <c r="B535" s="4"/>
      <c r="C535" s="4"/>
      <c r="D535" s="4"/>
      <c r="E535" s="4"/>
    </row>
    <row r="536" spans="1:5" ht="15.75" customHeight="1" x14ac:dyDescent="0.25">
      <c r="A536" s="4"/>
      <c r="B536" s="4"/>
      <c r="C536" s="4"/>
      <c r="D536" s="4"/>
      <c r="E536" s="4"/>
    </row>
    <row r="537" spans="1:5" ht="15.75" customHeight="1" x14ac:dyDescent="0.25">
      <c r="A537" s="4"/>
      <c r="B537" s="4"/>
      <c r="C537" s="4"/>
      <c r="D537" s="4"/>
      <c r="E537" s="4"/>
    </row>
    <row r="538" spans="1:5" ht="15.75" customHeight="1" x14ac:dyDescent="0.25">
      <c r="A538" s="4"/>
      <c r="B538" s="4"/>
      <c r="C538" s="4"/>
      <c r="D538" s="4"/>
      <c r="E538" s="4"/>
    </row>
    <row r="539" spans="1:5" ht="15.75" customHeight="1" x14ac:dyDescent="0.25">
      <c r="A539" s="4"/>
      <c r="B539" s="4"/>
      <c r="C539" s="4"/>
      <c r="D539" s="4"/>
      <c r="E539" s="4"/>
    </row>
    <row r="540" spans="1:5" ht="15.75" customHeight="1" x14ac:dyDescent="0.25">
      <c r="A540" s="4"/>
      <c r="B540" s="4"/>
      <c r="C540" s="4"/>
      <c r="D540" s="4"/>
      <c r="E540" s="4"/>
    </row>
    <row r="541" spans="1:5" ht="15.75" customHeight="1" x14ac:dyDescent="0.25">
      <c r="A541" s="4"/>
      <c r="B541" s="4"/>
      <c r="C541" s="4"/>
      <c r="D541" s="4"/>
      <c r="E541" s="4"/>
    </row>
    <row r="542" spans="1:5" ht="15.75" customHeight="1" x14ac:dyDescent="0.25">
      <c r="A542" s="4"/>
      <c r="B542" s="4"/>
      <c r="C542" s="4"/>
      <c r="D542" s="4"/>
      <c r="E542" s="4"/>
    </row>
    <row r="543" spans="1:5" ht="15.75" customHeight="1" x14ac:dyDescent="0.25">
      <c r="A543" s="4"/>
      <c r="B543" s="4"/>
      <c r="C543" s="4"/>
      <c r="D543" s="4"/>
      <c r="E543" s="4"/>
    </row>
    <row r="544" spans="1:5" ht="15.75" customHeight="1" x14ac:dyDescent="0.25">
      <c r="A544" s="4"/>
      <c r="B544" s="4"/>
      <c r="C544" s="4"/>
      <c r="D544" s="4"/>
      <c r="E544" s="4"/>
    </row>
    <row r="545" spans="1:5" ht="15.75" customHeight="1" x14ac:dyDescent="0.25">
      <c r="A545" s="4"/>
      <c r="B545" s="4"/>
      <c r="C545" s="4"/>
      <c r="D545" s="4"/>
      <c r="E545" s="4"/>
    </row>
    <row r="546" spans="1:5" ht="15.75" customHeight="1" x14ac:dyDescent="0.25">
      <c r="A546" s="4"/>
      <c r="B546" s="4"/>
      <c r="C546" s="4"/>
      <c r="D546" s="4"/>
      <c r="E546" s="4"/>
    </row>
    <row r="547" spans="1:5" ht="15.75" customHeight="1" x14ac:dyDescent="0.25">
      <c r="A547" s="4"/>
      <c r="B547" s="4"/>
      <c r="C547" s="4"/>
      <c r="D547" s="4"/>
      <c r="E547" s="4"/>
    </row>
    <row r="548" spans="1:5" ht="15.75" customHeight="1" x14ac:dyDescent="0.25">
      <c r="A548" s="4"/>
      <c r="B548" s="4"/>
      <c r="C548" s="4"/>
      <c r="D548" s="4"/>
      <c r="E548" s="4"/>
    </row>
    <row r="549" spans="1:5" ht="15.75" customHeight="1" x14ac:dyDescent="0.25">
      <c r="A549" s="4"/>
      <c r="B549" s="4"/>
      <c r="C549" s="4"/>
      <c r="D549" s="4"/>
      <c r="E549" s="4"/>
    </row>
    <row r="550" spans="1:5" ht="15.75" customHeight="1" x14ac:dyDescent="0.25">
      <c r="A550" s="4"/>
      <c r="B550" s="4"/>
      <c r="C550" s="4"/>
      <c r="D550" s="4"/>
      <c r="E550" s="4"/>
    </row>
    <row r="551" spans="1:5" ht="15.75" customHeight="1" x14ac:dyDescent="0.25">
      <c r="A551" s="4"/>
      <c r="B551" s="4"/>
      <c r="C551" s="4"/>
      <c r="D551" s="4"/>
      <c r="E551" s="4"/>
    </row>
    <row r="552" spans="1:5" ht="15.75" customHeight="1" x14ac:dyDescent="0.25">
      <c r="A552" s="4"/>
      <c r="B552" s="4"/>
      <c r="C552" s="4"/>
      <c r="D552" s="4"/>
      <c r="E552" s="4"/>
    </row>
    <row r="553" spans="1:5" ht="15.75" customHeight="1" x14ac:dyDescent="0.25">
      <c r="A553" s="4"/>
      <c r="B553" s="4"/>
      <c r="C553" s="4"/>
      <c r="D553" s="4"/>
      <c r="E553" s="4"/>
    </row>
    <row r="554" spans="1:5" ht="15.75" customHeight="1" x14ac:dyDescent="0.25">
      <c r="A554" s="4"/>
      <c r="B554" s="4"/>
      <c r="C554" s="4"/>
      <c r="D554" s="4"/>
      <c r="E554" s="4"/>
    </row>
    <row r="555" spans="1:5" ht="15.75" customHeight="1" x14ac:dyDescent="0.25">
      <c r="A555" s="4"/>
      <c r="B555" s="4"/>
      <c r="C555" s="4"/>
      <c r="D555" s="4"/>
      <c r="E555" s="4"/>
    </row>
    <row r="556" spans="1:5" ht="15.75" customHeight="1" x14ac:dyDescent="0.25">
      <c r="A556" s="4"/>
      <c r="B556" s="4"/>
      <c r="C556" s="4"/>
      <c r="D556" s="4"/>
      <c r="E556" s="4"/>
    </row>
    <row r="557" spans="1:5" ht="15.75" customHeight="1" x14ac:dyDescent="0.25">
      <c r="A557" s="4"/>
      <c r="B557" s="4"/>
      <c r="C557" s="4"/>
      <c r="D557" s="4"/>
      <c r="E557" s="4"/>
    </row>
    <row r="558" spans="1:5" ht="15.75" customHeight="1" x14ac:dyDescent="0.25">
      <c r="A558" s="4"/>
      <c r="B558" s="4"/>
      <c r="C558" s="4"/>
      <c r="D558" s="4"/>
      <c r="E558" s="4"/>
    </row>
    <row r="559" spans="1:5" ht="15.75" customHeight="1" x14ac:dyDescent="0.25">
      <c r="A559" s="4"/>
      <c r="B559" s="4"/>
      <c r="C559" s="4"/>
      <c r="D559" s="4"/>
      <c r="E559" s="4"/>
    </row>
    <row r="560" spans="1:5" ht="15.75" customHeight="1" x14ac:dyDescent="0.25">
      <c r="A560" s="4"/>
      <c r="B560" s="4"/>
      <c r="C560" s="4"/>
      <c r="D560" s="4"/>
      <c r="E560" s="4"/>
    </row>
    <row r="561" spans="1:5" ht="15.75" customHeight="1" x14ac:dyDescent="0.25">
      <c r="A561" s="4"/>
      <c r="B561" s="4"/>
      <c r="C561" s="4"/>
      <c r="D561" s="4"/>
      <c r="E561" s="4"/>
    </row>
    <row r="562" spans="1:5" ht="15.75" customHeight="1" x14ac:dyDescent="0.25">
      <c r="A562" s="4"/>
      <c r="B562" s="4"/>
      <c r="C562" s="4"/>
      <c r="D562" s="4"/>
      <c r="E562" s="4"/>
    </row>
    <row r="563" spans="1:5" ht="15.75" customHeight="1" x14ac:dyDescent="0.25">
      <c r="A563" s="4"/>
      <c r="B563" s="4"/>
      <c r="C563" s="4"/>
      <c r="D563" s="4"/>
      <c r="E563" s="4"/>
    </row>
    <row r="564" spans="1:5" ht="15.75" customHeight="1" x14ac:dyDescent="0.25">
      <c r="A564" s="4"/>
      <c r="B564" s="4"/>
      <c r="C564" s="4"/>
      <c r="D564" s="4"/>
      <c r="E564" s="4"/>
    </row>
    <row r="565" spans="1:5" ht="15.75" customHeight="1" x14ac:dyDescent="0.25">
      <c r="A565" s="4"/>
      <c r="B565" s="4"/>
      <c r="C565" s="4"/>
      <c r="D565" s="4"/>
      <c r="E565" s="4"/>
    </row>
    <row r="566" spans="1:5" ht="15.75" customHeight="1" x14ac:dyDescent="0.25">
      <c r="A566" s="4"/>
      <c r="B566" s="4"/>
      <c r="C566" s="4"/>
      <c r="D566" s="4"/>
      <c r="E566" s="4"/>
    </row>
    <row r="567" spans="1:5" ht="15.75" customHeight="1" x14ac:dyDescent="0.25">
      <c r="A567" s="4"/>
      <c r="B567" s="4"/>
      <c r="C567" s="4"/>
      <c r="D567" s="4"/>
      <c r="E567" s="4"/>
    </row>
    <row r="568" spans="1:5" ht="15.75" customHeight="1" x14ac:dyDescent="0.25">
      <c r="A568" s="4"/>
      <c r="B568" s="4"/>
      <c r="C568" s="4"/>
      <c r="D568" s="4"/>
      <c r="E568" s="4"/>
    </row>
    <row r="569" spans="1:5" ht="15.75" customHeight="1" x14ac:dyDescent="0.25">
      <c r="A569" s="4"/>
      <c r="B569" s="4"/>
      <c r="C569" s="4"/>
      <c r="D569" s="4"/>
      <c r="E569" s="4"/>
    </row>
    <row r="570" spans="1:5" ht="15.75" customHeight="1" x14ac:dyDescent="0.25">
      <c r="A570" s="4"/>
      <c r="B570" s="4"/>
      <c r="C570" s="4"/>
      <c r="D570" s="4"/>
      <c r="E570" s="4"/>
    </row>
    <row r="571" spans="1:5" ht="15.75" customHeight="1" x14ac:dyDescent="0.25">
      <c r="A571" s="4"/>
      <c r="B571" s="4"/>
      <c r="C571" s="4"/>
      <c r="D571" s="4"/>
      <c r="E571" s="4"/>
    </row>
    <row r="572" spans="1:5" ht="15.75" customHeight="1" x14ac:dyDescent="0.25">
      <c r="A572" s="4"/>
      <c r="B572" s="4"/>
      <c r="C572" s="4"/>
      <c r="D572" s="4"/>
      <c r="E572" s="4"/>
    </row>
    <row r="573" spans="1:5" ht="15.75" customHeight="1" x14ac:dyDescent="0.25">
      <c r="A573" s="4"/>
      <c r="B573" s="4"/>
      <c r="C573" s="4"/>
      <c r="D573" s="4"/>
      <c r="E573" s="4"/>
    </row>
    <row r="574" spans="1:5" ht="15.75" customHeight="1" x14ac:dyDescent="0.25">
      <c r="A574" s="4"/>
      <c r="B574" s="4"/>
      <c r="C574" s="4"/>
      <c r="D574" s="4"/>
      <c r="E574" s="4"/>
    </row>
    <row r="575" spans="1:5" ht="15.75" customHeight="1" x14ac:dyDescent="0.25">
      <c r="A575" s="4"/>
      <c r="B575" s="4"/>
      <c r="C575" s="4"/>
      <c r="D575" s="4"/>
      <c r="E575" s="4"/>
    </row>
    <row r="576" spans="1:5" ht="15.75" customHeight="1" x14ac:dyDescent="0.25">
      <c r="A576" s="4"/>
      <c r="B576" s="4"/>
      <c r="C576" s="4"/>
      <c r="D576" s="4"/>
      <c r="E576" s="4"/>
    </row>
    <row r="577" spans="1:5" ht="15.75" customHeight="1" x14ac:dyDescent="0.25">
      <c r="A577" s="4"/>
      <c r="B577" s="4"/>
      <c r="C577" s="4"/>
      <c r="D577" s="4"/>
      <c r="E577" s="4"/>
    </row>
    <row r="578" spans="1:5" ht="15.75" customHeight="1" x14ac:dyDescent="0.25">
      <c r="A578" s="4"/>
      <c r="B578" s="4"/>
      <c r="C578" s="4"/>
      <c r="D578" s="4"/>
      <c r="E578" s="4"/>
    </row>
    <row r="579" spans="1:5" ht="15.75" customHeight="1" x14ac:dyDescent="0.25">
      <c r="A579" s="4"/>
      <c r="B579" s="4"/>
      <c r="C579" s="4"/>
      <c r="D579" s="4"/>
      <c r="E579" s="4"/>
    </row>
    <row r="580" spans="1:5" ht="15.75" customHeight="1" x14ac:dyDescent="0.25">
      <c r="A580" s="4"/>
      <c r="B580" s="4"/>
      <c r="C580" s="4"/>
      <c r="D580" s="4"/>
      <c r="E580" s="4"/>
    </row>
    <row r="581" spans="1:5" ht="15.75" customHeight="1" x14ac:dyDescent="0.25">
      <c r="A581" s="4"/>
      <c r="B581" s="4"/>
      <c r="C581" s="4"/>
      <c r="D581" s="4"/>
      <c r="E581" s="4"/>
    </row>
    <row r="582" spans="1:5" ht="15.75" customHeight="1" x14ac:dyDescent="0.25">
      <c r="A582" s="4"/>
      <c r="B582" s="4"/>
      <c r="C582" s="4"/>
      <c r="D582" s="4"/>
      <c r="E582" s="4"/>
    </row>
    <row r="583" spans="1:5" ht="15.75" customHeight="1" x14ac:dyDescent="0.25">
      <c r="A583" s="4"/>
      <c r="B583" s="4"/>
      <c r="C583" s="4"/>
      <c r="D583" s="4"/>
      <c r="E583" s="4"/>
    </row>
    <row r="584" spans="1:5" ht="15.75" customHeight="1" x14ac:dyDescent="0.25">
      <c r="A584" s="4"/>
      <c r="B584" s="4"/>
      <c r="C584" s="4"/>
      <c r="D584" s="4"/>
      <c r="E584" s="4"/>
    </row>
    <row r="585" spans="1:5" ht="15.75" customHeight="1" x14ac:dyDescent="0.25">
      <c r="A585" s="4"/>
      <c r="B585" s="4"/>
      <c r="C585" s="4"/>
      <c r="D585" s="4"/>
      <c r="E585" s="4"/>
    </row>
    <row r="586" spans="1:5" ht="15.75" customHeight="1" x14ac:dyDescent="0.25">
      <c r="A586" s="4"/>
      <c r="B586" s="4"/>
      <c r="C586" s="4"/>
      <c r="D586" s="4"/>
      <c r="E586" s="4"/>
    </row>
    <row r="587" spans="1:5" ht="15.75" customHeight="1" x14ac:dyDescent="0.25">
      <c r="A587" s="4"/>
      <c r="B587" s="4"/>
      <c r="C587" s="4"/>
      <c r="D587" s="4"/>
      <c r="E587" s="4"/>
    </row>
    <row r="588" spans="1:5" ht="15.75" customHeight="1" x14ac:dyDescent="0.25">
      <c r="A588" s="4"/>
      <c r="B588" s="4"/>
      <c r="C588" s="4"/>
      <c r="D588" s="4"/>
      <c r="E588" s="4"/>
    </row>
    <row r="589" spans="1:5" ht="15.75" customHeight="1" x14ac:dyDescent="0.25">
      <c r="A589" s="4"/>
      <c r="B589" s="4"/>
      <c r="C589" s="4"/>
      <c r="D589" s="4"/>
      <c r="E589" s="4"/>
    </row>
    <row r="590" spans="1:5" ht="15.75" customHeight="1" x14ac:dyDescent="0.25">
      <c r="A590" s="4"/>
      <c r="B590" s="4"/>
      <c r="C590" s="4"/>
      <c r="D590" s="4"/>
      <c r="E590" s="4"/>
    </row>
    <row r="591" spans="1:5" ht="15.75" customHeight="1" x14ac:dyDescent="0.25">
      <c r="A591" s="4"/>
      <c r="B591" s="4"/>
      <c r="C591" s="4"/>
      <c r="D591" s="4"/>
      <c r="E591" s="4"/>
    </row>
    <row r="592" spans="1:5" ht="15.75" customHeight="1" x14ac:dyDescent="0.25">
      <c r="A592" s="4"/>
      <c r="B592" s="4"/>
      <c r="C592" s="4"/>
      <c r="D592" s="4"/>
      <c r="E592" s="4"/>
    </row>
    <row r="593" spans="1:5" ht="15.75" customHeight="1" x14ac:dyDescent="0.25">
      <c r="A593" s="4"/>
      <c r="B593" s="4"/>
      <c r="C593" s="4"/>
      <c r="D593" s="4"/>
      <c r="E593" s="4"/>
    </row>
    <row r="594" spans="1:5" ht="15.75" customHeight="1" x14ac:dyDescent="0.25">
      <c r="A594" s="4"/>
      <c r="B594" s="4"/>
      <c r="C594" s="4"/>
      <c r="D594" s="4"/>
      <c r="E594" s="4"/>
    </row>
    <row r="595" spans="1:5" ht="15.75" customHeight="1" x14ac:dyDescent="0.25">
      <c r="A595" s="4"/>
      <c r="B595" s="4"/>
      <c r="C595" s="4"/>
      <c r="D595" s="4"/>
      <c r="E595" s="4"/>
    </row>
    <row r="596" spans="1:5" ht="15.75" customHeight="1" x14ac:dyDescent="0.25">
      <c r="A596" s="4"/>
      <c r="B596" s="4"/>
      <c r="C596" s="4"/>
      <c r="D596" s="4"/>
      <c r="E596" s="4"/>
    </row>
    <row r="597" spans="1:5" ht="15.75" customHeight="1" x14ac:dyDescent="0.25">
      <c r="A597" s="4"/>
      <c r="B597" s="4"/>
      <c r="C597" s="4"/>
      <c r="D597" s="4"/>
      <c r="E597" s="4"/>
    </row>
    <row r="598" spans="1:5" ht="15.75" customHeight="1" x14ac:dyDescent="0.25">
      <c r="A598" s="4"/>
      <c r="B598" s="4"/>
      <c r="C598" s="4"/>
      <c r="D598" s="4"/>
      <c r="E598" s="4"/>
    </row>
    <row r="599" spans="1:5" ht="15.75" customHeight="1" x14ac:dyDescent="0.25">
      <c r="A599" s="4"/>
      <c r="B599" s="4"/>
      <c r="C599" s="4"/>
      <c r="D599" s="4"/>
      <c r="E599" s="4"/>
    </row>
    <row r="600" spans="1:5" ht="15.75" customHeight="1" x14ac:dyDescent="0.25">
      <c r="A600" s="4"/>
      <c r="B600" s="4"/>
      <c r="C600" s="4"/>
      <c r="D600" s="4"/>
      <c r="E600" s="4"/>
    </row>
    <row r="601" spans="1:5" ht="15.75" customHeight="1" x14ac:dyDescent="0.25">
      <c r="A601" s="4"/>
      <c r="B601" s="4"/>
      <c r="C601" s="4"/>
      <c r="D601" s="4"/>
      <c r="E601" s="4"/>
    </row>
    <row r="602" spans="1:5" ht="15.75" customHeight="1" x14ac:dyDescent="0.25">
      <c r="A602" s="4"/>
      <c r="B602" s="4"/>
      <c r="C602" s="4"/>
      <c r="D602" s="4"/>
      <c r="E602" s="4"/>
    </row>
    <row r="603" spans="1:5" ht="15.75" customHeight="1" x14ac:dyDescent="0.25">
      <c r="A603" s="4"/>
      <c r="B603" s="4"/>
      <c r="C603" s="4"/>
      <c r="D603" s="4"/>
      <c r="E603" s="4"/>
    </row>
    <row r="604" spans="1:5" ht="15.75" customHeight="1" x14ac:dyDescent="0.25">
      <c r="A604" s="4"/>
      <c r="B604" s="4"/>
      <c r="C604" s="4"/>
      <c r="D604" s="4"/>
      <c r="E604" s="4"/>
    </row>
    <row r="605" spans="1:5" ht="15.75" customHeight="1" x14ac:dyDescent="0.25">
      <c r="A605" s="4"/>
      <c r="B605" s="4"/>
      <c r="C605" s="4"/>
      <c r="D605" s="4"/>
      <c r="E605" s="4"/>
    </row>
    <row r="606" spans="1:5" ht="15.75" customHeight="1" x14ac:dyDescent="0.25">
      <c r="A606" s="4"/>
      <c r="B606" s="4"/>
      <c r="C606" s="4"/>
      <c r="D606" s="4"/>
      <c r="E606" s="4"/>
    </row>
    <row r="607" spans="1:5" ht="15.75" customHeight="1" x14ac:dyDescent="0.25">
      <c r="A607" s="4"/>
      <c r="B607" s="4"/>
      <c r="C607" s="4"/>
      <c r="D607" s="4"/>
      <c r="E607" s="4"/>
    </row>
    <row r="608" spans="1:5" ht="15.75" customHeight="1" x14ac:dyDescent="0.25">
      <c r="A608" s="4"/>
      <c r="B608" s="4"/>
      <c r="C608" s="4"/>
      <c r="D608" s="4"/>
      <c r="E608" s="4"/>
    </row>
    <row r="609" spans="1:5" ht="15.75" customHeight="1" x14ac:dyDescent="0.25">
      <c r="A609" s="4"/>
      <c r="B609" s="4"/>
      <c r="C609" s="4"/>
      <c r="D609" s="4"/>
      <c r="E609" s="4"/>
    </row>
    <row r="610" spans="1:5" ht="15.75" customHeight="1" x14ac:dyDescent="0.25">
      <c r="A610" s="4"/>
      <c r="B610" s="4"/>
      <c r="C610" s="4"/>
      <c r="D610" s="4"/>
      <c r="E610" s="4"/>
    </row>
    <row r="611" spans="1:5" ht="15.75" customHeight="1" x14ac:dyDescent="0.25">
      <c r="A611" s="4"/>
      <c r="B611" s="4"/>
      <c r="C611" s="4"/>
      <c r="D611" s="4"/>
      <c r="E611" s="4"/>
    </row>
    <row r="612" spans="1:5" ht="15.75" customHeight="1" x14ac:dyDescent="0.25">
      <c r="A612" s="4"/>
      <c r="B612" s="4"/>
      <c r="C612" s="4"/>
      <c r="D612" s="4"/>
      <c r="E612" s="4"/>
    </row>
    <row r="613" spans="1:5" ht="15.75" customHeight="1" x14ac:dyDescent="0.25">
      <c r="A613" s="4"/>
      <c r="B613" s="4"/>
      <c r="C613" s="4"/>
      <c r="D613" s="4"/>
      <c r="E613" s="4"/>
    </row>
    <row r="614" spans="1:5" ht="15.75" customHeight="1" x14ac:dyDescent="0.25">
      <c r="A614" s="4"/>
      <c r="B614" s="4"/>
      <c r="C614" s="4"/>
      <c r="D614" s="4"/>
      <c r="E614" s="4"/>
    </row>
    <row r="615" spans="1:5" ht="15.75" customHeight="1" x14ac:dyDescent="0.25">
      <c r="A615" s="4"/>
      <c r="B615" s="4"/>
      <c r="C615" s="4"/>
      <c r="D615" s="4"/>
      <c r="E615" s="4"/>
    </row>
    <row r="616" spans="1:5" ht="15.75" customHeight="1" x14ac:dyDescent="0.25">
      <c r="A616" s="4"/>
      <c r="B616" s="4"/>
      <c r="C616" s="4"/>
      <c r="D616" s="4"/>
      <c r="E616" s="4"/>
    </row>
    <row r="617" spans="1:5" ht="15.75" customHeight="1" x14ac:dyDescent="0.25">
      <c r="A617" s="4"/>
      <c r="B617" s="4"/>
      <c r="C617" s="4"/>
      <c r="D617" s="4"/>
      <c r="E617" s="4"/>
    </row>
    <row r="618" spans="1:5" ht="15.75" customHeight="1" x14ac:dyDescent="0.25">
      <c r="A618" s="4"/>
      <c r="B618" s="4"/>
      <c r="C618" s="4"/>
      <c r="D618" s="4"/>
      <c r="E618" s="4"/>
    </row>
    <row r="619" spans="1:5" ht="15.75" customHeight="1" x14ac:dyDescent="0.25">
      <c r="A619" s="4"/>
      <c r="B619" s="4"/>
      <c r="C619" s="4"/>
      <c r="D619" s="4"/>
      <c r="E619" s="4"/>
    </row>
    <row r="620" spans="1:5" ht="15.75" customHeight="1" x14ac:dyDescent="0.25">
      <c r="A620" s="4"/>
      <c r="B620" s="4"/>
      <c r="C620" s="4"/>
      <c r="D620" s="4"/>
      <c r="E620" s="4"/>
    </row>
    <row r="621" spans="1:5" ht="15.75" customHeight="1" x14ac:dyDescent="0.25">
      <c r="A621" s="4"/>
      <c r="B621" s="4"/>
      <c r="C621" s="4"/>
      <c r="D621" s="4"/>
      <c r="E621" s="4"/>
    </row>
    <row r="622" spans="1:5" ht="15.75" customHeight="1" x14ac:dyDescent="0.25">
      <c r="A622" s="4"/>
      <c r="B622" s="4"/>
      <c r="C622" s="4"/>
      <c r="D622" s="4"/>
      <c r="E622" s="4"/>
    </row>
    <row r="623" spans="1:5" ht="15.75" customHeight="1" x14ac:dyDescent="0.25">
      <c r="A623" s="4"/>
      <c r="B623" s="4"/>
      <c r="C623" s="4"/>
      <c r="D623" s="4"/>
      <c r="E623" s="4"/>
    </row>
    <row r="624" spans="1:5" ht="15.75" customHeight="1" x14ac:dyDescent="0.25">
      <c r="A624" s="4"/>
      <c r="B624" s="4"/>
      <c r="C624" s="4"/>
      <c r="D624" s="4"/>
      <c r="E624" s="4"/>
    </row>
    <row r="625" spans="1:5" ht="15.75" customHeight="1" x14ac:dyDescent="0.25">
      <c r="A625" s="4"/>
      <c r="B625" s="4"/>
      <c r="C625" s="4"/>
      <c r="D625" s="4"/>
      <c r="E625" s="4"/>
    </row>
    <row r="626" spans="1:5" ht="15.75" customHeight="1" x14ac:dyDescent="0.25">
      <c r="A626" s="4"/>
      <c r="B626" s="4"/>
      <c r="C626" s="4"/>
      <c r="D626" s="4"/>
      <c r="E626" s="4"/>
    </row>
    <row r="627" spans="1:5" ht="15.75" customHeight="1" x14ac:dyDescent="0.25">
      <c r="A627" s="4"/>
      <c r="B627" s="4"/>
      <c r="C627" s="4"/>
      <c r="D627" s="4"/>
      <c r="E627" s="4"/>
    </row>
    <row r="628" spans="1:5" ht="15.75" customHeight="1" x14ac:dyDescent="0.25">
      <c r="A628" s="4"/>
      <c r="B628" s="4"/>
      <c r="C628" s="4"/>
      <c r="D628" s="4"/>
      <c r="E628" s="4"/>
    </row>
    <row r="629" spans="1:5" ht="15.75" customHeight="1" x14ac:dyDescent="0.25">
      <c r="A629" s="4"/>
      <c r="B629" s="4"/>
      <c r="C629" s="4"/>
      <c r="D629" s="4"/>
      <c r="E629" s="4"/>
    </row>
    <row r="630" spans="1:5" ht="15.75" customHeight="1" x14ac:dyDescent="0.25">
      <c r="A630" s="4"/>
      <c r="B630" s="4"/>
      <c r="C630" s="4"/>
      <c r="D630" s="4"/>
      <c r="E630" s="4"/>
    </row>
    <row r="631" spans="1:5" ht="15.75" customHeight="1" x14ac:dyDescent="0.25">
      <c r="A631" s="4"/>
      <c r="B631" s="4"/>
      <c r="C631" s="4"/>
      <c r="D631" s="4"/>
      <c r="E631" s="4"/>
    </row>
    <row r="632" spans="1:5" ht="15.75" customHeight="1" x14ac:dyDescent="0.25">
      <c r="A632" s="4"/>
      <c r="B632" s="4"/>
      <c r="C632" s="4"/>
      <c r="D632" s="4"/>
      <c r="E632" s="4"/>
    </row>
    <row r="633" spans="1:5" ht="15.75" customHeight="1" x14ac:dyDescent="0.25">
      <c r="A633" s="4"/>
      <c r="B633" s="4"/>
      <c r="C633" s="4"/>
      <c r="D633" s="4"/>
      <c r="E633" s="4"/>
    </row>
    <row r="634" spans="1:5" ht="15.75" customHeight="1" x14ac:dyDescent="0.25">
      <c r="A634" s="4"/>
      <c r="B634" s="4"/>
      <c r="C634" s="4"/>
      <c r="D634" s="4"/>
      <c r="E634" s="4"/>
    </row>
    <row r="635" spans="1:5" ht="15.75" customHeight="1" x14ac:dyDescent="0.25">
      <c r="A635" s="4"/>
      <c r="B635" s="4"/>
      <c r="C635" s="4"/>
      <c r="D635" s="4"/>
      <c r="E635" s="4"/>
    </row>
    <row r="636" spans="1:5" ht="15.75" customHeight="1" x14ac:dyDescent="0.25">
      <c r="A636" s="4"/>
      <c r="B636" s="4"/>
      <c r="C636" s="4"/>
      <c r="D636" s="4"/>
      <c r="E636" s="4"/>
    </row>
    <row r="637" spans="1:5" ht="15.75" customHeight="1" x14ac:dyDescent="0.25">
      <c r="A637" s="4"/>
      <c r="B637" s="4"/>
      <c r="C637" s="4"/>
      <c r="D637" s="4"/>
      <c r="E637" s="4"/>
    </row>
    <row r="638" spans="1:5" ht="15.75" customHeight="1" x14ac:dyDescent="0.25">
      <c r="A638" s="4"/>
      <c r="B638" s="4"/>
      <c r="C638" s="4"/>
      <c r="D638" s="4"/>
      <c r="E638" s="4"/>
    </row>
    <row r="639" spans="1:5" ht="15.75" customHeight="1" x14ac:dyDescent="0.25">
      <c r="A639" s="4"/>
      <c r="B639" s="4"/>
      <c r="C639" s="4"/>
      <c r="D639" s="4"/>
      <c r="E639" s="4"/>
    </row>
    <row r="640" spans="1:5" ht="15.75" customHeight="1" x14ac:dyDescent="0.25">
      <c r="A640" s="4"/>
      <c r="B640" s="4"/>
      <c r="C640" s="4"/>
      <c r="D640" s="4"/>
      <c r="E640" s="4"/>
    </row>
    <row r="641" spans="1:5" ht="15.75" customHeight="1" x14ac:dyDescent="0.25">
      <c r="A641" s="4"/>
      <c r="B641" s="4"/>
      <c r="C641" s="4"/>
      <c r="D641" s="4"/>
      <c r="E641" s="4"/>
    </row>
    <row r="642" spans="1:5" ht="15.75" customHeight="1" x14ac:dyDescent="0.25">
      <c r="A642" s="4"/>
      <c r="B642" s="4"/>
      <c r="C642" s="4"/>
      <c r="D642" s="4"/>
      <c r="E642" s="4"/>
    </row>
    <row r="643" spans="1:5" ht="15.75" customHeight="1" x14ac:dyDescent="0.25">
      <c r="A643" s="4"/>
      <c r="B643" s="4"/>
      <c r="C643" s="4"/>
      <c r="D643" s="4"/>
      <c r="E643" s="4"/>
    </row>
    <row r="644" spans="1:5" ht="15.75" customHeight="1" x14ac:dyDescent="0.25">
      <c r="A644" s="4"/>
      <c r="B644" s="4"/>
      <c r="C644" s="4"/>
      <c r="D644" s="4"/>
      <c r="E644" s="4"/>
    </row>
    <row r="645" spans="1:5" ht="15.75" customHeight="1" x14ac:dyDescent="0.25">
      <c r="A645" s="4"/>
      <c r="B645" s="4"/>
      <c r="C645" s="4"/>
      <c r="D645" s="4"/>
      <c r="E645" s="4"/>
    </row>
    <row r="646" spans="1:5" ht="15.75" customHeight="1" x14ac:dyDescent="0.25">
      <c r="A646" s="4"/>
      <c r="B646" s="4"/>
      <c r="C646" s="4"/>
      <c r="D646" s="4"/>
      <c r="E646" s="4"/>
    </row>
    <row r="647" spans="1:5" ht="15.75" customHeight="1" x14ac:dyDescent="0.25">
      <c r="A647" s="4"/>
      <c r="B647" s="4"/>
      <c r="C647" s="4"/>
      <c r="D647" s="4"/>
      <c r="E647" s="4"/>
    </row>
    <row r="648" spans="1:5" ht="15.75" customHeight="1" x14ac:dyDescent="0.25">
      <c r="A648" s="4"/>
      <c r="B648" s="4"/>
      <c r="C648" s="4"/>
      <c r="D648" s="4"/>
      <c r="E648" s="4"/>
    </row>
    <row r="649" spans="1:5" ht="15.75" customHeight="1" x14ac:dyDescent="0.25">
      <c r="A649" s="4"/>
      <c r="B649" s="4"/>
      <c r="C649" s="4"/>
      <c r="D649" s="4"/>
      <c r="E649" s="4"/>
    </row>
    <row r="650" spans="1:5" ht="15.75" customHeight="1" x14ac:dyDescent="0.25">
      <c r="A650" s="4"/>
      <c r="B650" s="4"/>
      <c r="C650" s="4"/>
      <c r="D650" s="4"/>
      <c r="E650" s="4"/>
    </row>
    <row r="651" spans="1:5" ht="15.75" customHeight="1" x14ac:dyDescent="0.25">
      <c r="A651" s="4"/>
      <c r="B651" s="4"/>
      <c r="C651" s="4"/>
      <c r="D651" s="4"/>
      <c r="E651" s="4"/>
    </row>
    <row r="652" spans="1:5" ht="15.75" customHeight="1" x14ac:dyDescent="0.25">
      <c r="A652" s="4"/>
      <c r="B652" s="4"/>
      <c r="C652" s="4"/>
      <c r="D652" s="4"/>
      <c r="E652" s="4"/>
    </row>
    <row r="653" spans="1:5" ht="15.75" customHeight="1" x14ac:dyDescent="0.25">
      <c r="A653" s="4"/>
      <c r="B653" s="4"/>
      <c r="C653" s="4"/>
      <c r="D653" s="4"/>
      <c r="E653" s="4"/>
    </row>
    <row r="654" spans="1:5" ht="15.75" customHeight="1" x14ac:dyDescent="0.25">
      <c r="A654" s="4"/>
      <c r="B654" s="4"/>
      <c r="C654" s="4"/>
      <c r="D654" s="4"/>
      <c r="E654" s="4"/>
    </row>
    <row r="655" spans="1:5" ht="15.75" customHeight="1" x14ac:dyDescent="0.25">
      <c r="A655" s="4"/>
      <c r="B655" s="4"/>
      <c r="C655" s="4"/>
      <c r="D655" s="4"/>
      <c r="E655" s="4"/>
    </row>
    <row r="656" spans="1:5" ht="15.75" customHeight="1" x14ac:dyDescent="0.25">
      <c r="A656" s="4"/>
      <c r="B656" s="4"/>
      <c r="C656" s="4"/>
      <c r="D656" s="4"/>
      <c r="E656" s="4"/>
    </row>
    <row r="657" spans="1:5" ht="15.75" customHeight="1" x14ac:dyDescent="0.25">
      <c r="A657" s="4"/>
      <c r="B657" s="4"/>
      <c r="C657" s="4"/>
      <c r="D657" s="4"/>
      <c r="E657" s="4"/>
    </row>
    <row r="658" spans="1:5" ht="15.75" customHeight="1" x14ac:dyDescent="0.25">
      <c r="A658" s="4"/>
      <c r="B658" s="4"/>
      <c r="C658" s="4"/>
      <c r="D658" s="4"/>
      <c r="E658" s="4"/>
    </row>
    <row r="659" spans="1:5" ht="15.75" customHeight="1" x14ac:dyDescent="0.25">
      <c r="A659" s="4"/>
      <c r="B659" s="4"/>
      <c r="C659" s="4"/>
      <c r="D659" s="4"/>
      <c r="E659" s="4"/>
    </row>
    <row r="660" spans="1:5" ht="15.75" customHeight="1" x14ac:dyDescent="0.25">
      <c r="A660" s="4"/>
      <c r="B660" s="4"/>
      <c r="C660" s="4"/>
      <c r="D660" s="4"/>
      <c r="E660" s="4"/>
    </row>
    <row r="661" spans="1:5" ht="15.75" customHeight="1" x14ac:dyDescent="0.25">
      <c r="A661" s="4"/>
      <c r="B661" s="4"/>
      <c r="C661" s="4"/>
      <c r="D661" s="4"/>
      <c r="E661" s="4"/>
    </row>
    <row r="662" spans="1:5" ht="15.75" customHeight="1" x14ac:dyDescent="0.25">
      <c r="A662" s="4"/>
      <c r="B662" s="4"/>
      <c r="C662" s="4"/>
      <c r="D662" s="4"/>
      <c r="E662" s="4"/>
    </row>
    <row r="663" spans="1:5" ht="15.75" customHeight="1" x14ac:dyDescent="0.25">
      <c r="A663" s="4"/>
      <c r="B663" s="4"/>
      <c r="C663" s="4"/>
      <c r="D663" s="4"/>
      <c r="E663" s="4"/>
    </row>
    <row r="664" spans="1:5" ht="15.75" customHeight="1" x14ac:dyDescent="0.25">
      <c r="A664" s="4"/>
      <c r="B664" s="4"/>
      <c r="C664" s="4"/>
      <c r="D664" s="4"/>
      <c r="E664" s="4"/>
    </row>
    <row r="665" spans="1:5" ht="15.75" customHeight="1" x14ac:dyDescent="0.25">
      <c r="A665" s="4"/>
      <c r="B665" s="4"/>
      <c r="C665" s="4"/>
      <c r="D665" s="4"/>
      <c r="E665" s="4"/>
    </row>
    <row r="666" spans="1:5" ht="15.75" customHeight="1" x14ac:dyDescent="0.25">
      <c r="A666" s="4"/>
      <c r="B666" s="4"/>
      <c r="C666" s="4"/>
      <c r="D666" s="4"/>
      <c r="E666" s="4"/>
    </row>
    <row r="667" spans="1:5" ht="15.75" customHeight="1" x14ac:dyDescent="0.25">
      <c r="A667" s="4"/>
      <c r="B667" s="4"/>
      <c r="C667" s="4"/>
      <c r="D667" s="4"/>
      <c r="E667" s="4"/>
    </row>
    <row r="668" spans="1:5" ht="15.75" customHeight="1" x14ac:dyDescent="0.25">
      <c r="A668" s="4"/>
      <c r="B668" s="4"/>
      <c r="C668" s="4"/>
      <c r="D668" s="4"/>
      <c r="E668" s="4"/>
    </row>
    <row r="669" spans="1:5" ht="15.75" customHeight="1" x14ac:dyDescent="0.25">
      <c r="A669" s="4"/>
      <c r="B669" s="4"/>
      <c r="C669" s="4"/>
      <c r="D669" s="4"/>
      <c r="E669" s="4"/>
    </row>
    <row r="670" spans="1:5" ht="15.75" customHeight="1" x14ac:dyDescent="0.25">
      <c r="A670" s="4"/>
      <c r="B670" s="4"/>
      <c r="C670" s="4"/>
      <c r="D670" s="4"/>
      <c r="E670" s="4"/>
    </row>
    <row r="671" spans="1:5" ht="15.75" customHeight="1" x14ac:dyDescent="0.25">
      <c r="A671" s="4"/>
      <c r="B671" s="4"/>
      <c r="C671" s="4"/>
      <c r="D671" s="4"/>
      <c r="E671" s="4"/>
    </row>
    <row r="672" spans="1:5" ht="15.75" customHeight="1" x14ac:dyDescent="0.25">
      <c r="A672" s="4"/>
      <c r="B672" s="4"/>
      <c r="C672" s="4"/>
      <c r="D672" s="4"/>
      <c r="E672" s="4"/>
    </row>
    <row r="673" spans="1:5" ht="15.75" customHeight="1" x14ac:dyDescent="0.25">
      <c r="A673" s="4"/>
      <c r="B673" s="4"/>
      <c r="C673" s="4"/>
      <c r="D673" s="4"/>
      <c r="E673" s="4"/>
    </row>
    <row r="674" spans="1:5" ht="15.75" customHeight="1" x14ac:dyDescent="0.25">
      <c r="A674" s="4"/>
      <c r="B674" s="4"/>
      <c r="C674" s="4"/>
      <c r="D674" s="4"/>
      <c r="E674" s="4"/>
    </row>
    <row r="675" spans="1:5" ht="15.75" customHeight="1" x14ac:dyDescent="0.25">
      <c r="A675" s="4"/>
      <c r="B675" s="4"/>
      <c r="C675" s="4"/>
      <c r="D675" s="4"/>
      <c r="E675" s="4"/>
    </row>
    <row r="676" spans="1:5" ht="15.75" customHeight="1" x14ac:dyDescent="0.25">
      <c r="A676" s="4"/>
      <c r="B676" s="4"/>
      <c r="C676" s="4"/>
      <c r="D676" s="4"/>
      <c r="E676" s="4"/>
    </row>
    <row r="677" spans="1:5" ht="15.75" customHeight="1" x14ac:dyDescent="0.25">
      <c r="A677" s="4"/>
      <c r="B677" s="4"/>
      <c r="C677" s="4"/>
      <c r="D677" s="4"/>
      <c r="E677" s="4"/>
    </row>
    <row r="678" spans="1:5" ht="15.75" customHeight="1" x14ac:dyDescent="0.25">
      <c r="A678" s="4"/>
      <c r="B678" s="4"/>
      <c r="C678" s="4"/>
      <c r="D678" s="4"/>
      <c r="E678" s="4"/>
    </row>
    <row r="679" spans="1:5" ht="15.75" customHeight="1" x14ac:dyDescent="0.25">
      <c r="A679" s="4"/>
      <c r="B679" s="4"/>
      <c r="C679" s="4"/>
      <c r="D679" s="4"/>
      <c r="E679" s="4"/>
    </row>
    <row r="680" spans="1:5" ht="15.75" customHeight="1" x14ac:dyDescent="0.25">
      <c r="A680" s="4"/>
      <c r="B680" s="4"/>
      <c r="C680" s="4"/>
      <c r="D680" s="4"/>
      <c r="E680" s="4"/>
    </row>
    <row r="681" spans="1:5" ht="15.75" customHeight="1" x14ac:dyDescent="0.25">
      <c r="A681" s="4"/>
      <c r="B681" s="4"/>
      <c r="C681" s="4"/>
      <c r="D681" s="4"/>
      <c r="E681" s="4"/>
    </row>
    <row r="682" spans="1:5" ht="15.75" customHeight="1" x14ac:dyDescent="0.25">
      <c r="A682" s="4"/>
      <c r="B682" s="4"/>
      <c r="C682" s="4"/>
      <c r="D682" s="4"/>
      <c r="E682" s="4"/>
    </row>
    <row r="683" spans="1:5" ht="15.75" customHeight="1" x14ac:dyDescent="0.25">
      <c r="A683" s="4"/>
      <c r="B683" s="4"/>
      <c r="C683" s="4"/>
      <c r="D683" s="4"/>
      <c r="E683" s="4"/>
    </row>
    <row r="684" spans="1:5" ht="15.75" customHeight="1" x14ac:dyDescent="0.25">
      <c r="A684" s="4"/>
      <c r="B684" s="4"/>
      <c r="C684" s="4"/>
      <c r="D684" s="4"/>
      <c r="E684" s="4"/>
    </row>
    <row r="685" spans="1:5" ht="15.75" customHeight="1" x14ac:dyDescent="0.25">
      <c r="A685" s="4"/>
      <c r="B685" s="4"/>
      <c r="C685" s="4"/>
      <c r="D685" s="4"/>
      <c r="E685" s="4"/>
    </row>
    <row r="686" spans="1:5" ht="15.75" customHeight="1" x14ac:dyDescent="0.25">
      <c r="A686" s="4"/>
      <c r="B686" s="4"/>
      <c r="C686" s="4"/>
      <c r="D686" s="4"/>
      <c r="E686" s="4"/>
    </row>
    <row r="687" spans="1:5" ht="15.75" customHeight="1" x14ac:dyDescent="0.25">
      <c r="A687" s="4"/>
      <c r="B687" s="4"/>
      <c r="C687" s="4"/>
      <c r="D687" s="4"/>
      <c r="E687" s="4"/>
    </row>
    <row r="688" spans="1:5" ht="15.75" customHeight="1" x14ac:dyDescent="0.25">
      <c r="A688" s="4"/>
      <c r="B688" s="4"/>
      <c r="C688" s="4"/>
      <c r="D688" s="4"/>
      <c r="E688" s="4"/>
    </row>
    <row r="689" spans="1:5" ht="15.75" customHeight="1" x14ac:dyDescent="0.25">
      <c r="A689" s="4"/>
      <c r="B689" s="4"/>
      <c r="C689" s="4"/>
      <c r="D689" s="4"/>
      <c r="E689" s="4"/>
    </row>
    <row r="690" spans="1:5" ht="15.75" customHeight="1" x14ac:dyDescent="0.25">
      <c r="A690" s="4"/>
      <c r="B690" s="4"/>
      <c r="C690" s="4"/>
      <c r="D690" s="4"/>
      <c r="E690" s="4"/>
    </row>
    <row r="691" spans="1:5" ht="15.75" customHeight="1" x14ac:dyDescent="0.25">
      <c r="A691" s="4"/>
      <c r="B691" s="4"/>
      <c r="C691" s="4"/>
      <c r="D691" s="4"/>
      <c r="E691" s="4"/>
    </row>
    <row r="692" spans="1:5" ht="15.75" customHeight="1" x14ac:dyDescent="0.25">
      <c r="A692" s="4"/>
      <c r="B692" s="4"/>
      <c r="C692" s="4"/>
      <c r="D692" s="4"/>
      <c r="E692" s="4"/>
    </row>
    <row r="693" spans="1:5" ht="15.75" customHeight="1" x14ac:dyDescent="0.25">
      <c r="A693" s="4"/>
      <c r="B693" s="4"/>
      <c r="C693" s="4"/>
      <c r="D693" s="4"/>
      <c r="E693" s="4"/>
    </row>
    <row r="694" spans="1:5" ht="15.75" customHeight="1" x14ac:dyDescent="0.25">
      <c r="A694" s="4"/>
      <c r="B694" s="4"/>
      <c r="C694" s="4"/>
      <c r="D694" s="4"/>
      <c r="E694" s="4"/>
    </row>
    <row r="695" spans="1:5" ht="15.75" customHeight="1" x14ac:dyDescent="0.25">
      <c r="A695" s="4"/>
      <c r="B695" s="4"/>
      <c r="C695" s="4"/>
      <c r="D695" s="4"/>
      <c r="E695" s="4"/>
    </row>
    <row r="696" spans="1:5" ht="15.75" customHeight="1" x14ac:dyDescent="0.25">
      <c r="A696" s="4"/>
      <c r="B696" s="4"/>
      <c r="C696" s="4"/>
      <c r="D696" s="4"/>
      <c r="E696" s="4"/>
    </row>
    <row r="697" spans="1:5" ht="15.75" customHeight="1" x14ac:dyDescent="0.25">
      <c r="A697" s="4"/>
      <c r="B697" s="4"/>
      <c r="C697" s="4"/>
      <c r="D697" s="4"/>
      <c r="E697" s="4"/>
    </row>
    <row r="698" spans="1:5" ht="15.75" customHeight="1" x14ac:dyDescent="0.25">
      <c r="A698" s="4"/>
      <c r="B698" s="4"/>
      <c r="C698" s="4"/>
      <c r="D698" s="4"/>
      <c r="E698" s="4"/>
    </row>
    <row r="699" spans="1:5" ht="15.75" customHeight="1" x14ac:dyDescent="0.25">
      <c r="A699" s="4"/>
      <c r="B699" s="4"/>
      <c r="C699" s="4"/>
      <c r="D699" s="4"/>
      <c r="E699" s="4"/>
    </row>
    <row r="700" spans="1:5" ht="15.75" customHeight="1" x14ac:dyDescent="0.25">
      <c r="A700" s="4"/>
      <c r="B700" s="4"/>
      <c r="C700" s="4"/>
      <c r="D700" s="4"/>
      <c r="E700" s="4"/>
    </row>
    <row r="701" spans="1:5" ht="15.75" customHeight="1" x14ac:dyDescent="0.25">
      <c r="A701" s="4"/>
      <c r="B701" s="4"/>
      <c r="C701" s="4"/>
      <c r="D701" s="4"/>
      <c r="E701" s="4"/>
    </row>
    <row r="702" spans="1:5" ht="15.75" customHeight="1" x14ac:dyDescent="0.25">
      <c r="A702" s="4"/>
      <c r="B702" s="4"/>
      <c r="C702" s="4"/>
      <c r="D702" s="4"/>
      <c r="E702" s="4"/>
    </row>
    <row r="703" spans="1:5" ht="15.75" customHeight="1" x14ac:dyDescent="0.25">
      <c r="A703" s="4"/>
      <c r="B703" s="4"/>
      <c r="C703" s="4"/>
      <c r="D703" s="4"/>
      <c r="E703" s="4"/>
    </row>
    <row r="704" spans="1:5" ht="15.75" customHeight="1" x14ac:dyDescent="0.25">
      <c r="A704" s="4"/>
      <c r="B704" s="4"/>
      <c r="C704" s="4"/>
      <c r="D704" s="4"/>
      <c r="E704" s="4"/>
    </row>
    <row r="705" spans="1:5" ht="15.75" customHeight="1" x14ac:dyDescent="0.25">
      <c r="A705" s="4"/>
      <c r="B705" s="4"/>
      <c r="C705" s="4"/>
      <c r="D705" s="4"/>
      <c r="E705" s="4"/>
    </row>
    <row r="706" spans="1:5" ht="15.75" customHeight="1" x14ac:dyDescent="0.25">
      <c r="A706" s="4"/>
      <c r="B706" s="4"/>
      <c r="C706" s="4"/>
      <c r="D706" s="4"/>
      <c r="E706" s="4"/>
    </row>
    <row r="707" spans="1:5" ht="15.75" customHeight="1" x14ac:dyDescent="0.25">
      <c r="A707" s="4"/>
      <c r="B707" s="4"/>
      <c r="C707" s="4"/>
      <c r="D707" s="4"/>
      <c r="E707" s="4"/>
    </row>
    <row r="708" spans="1:5" ht="15.75" customHeight="1" x14ac:dyDescent="0.25">
      <c r="A708" s="4"/>
      <c r="B708" s="4"/>
      <c r="C708" s="4"/>
      <c r="D708" s="4"/>
      <c r="E708" s="4"/>
    </row>
    <row r="709" spans="1:5" ht="15.75" customHeight="1" x14ac:dyDescent="0.25">
      <c r="A709" s="4"/>
      <c r="B709" s="4"/>
      <c r="C709" s="4"/>
      <c r="D709" s="4"/>
      <c r="E709" s="4"/>
    </row>
    <row r="710" spans="1:5" ht="15.75" customHeight="1" x14ac:dyDescent="0.25">
      <c r="A710" s="4"/>
      <c r="B710" s="4"/>
      <c r="C710" s="4"/>
      <c r="D710" s="4"/>
      <c r="E710" s="4"/>
    </row>
    <row r="711" spans="1:5" ht="15.75" customHeight="1" x14ac:dyDescent="0.25">
      <c r="A711" s="4"/>
      <c r="B711" s="4"/>
      <c r="C711" s="4"/>
      <c r="D711" s="4"/>
      <c r="E711" s="4"/>
    </row>
    <row r="712" spans="1:5" ht="15.75" customHeight="1" x14ac:dyDescent="0.25">
      <c r="A712" s="4"/>
      <c r="B712" s="4"/>
      <c r="C712" s="4"/>
      <c r="D712" s="4"/>
      <c r="E712" s="4"/>
    </row>
    <row r="713" spans="1:5" ht="15.75" customHeight="1" x14ac:dyDescent="0.25">
      <c r="A713" s="4"/>
      <c r="B713" s="4"/>
      <c r="C713" s="4"/>
      <c r="D713" s="4"/>
      <c r="E713" s="4"/>
    </row>
    <row r="714" spans="1:5" ht="15.75" customHeight="1" x14ac:dyDescent="0.25">
      <c r="A714" s="4"/>
      <c r="B714" s="4"/>
      <c r="C714" s="4"/>
      <c r="D714" s="4"/>
      <c r="E714" s="4"/>
    </row>
    <row r="715" spans="1:5" ht="15.75" customHeight="1" x14ac:dyDescent="0.25">
      <c r="A715" s="4"/>
      <c r="B715" s="4"/>
      <c r="C715" s="4"/>
      <c r="D715" s="4"/>
      <c r="E715" s="4"/>
    </row>
    <row r="716" spans="1:5" ht="15.75" customHeight="1" x14ac:dyDescent="0.25">
      <c r="A716" s="4"/>
      <c r="B716" s="4"/>
      <c r="C716" s="4"/>
      <c r="D716" s="4"/>
      <c r="E716" s="4"/>
    </row>
    <row r="717" spans="1:5" ht="15.75" customHeight="1" x14ac:dyDescent="0.25">
      <c r="A717" s="4"/>
      <c r="B717" s="4"/>
      <c r="C717" s="4"/>
      <c r="D717" s="4"/>
      <c r="E717" s="4"/>
    </row>
    <row r="718" spans="1:5" ht="15.75" customHeight="1" x14ac:dyDescent="0.25">
      <c r="A718" s="4"/>
      <c r="B718" s="4"/>
      <c r="C718" s="4"/>
      <c r="D718" s="4"/>
      <c r="E718" s="4"/>
    </row>
    <row r="719" spans="1:5" ht="15.75" customHeight="1" x14ac:dyDescent="0.25">
      <c r="A719" s="4"/>
      <c r="B719" s="4"/>
      <c r="C719" s="4"/>
      <c r="D719" s="4"/>
      <c r="E719" s="4"/>
    </row>
    <row r="720" spans="1:5" ht="15.75" customHeight="1" x14ac:dyDescent="0.25">
      <c r="A720" s="4"/>
      <c r="B720" s="4"/>
      <c r="C720" s="4"/>
      <c r="D720" s="4"/>
      <c r="E720" s="4"/>
    </row>
    <row r="721" spans="1:5" ht="15.75" customHeight="1" x14ac:dyDescent="0.25">
      <c r="A721" s="4"/>
      <c r="B721" s="4"/>
      <c r="C721" s="4"/>
      <c r="D721" s="4"/>
      <c r="E721" s="4"/>
    </row>
    <row r="722" spans="1:5" ht="15.75" customHeight="1" x14ac:dyDescent="0.25">
      <c r="A722" s="4"/>
      <c r="B722" s="4"/>
      <c r="C722" s="4"/>
      <c r="D722" s="4"/>
      <c r="E722" s="4"/>
    </row>
    <row r="723" spans="1:5" ht="15.75" customHeight="1" x14ac:dyDescent="0.25">
      <c r="A723" s="4"/>
      <c r="B723" s="4"/>
      <c r="C723" s="4"/>
      <c r="D723" s="4"/>
      <c r="E723" s="4"/>
    </row>
    <row r="724" spans="1:5" ht="15.75" customHeight="1" x14ac:dyDescent="0.25">
      <c r="A724" s="4"/>
      <c r="B724" s="4"/>
      <c r="C724" s="4"/>
      <c r="D724" s="4"/>
      <c r="E724" s="4"/>
    </row>
    <row r="725" spans="1:5" ht="15.75" customHeight="1" x14ac:dyDescent="0.25">
      <c r="A725" s="4"/>
      <c r="B725" s="4"/>
      <c r="C725" s="4"/>
      <c r="D725" s="4"/>
      <c r="E725" s="4"/>
    </row>
    <row r="726" spans="1:5" ht="15.75" customHeight="1" x14ac:dyDescent="0.25">
      <c r="A726" s="4"/>
      <c r="B726" s="4"/>
      <c r="C726" s="4"/>
      <c r="D726" s="4"/>
      <c r="E726" s="4"/>
    </row>
    <row r="727" spans="1:5" ht="15.75" customHeight="1" x14ac:dyDescent="0.25">
      <c r="A727" s="4"/>
      <c r="B727" s="4"/>
      <c r="C727" s="4"/>
      <c r="D727" s="4"/>
      <c r="E727" s="4"/>
    </row>
    <row r="728" spans="1:5" ht="15.75" customHeight="1" x14ac:dyDescent="0.25">
      <c r="A728" s="4"/>
      <c r="B728" s="4"/>
      <c r="C728" s="4"/>
      <c r="D728" s="4"/>
      <c r="E728" s="4"/>
    </row>
    <row r="729" spans="1:5" ht="15.75" customHeight="1" x14ac:dyDescent="0.25">
      <c r="A729" s="4"/>
      <c r="B729" s="4"/>
      <c r="C729" s="4"/>
      <c r="D729" s="4"/>
      <c r="E729" s="4"/>
    </row>
    <row r="730" spans="1:5" ht="15.75" customHeight="1" x14ac:dyDescent="0.25">
      <c r="A730" s="4"/>
      <c r="B730" s="4"/>
      <c r="C730" s="4"/>
      <c r="D730" s="4"/>
      <c r="E730" s="4"/>
    </row>
    <row r="731" spans="1:5" ht="15.75" customHeight="1" x14ac:dyDescent="0.25">
      <c r="A731" s="4"/>
      <c r="B731" s="4"/>
      <c r="C731" s="4"/>
      <c r="D731" s="4"/>
      <c r="E731" s="4"/>
    </row>
    <row r="732" spans="1:5" ht="15.75" customHeight="1" x14ac:dyDescent="0.25">
      <c r="A732" s="4"/>
      <c r="B732" s="4"/>
      <c r="C732" s="4"/>
      <c r="D732" s="4"/>
      <c r="E732" s="4"/>
    </row>
    <row r="733" spans="1:5" ht="15.75" customHeight="1" x14ac:dyDescent="0.25">
      <c r="A733" s="4"/>
      <c r="B733" s="4"/>
      <c r="C733" s="4"/>
      <c r="D733" s="4"/>
      <c r="E733" s="4"/>
    </row>
    <row r="734" spans="1:5" ht="15.75" customHeight="1" x14ac:dyDescent="0.25">
      <c r="A734" s="4"/>
      <c r="B734" s="4"/>
      <c r="C734" s="4"/>
      <c r="D734" s="4"/>
      <c r="E734" s="4"/>
    </row>
    <row r="735" spans="1:5" ht="15.75" customHeight="1" x14ac:dyDescent="0.25">
      <c r="A735" s="4"/>
      <c r="B735" s="4"/>
      <c r="C735" s="4"/>
      <c r="D735" s="4"/>
      <c r="E735" s="4"/>
    </row>
    <row r="736" spans="1:5" ht="15.75" customHeight="1" x14ac:dyDescent="0.25">
      <c r="A736" s="4"/>
      <c r="B736" s="4"/>
      <c r="C736" s="4"/>
      <c r="D736" s="4"/>
      <c r="E736" s="4"/>
    </row>
    <row r="737" spans="1:5" ht="15.75" customHeight="1" x14ac:dyDescent="0.25">
      <c r="A737" s="4"/>
      <c r="B737" s="4"/>
      <c r="C737" s="4"/>
      <c r="D737" s="4"/>
      <c r="E737" s="4"/>
    </row>
    <row r="738" spans="1:5" ht="15.75" customHeight="1" x14ac:dyDescent="0.25">
      <c r="A738" s="4"/>
      <c r="B738" s="4"/>
      <c r="C738" s="4"/>
      <c r="D738" s="4"/>
      <c r="E738" s="4"/>
    </row>
    <row r="739" spans="1:5" ht="15.75" customHeight="1" x14ac:dyDescent="0.25">
      <c r="A739" s="4"/>
      <c r="B739" s="4"/>
      <c r="C739" s="4"/>
      <c r="D739" s="4"/>
      <c r="E739" s="4"/>
    </row>
    <row r="740" spans="1:5" ht="15.75" customHeight="1" x14ac:dyDescent="0.25">
      <c r="A740" s="4"/>
      <c r="B740" s="4"/>
      <c r="C740" s="4"/>
      <c r="D740" s="4"/>
      <c r="E740" s="4"/>
    </row>
    <row r="741" spans="1:5" ht="15.75" customHeight="1" x14ac:dyDescent="0.25">
      <c r="A741" s="4"/>
      <c r="B741" s="4"/>
      <c r="C741" s="4"/>
      <c r="D741" s="4"/>
      <c r="E741" s="4"/>
    </row>
    <row r="742" spans="1:5" ht="15.75" customHeight="1" x14ac:dyDescent="0.25">
      <c r="A742" s="4"/>
      <c r="B742" s="4"/>
      <c r="C742" s="4"/>
      <c r="D742" s="4"/>
      <c r="E742" s="4"/>
    </row>
    <row r="743" spans="1:5" ht="15.75" customHeight="1" x14ac:dyDescent="0.25">
      <c r="A743" s="4"/>
      <c r="B743" s="4"/>
      <c r="C743" s="4"/>
      <c r="D743" s="4"/>
      <c r="E743" s="4"/>
    </row>
    <row r="744" spans="1:5" ht="15.75" customHeight="1" x14ac:dyDescent="0.25">
      <c r="A744" s="4"/>
      <c r="B744" s="4"/>
      <c r="C744" s="4"/>
      <c r="D744" s="4"/>
      <c r="E744" s="4"/>
    </row>
    <row r="745" spans="1:5" ht="15.75" customHeight="1" x14ac:dyDescent="0.25">
      <c r="A745" s="4"/>
      <c r="B745" s="4"/>
      <c r="C745" s="4"/>
      <c r="D745" s="4"/>
      <c r="E745" s="4"/>
    </row>
    <row r="746" spans="1:5" ht="15.75" customHeight="1" x14ac:dyDescent="0.25">
      <c r="A746" s="4"/>
      <c r="B746" s="4"/>
      <c r="C746" s="4"/>
      <c r="D746" s="4"/>
      <c r="E746" s="4"/>
    </row>
    <row r="747" spans="1:5" ht="15.75" customHeight="1" x14ac:dyDescent="0.25">
      <c r="A747" s="4"/>
      <c r="B747" s="4"/>
      <c r="C747" s="4"/>
      <c r="D747" s="4"/>
      <c r="E747" s="4"/>
    </row>
    <row r="748" spans="1:5" ht="15.75" customHeight="1" x14ac:dyDescent="0.25">
      <c r="A748" s="4"/>
      <c r="B748" s="4"/>
      <c r="C748" s="4"/>
      <c r="D748" s="4"/>
      <c r="E748" s="4"/>
    </row>
    <row r="749" spans="1:5" ht="15.75" customHeight="1" x14ac:dyDescent="0.25">
      <c r="A749" s="4"/>
      <c r="B749" s="4"/>
      <c r="C749" s="4"/>
      <c r="D749" s="4"/>
      <c r="E749" s="4"/>
    </row>
    <row r="750" spans="1:5" ht="15.75" customHeight="1" x14ac:dyDescent="0.25">
      <c r="A750" s="4"/>
      <c r="B750" s="4"/>
      <c r="C750" s="4"/>
      <c r="D750" s="4"/>
      <c r="E750" s="4"/>
    </row>
    <row r="751" spans="1:5" ht="15.75" customHeight="1" x14ac:dyDescent="0.25">
      <c r="A751" s="4"/>
      <c r="B751" s="4"/>
      <c r="C751" s="4"/>
      <c r="D751" s="4"/>
      <c r="E751" s="4"/>
    </row>
    <row r="752" spans="1:5" ht="15.75" customHeight="1" x14ac:dyDescent="0.25">
      <c r="A752" s="4"/>
      <c r="B752" s="4"/>
      <c r="C752" s="4"/>
      <c r="D752" s="4"/>
      <c r="E752" s="4"/>
    </row>
    <row r="753" spans="1:5" ht="15.75" customHeight="1" x14ac:dyDescent="0.25">
      <c r="A753" s="4"/>
      <c r="B753" s="4"/>
      <c r="C753" s="4"/>
      <c r="D753" s="4"/>
      <c r="E753" s="4"/>
    </row>
    <row r="754" spans="1:5" ht="15.75" customHeight="1" x14ac:dyDescent="0.25">
      <c r="A754" s="4"/>
      <c r="B754" s="4"/>
      <c r="C754" s="4"/>
      <c r="D754" s="4"/>
      <c r="E754" s="4"/>
    </row>
    <row r="755" spans="1:5" ht="15.75" customHeight="1" x14ac:dyDescent="0.25">
      <c r="A755" s="4"/>
      <c r="B755" s="4"/>
      <c r="C755" s="4"/>
      <c r="D755" s="4"/>
      <c r="E755" s="4"/>
    </row>
    <row r="756" spans="1:5" ht="15.75" customHeight="1" x14ac:dyDescent="0.25">
      <c r="A756" s="4"/>
      <c r="B756" s="4"/>
      <c r="C756" s="4"/>
      <c r="D756" s="4"/>
      <c r="E756" s="4"/>
    </row>
    <row r="757" spans="1:5" ht="15.75" customHeight="1" x14ac:dyDescent="0.25">
      <c r="A757" s="4"/>
      <c r="B757" s="4"/>
      <c r="C757" s="4"/>
      <c r="D757" s="4"/>
      <c r="E757" s="4"/>
    </row>
    <row r="758" spans="1:5" ht="15.75" customHeight="1" x14ac:dyDescent="0.25">
      <c r="A758" s="4"/>
      <c r="B758" s="4"/>
      <c r="C758" s="4"/>
      <c r="D758" s="4"/>
      <c r="E758" s="4"/>
    </row>
    <row r="759" spans="1:5" ht="15.75" customHeight="1" x14ac:dyDescent="0.25">
      <c r="A759" s="4"/>
      <c r="B759" s="4"/>
      <c r="C759" s="4"/>
      <c r="D759" s="4"/>
      <c r="E759" s="4"/>
    </row>
    <row r="760" spans="1:5" ht="15.75" customHeight="1" x14ac:dyDescent="0.25">
      <c r="A760" s="4"/>
      <c r="B760" s="4"/>
      <c r="C760" s="4"/>
      <c r="D760" s="4"/>
      <c r="E760" s="4"/>
    </row>
    <row r="761" spans="1:5" ht="15.75" customHeight="1" x14ac:dyDescent="0.25">
      <c r="A761" s="4"/>
      <c r="B761" s="4"/>
      <c r="C761" s="4"/>
      <c r="D761" s="4"/>
      <c r="E761" s="4"/>
    </row>
    <row r="762" spans="1:5" ht="15.75" customHeight="1" x14ac:dyDescent="0.25">
      <c r="A762" s="4"/>
      <c r="B762" s="4"/>
      <c r="C762" s="4"/>
      <c r="D762" s="4"/>
      <c r="E762" s="4"/>
    </row>
    <row r="763" spans="1:5" ht="15.75" customHeight="1" x14ac:dyDescent="0.25">
      <c r="A763" s="4"/>
      <c r="B763" s="4"/>
      <c r="C763" s="4"/>
      <c r="D763" s="4"/>
      <c r="E763" s="4"/>
    </row>
    <row r="764" spans="1:5" ht="15.75" customHeight="1" x14ac:dyDescent="0.25">
      <c r="A764" s="4"/>
      <c r="B764" s="4"/>
      <c r="C764" s="4"/>
      <c r="D764" s="4"/>
      <c r="E764" s="4"/>
    </row>
    <row r="765" spans="1:5" ht="15.75" customHeight="1" x14ac:dyDescent="0.25">
      <c r="A765" s="4"/>
      <c r="B765" s="4"/>
      <c r="C765" s="4"/>
      <c r="D765" s="4"/>
      <c r="E765" s="4"/>
    </row>
    <row r="766" spans="1:5" ht="15.75" customHeight="1" x14ac:dyDescent="0.25">
      <c r="A766" s="4"/>
      <c r="B766" s="4"/>
      <c r="C766" s="4"/>
      <c r="D766" s="4"/>
      <c r="E766" s="4"/>
    </row>
    <row r="767" spans="1:5" ht="15.75" customHeight="1" x14ac:dyDescent="0.25">
      <c r="A767" s="4"/>
      <c r="B767" s="4"/>
      <c r="C767" s="4"/>
      <c r="D767" s="4"/>
      <c r="E767" s="4"/>
    </row>
    <row r="768" spans="1:5" ht="15.75" customHeight="1" x14ac:dyDescent="0.25">
      <c r="A768" s="4"/>
      <c r="B768" s="4"/>
      <c r="C768" s="4"/>
      <c r="D768" s="4"/>
      <c r="E768" s="4"/>
    </row>
    <row r="769" spans="1:5" ht="15.75" customHeight="1" x14ac:dyDescent="0.25">
      <c r="A769" s="4"/>
      <c r="B769" s="4"/>
      <c r="C769" s="4"/>
      <c r="D769" s="4"/>
      <c r="E769" s="4"/>
    </row>
    <row r="770" spans="1:5" ht="15.75" customHeight="1" x14ac:dyDescent="0.25">
      <c r="A770" s="4"/>
      <c r="B770" s="4"/>
      <c r="C770" s="4"/>
      <c r="D770" s="4"/>
      <c r="E770" s="4"/>
    </row>
    <row r="771" spans="1:5" ht="15.75" customHeight="1" x14ac:dyDescent="0.25">
      <c r="A771" s="4"/>
      <c r="B771" s="4"/>
      <c r="C771" s="4"/>
      <c r="D771" s="4"/>
      <c r="E771" s="4"/>
    </row>
    <row r="772" spans="1:5" ht="15.75" customHeight="1" x14ac:dyDescent="0.25">
      <c r="A772" s="4"/>
      <c r="B772" s="4"/>
      <c r="C772" s="4"/>
      <c r="D772" s="4"/>
      <c r="E772" s="4"/>
    </row>
    <row r="773" spans="1:5" ht="15.75" customHeight="1" x14ac:dyDescent="0.25">
      <c r="A773" s="4"/>
      <c r="B773" s="4"/>
      <c r="C773" s="4"/>
      <c r="D773" s="4"/>
      <c r="E773" s="4"/>
    </row>
    <row r="774" spans="1:5" ht="15.75" customHeight="1" x14ac:dyDescent="0.25">
      <c r="A774" s="4"/>
      <c r="B774" s="4"/>
      <c r="C774" s="4"/>
      <c r="D774" s="4"/>
      <c r="E774" s="4"/>
    </row>
    <row r="775" spans="1:5" ht="15.75" customHeight="1" x14ac:dyDescent="0.25">
      <c r="A775" s="4"/>
      <c r="B775" s="4"/>
      <c r="C775" s="4"/>
      <c r="D775" s="4"/>
      <c r="E775" s="4"/>
    </row>
    <row r="776" spans="1:5" ht="15.75" customHeight="1" x14ac:dyDescent="0.25">
      <c r="A776" s="4"/>
      <c r="B776" s="4"/>
      <c r="C776" s="4"/>
      <c r="D776" s="4"/>
      <c r="E776" s="4"/>
    </row>
    <row r="777" spans="1:5" ht="15.75" customHeight="1" x14ac:dyDescent="0.25">
      <c r="A777" s="4"/>
      <c r="B777" s="4"/>
      <c r="C777" s="4"/>
      <c r="D777" s="4"/>
      <c r="E777" s="4"/>
    </row>
    <row r="778" spans="1:5" ht="15.75" customHeight="1" x14ac:dyDescent="0.25">
      <c r="A778" s="4"/>
      <c r="B778" s="4"/>
      <c r="C778" s="4"/>
      <c r="D778" s="4"/>
      <c r="E778" s="4"/>
    </row>
    <row r="779" spans="1:5" ht="15.75" customHeight="1" x14ac:dyDescent="0.25">
      <c r="A779" s="4"/>
      <c r="B779" s="4"/>
      <c r="C779" s="4"/>
      <c r="D779" s="4"/>
      <c r="E779" s="4"/>
    </row>
    <row r="780" spans="1:5" ht="15.75" customHeight="1" x14ac:dyDescent="0.25">
      <c r="A780" s="4"/>
      <c r="B780" s="4"/>
      <c r="C780" s="4"/>
      <c r="D780" s="4"/>
      <c r="E780" s="4"/>
    </row>
    <row r="781" spans="1:5" ht="15.75" customHeight="1" x14ac:dyDescent="0.25">
      <c r="A781" s="4"/>
      <c r="B781" s="4"/>
      <c r="C781" s="4"/>
      <c r="D781" s="4"/>
      <c r="E781" s="4"/>
    </row>
    <row r="782" spans="1:5" ht="15.75" customHeight="1" x14ac:dyDescent="0.25">
      <c r="A782" s="4"/>
      <c r="B782" s="4"/>
      <c r="C782" s="4"/>
      <c r="D782" s="4"/>
      <c r="E782" s="4"/>
    </row>
    <row r="783" spans="1:5" ht="15.75" customHeight="1" x14ac:dyDescent="0.25">
      <c r="A783" s="4"/>
      <c r="B783" s="4"/>
      <c r="C783" s="4"/>
      <c r="D783" s="4"/>
      <c r="E783" s="4"/>
    </row>
    <row r="784" spans="1:5" ht="15.75" customHeight="1" x14ac:dyDescent="0.25">
      <c r="A784" s="4"/>
      <c r="B784" s="4"/>
      <c r="C784" s="4"/>
      <c r="D784" s="4"/>
      <c r="E784" s="4"/>
    </row>
    <row r="785" spans="1:5" ht="15.75" customHeight="1" x14ac:dyDescent="0.25">
      <c r="A785" s="4"/>
      <c r="B785" s="4"/>
      <c r="C785" s="4"/>
      <c r="D785" s="4"/>
      <c r="E785" s="4"/>
    </row>
    <row r="786" spans="1:5" ht="15.75" customHeight="1" x14ac:dyDescent="0.25">
      <c r="A786" s="4"/>
      <c r="B786" s="4"/>
      <c r="C786" s="4"/>
      <c r="D786" s="4"/>
      <c r="E786" s="4"/>
    </row>
    <row r="787" spans="1:5" ht="15.75" customHeight="1" x14ac:dyDescent="0.25">
      <c r="A787" s="4"/>
      <c r="B787" s="4"/>
      <c r="C787" s="4"/>
      <c r="D787" s="4"/>
      <c r="E787" s="4"/>
    </row>
    <row r="788" spans="1:5" ht="15.75" customHeight="1" x14ac:dyDescent="0.25">
      <c r="A788" s="4"/>
      <c r="B788" s="4"/>
      <c r="C788" s="4"/>
      <c r="D788" s="4"/>
      <c r="E788" s="4"/>
    </row>
    <row r="789" spans="1:5" ht="15.75" customHeight="1" x14ac:dyDescent="0.25">
      <c r="A789" s="4"/>
      <c r="B789" s="4"/>
      <c r="C789" s="4"/>
      <c r="D789" s="4"/>
      <c r="E789" s="4"/>
    </row>
    <row r="790" spans="1:5" ht="15.75" customHeight="1" x14ac:dyDescent="0.25">
      <c r="A790" s="4"/>
      <c r="B790" s="4"/>
      <c r="C790" s="4"/>
      <c r="D790" s="4"/>
      <c r="E790" s="4"/>
    </row>
    <row r="791" spans="1:5" ht="15.75" customHeight="1" x14ac:dyDescent="0.25">
      <c r="A791" s="4"/>
      <c r="B791" s="4"/>
      <c r="C791" s="4"/>
      <c r="D791" s="4"/>
      <c r="E791" s="4"/>
    </row>
    <row r="792" spans="1:5" ht="15.75" customHeight="1" x14ac:dyDescent="0.25">
      <c r="A792" s="4"/>
      <c r="B792" s="4"/>
      <c r="C792" s="4"/>
      <c r="D792" s="4"/>
      <c r="E792" s="4"/>
    </row>
    <row r="793" spans="1:5" ht="15.75" customHeight="1" x14ac:dyDescent="0.25">
      <c r="A793" s="4"/>
      <c r="B793" s="4"/>
      <c r="C793" s="4"/>
      <c r="D793" s="4"/>
      <c r="E793" s="4"/>
    </row>
    <row r="794" spans="1:5" ht="15.75" customHeight="1" x14ac:dyDescent="0.25">
      <c r="A794" s="4"/>
      <c r="B794" s="4"/>
      <c r="C794" s="4"/>
      <c r="D794" s="4"/>
      <c r="E794" s="4"/>
    </row>
    <row r="795" spans="1:5" ht="15.75" customHeight="1" x14ac:dyDescent="0.25">
      <c r="A795" s="4"/>
      <c r="B795" s="4"/>
      <c r="C795" s="4"/>
      <c r="D795" s="4"/>
      <c r="E795" s="4"/>
    </row>
    <row r="796" spans="1:5" ht="15.75" customHeight="1" x14ac:dyDescent="0.25">
      <c r="A796" s="4"/>
      <c r="B796" s="4"/>
      <c r="C796" s="4"/>
      <c r="D796" s="4"/>
      <c r="E796" s="4"/>
    </row>
    <row r="797" spans="1:5" ht="15.75" customHeight="1" x14ac:dyDescent="0.25">
      <c r="A797" s="4"/>
      <c r="B797" s="4"/>
      <c r="C797" s="4"/>
      <c r="D797" s="4"/>
      <c r="E797" s="4"/>
    </row>
    <row r="798" spans="1:5" ht="15.75" customHeight="1" x14ac:dyDescent="0.25">
      <c r="A798" s="4"/>
      <c r="B798" s="4"/>
      <c r="C798" s="4"/>
      <c r="D798" s="4"/>
      <c r="E798" s="4"/>
    </row>
    <row r="799" spans="1:5" ht="15.75" customHeight="1" x14ac:dyDescent="0.25">
      <c r="A799" s="4"/>
      <c r="B799" s="4"/>
      <c r="C799" s="4"/>
      <c r="D799" s="4"/>
      <c r="E799" s="4"/>
    </row>
    <row r="800" spans="1:5" ht="15.75" customHeight="1" x14ac:dyDescent="0.25">
      <c r="A800" s="4"/>
      <c r="B800" s="4"/>
      <c r="C800" s="4"/>
      <c r="D800" s="4"/>
      <c r="E800" s="4"/>
    </row>
    <row r="801" spans="1:5" ht="15.75" customHeight="1" x14ac:dyDescent="0.25">
      <c r="A801" s="4"/>
      <c r="B801" s="4"/>
      <c r="C801" s="4"/>
      <c r="D801" s="4"/>
      <c r="E801" s="4"/>
    </row>
    <row r="802" spans="1:5" ht="15.75" customHeight="1" x14ac:dyDescent="0.25">
      <c r="A802" s="4"/>
      <c r="B802" s="4"/>
      <c r="C802" s="4"/>
      <c r="D802" s="4"/>
      <c r="E802" s="4"/>
    </row>
    <row r="803" spans="1:5" ht="15.75" customHeight="1" x14ac:dyDescent="0.25">
      <c r="A803" s="4"/>
      <c r="B803" s="4"/>
      <c r="C803" s="4"/>
      <c r="D803" s="4"/>
      <c r="E803" s="4"/>
    </row>
    <row r="804" spans="1:5" ht="15.75" customHeight="1" x14ac:dyDescent="0.25">
      <c r="A804" s="4"/>
      <c r="B804" s="4"/>
      <c r="C804" s="4"/>
      <c r="D804" s="4"/>
      <c r="E804" s="4"/>
    </row>
    <row r="805" spans="1:5" ht="15.75" customHeight="1" x14ac:dyDescent="0.25">
      <c r="A805" s="4"/>
      <c r="B805" s="4"/>
      <c r="C805" s="4"/>
      <c r="D805" s="4"/>
      <c r="E805" s="4"/>
    </row>
    <row r="806" spans="1:5" ht="15.75" customHeight="1" x14ac:dyDescent="0.25">
      <c r="A806" s="4"/>
      <c r="B806" s="4"/>
      <c r="C806" s="4"/>
      <c r="D806" s="4"/>
      <c r="E806" s="4"/>
    </row>
    <row r="807" spans="1:5" ht="15.75" customHeight="1" x14ac:dyDescent="0.25">
      <c r="A807" s="4"/>
      <c r="B807" s="4"/>
      <c r="C807" s="4"/>
      <c r="D807" s="4"/>
      <c r="E807" s="4"/>
    </row>
    <row r="808" spans="1:5" ht="15.75" customHeight="1" x14ac:dyDescent="0.25">
      <c r="A808" s="4"/>
      <c r="B808" s="4"/>
      <c r="C808" s="4"/>
      <c r="D808" s="4"/>
      <c r="E808" s="4"/>
    </row>
    <row r="809" spans="1:5" ht="15.75" customHeight="1" x14ac:dyDescent="0.25">
      <c r="A809" s="4"/>
      <c r="B809" s="4"/>
      <c r="C809" s="4"/>
      <c r="D809" s="4"/>
      <c r="E809" s="4"/>
    </row>
    <row r="810" spans="1:5" ht="15.75" customHeight="1" x14ac:dyDescent="0.25">
      <c r="A810" s="4"/>
      <c r="B810" s="4"/>
      <c r="C810" s="4"/>
      <c r="D810" s="4"/>
      <c r="E810" s="4"/>
    </row>
    <row r="811" spans="1:5" ht="15.75" customHeight="1" x14ac:dyDescent="0.25">
      <c r="A811" s="4"/>
      <c r="B811" s="4"/>
      <c r="C811" s="4"/>
      <c r="D811" s="4"/>
      <c r="E811" s="4"/>
    </row>
    <row r="812" spans="1:5" ht="15.75" customHeight="1" x14ac:dyDescent="0.25">
      <c r="A812" s="4"/>
      <c r="B812" s="4"/>
      <c r="C812" s="4"/>
      <c r="D812" s="4"/>
      <c r="E812" s="4"/>
    </row>
    <row r="813" spans="1:5" ht="15.75" customHeight="1" x14ac:dyDescent="0.25">
      <c r="A813" s="4"/>
      <c r="B813" s="4"/>
      <c r="C813" s="4"/>
      <c r="D813" s="4"/>
      <c r="E813" s="4"/>
    </row>
    <row r="814" spans="1:5" ht="15.75" customHeight="1" x14ac:dyDescent="0.25">
      <c r="A814" s="4"/>
      <c r="B814" s="4"/>
      <c r="C814" s="4"/>
      <c r="D814" s="4"/>
      <c r="E814" s="4"/>
    </row>
    <row r="815" spans="1:5" ht="15.75" customHeight="1" x14ac:dyDescent="0.25">
      <c r="A815" s="4"/>
      <c r="B815" s="4"/>
      <c r="C815" s="4"/>
      <c r="D815" s="4"/>
      <c r="E815" s="4"/>
    </row>
    <row r="816" spans="1:5" ht="15.75" customHeight="1" x14ac:dyDescent="0.25">
      <c r="A816" s="4"/>
      <c r="B816" s="4"/>
      <c r="C816" s="4"/>
      <c r="D816" s="4"/>
      <c r="E816" s="4"/>
    </row>
    <row r="817" spans="1:5" ht="15.75" customHeight="1" x14ac:dyDescent="0.25">
      <c r="A817" s="4"/>
      <c r="B817" s="4"/>
      <c r="C817" s="4"/>
      <c r="D817" s="4"/>
      <c r="E817" s="4"/>
    </row>
    <row r="818" spans="1:5" ht="15.75" customHeight="1" x14ac:dyDescent="0.25">
      <c r="A818" s="4"/>
      <c r="B818" s="4"/>
      <c r="C818" s="4"/>
      <c r="D818" s="4"/>
      <c r="E818" s="4"/>
    </row>
    <row r="819" spans="1:5" ht="15.75" customHeight="1" x14ac:dyDescent="0.25">
      <c r="A819" s="4"/>
      <c r="B819" s="4"/>
      <c r="C819" s="4"/>
      <c r="D819" s="4"/>
      <c r="E819" s="4"/>
    </row>
    <row r="820" spans="1:5" ht="15.75" customHeight="1" x14ac:dyDescent="0.25">
      <c r="A820" s="4"/>
      <c r="B820" s="4"/>
      <c r="C820" s="4"/>
      <c r="D820" s="4"/>
      <c r="E820" s="4"/>
    </row>
    <row r="821" spans="1:5" ht="15.75" customHeight="1" x14ac:dyDescent="0.25">
      <c r="A821" s="4"/>
      <c r="B821" s="4"/>
      <c r="C821" s="4"/>
      <c r="D821" s="4"/>
      <c r="E821" s="4"/>
    </row>
    <row r="822" spans="1:5" ht="15.75" customHeight="1" x14ac:dyDescent="0.25">
      <c r="A822" s="4"/>
      <c r="B822" s="4"/>
      <c r="C822" s="4"/>
      <c r="D822" s="4"/>
      <c r="E822" s="4"/>
    </row>
    <row r="823" spans="1:5" ht="15.75" customHeight="1" x14ac:dyDescent="0.25">
      <c r="A823" s="4"/>
      <c r="B823" s="4"/>
      <c r="C823" s="4"/>
      <c r="D823" s="4"/>
      <c r="E823" s="4"/>
    </row>
    <row r="824" spans="1:5" ht="15.75" customHeight="1" x14ac:dyDescent="0.25">
      <c r="A824" s="4"/>
      <c r="B824" s="4"/>
      <c r="C824" s="4"/>
      <c r="D824" s="4"/>
      <c r="E824" s="4"/>
    </row>
    <row r="825" spans="1:5" ht="15.75" customHeight="1" x14ac:dyDescent="0.25">
      <c r="A825" s="4"/>
      <c r="B825" s="4"/>
      <c r="C825" s="4"/>
      <c r="D825" s="4"/>
      <c r="E825" s="4"/>
    </row>
    <row r="826" spans="1:5" ht="15.75" customHeight="1" x14ac:dyDescent="0.25">
      <c r="A826" s="4"/>
      <c r="B826" s="4"/>
      <c r="C826" s="4"/>
      <c r="D826" s="4"/>
      <c r="E826" s="4"/>
    </row>
    <row r="827" spans="1:5" ht="15.75" customHeight="1" x14ac:dyDescent="0.25">
      <c r="A827" s="4"/>
      <c r="B827" s="4"/>
      <c r="C827" s="4"/>
      <c r="D827" s="4"/>
      <c r="E827" s="4"/>
    </row>
    <row r="828" spans="1:5" ht="15.75" customHeight="1" x14ac:dyDescent="0.25">
      <c r="A828" s="4"/>
      <c r="B828" s="4"/>
      <c r="C828" s="4"/>
      <c r="D828" s="4"/>
      <c r="E828" s="4"/>
    </row>
    <row r="829" spans="1:5" ht="15.75" customHeight="1" x14ac:dyDescent="0.25">
      <c r="A829" s="4"/>
      <c r="B829" s="4"/>
      <c r="C829" s="4"/>
      <c r="D829" s="4"/>
      <c r="E829" s="4"/>
    </row>
    <row r="830" spans="1:5" ht="15.75" customHeight="1" x14ac:dyDescent="0.25">
      <c r="A830" s="4"/>
      <c r="B830" s="4"/>
      <c r="C830" s="4"/>
      <c r="D830" s="4"/>
      <c r="E830" s="4"/>
    </row>
    <row r="831" spans="1:5" ht="15.75" customHeight="1" x14ac:dyDescent="0.25">
      <c r="A831" s="4"/>
      <c r="B831" s="4"/>
      <c r="C831" s="4"/>
      <c r="D831" s="4"/>
      <c r="E831" s="4"/>
    </row>
    <row r="832" spans="1:5" ht="15.75" customHeight="1" x14ac:dyDescent="0.25">
      <c r="A832" s="4"/>
      <c r="B832" s="4"/>
      <c r="C832" s="4"/>
      <c r="D832" s="4"/>
      <c r="E832" s="4"/>
    </row>
    <row r="833" spans="1:5" ht="15.75" customHeight="1" x14ac:dyDescent="0.25">
      <c r="A833" s="4"/>
      <c r="B833" s="4"/>
      <c r="C833" s="4"/>
      <c r="D833" s="4"/>
      <c r="E833" s="4"/>
    </row>
    <row r="834" spans="1:5" ht="15.75" customHeight="1" x14ac:dyDescent="0.25">
      <c r="A834" s="4"/>
      <c r="B834" s="4"/>
      <c r="C834" s="4"/>
      <c r="D834" s="4"/>
      <c r="E834" s="4"/>
    </row>
    <row r="835" spans="1:5" ht="15.75" customHeight="1" x14ac:dyDescent="0.25">
      <c r="A835" s="4"/>
      <c r="B835" s="4"/>
      <c r="C835" s="4"/>
      <c r="D835" s="4"/>
      <c r="E835" s="4"/>
    </row>
    <row r="836" spans="1:5" ht="15.75" customHeight="1" x14ac:dyDescent="0.25">
      <c r="A836" s="4"/>
      <c r="B836" s="4"/>
      <c r="C836" s="4"/>
      <c r="D836" s="4"/>
      <c r="E836" s="4"/>
    </row>
    <row r="837" spans="1:5" ht="15.75" customHeight="1" x14ac:dyDescent="0.25">
      <c r="A837" s="4"/>
      <c r="B837" s="4"/>
      <c r="C837" s="4"/>
      <c r="D837" s="4"/>
      <c r="E837" s="4"/>
    </row>
    <row r="838" spans="1:5" ht="15.75" customHeight="1" x14ac:dyDescent="0.25">
      <c r="A838" s="4"/>
      <c r="B838" s="4"/>
      <c r="C838" s="4"/>
      <c r="D838" s="4"/>
      <c r="E838" s="4"/>
    </row>
    <row r="839" spans="1:5" ht="15.75" customHeight="1" x14ac:dyDescent="0.25">
      <c r="A839" s="4"/>
      <c r="B839" s="4"/>
      <c r="C839" s="4"/>
      <c r="D839" s="4"/>
      <c r="E839" s="4"/>
    </row>
    <row r="840" spans="1:5" ht="15.75" customHeight="1" x14ac:dyDescent="0.25">
      <c r="A840" s="4"/>
      <c r="B840" s="4"/>
      <c r="C840" s="4"/>
      <c r="D840" s="4"/>
      <c r="E840" s="4"/>
    </row>
    <row r="841" spans="1:5" ht="15.75" customHeight="1" x14ac:dyDescent="0.25">
      <c r="A841" s="4"/>
      <c r="B841" s="4"/>
      <c r="C841" s="4"/>
      <c r="D841" s="4"/>
      <c r="E841" s="4"/>
    </row>
    <row r="842" spans="1:5" ht="15.75" customHeight="1" x14ac:dyDescent="0.25">
      <c r="A842" s="4"/>
      <c r="B842" s="4"/>
      <c r="C842" s="4"/>
      <c r="D842" s="4"/>
      <c r="E842" s="4"/>
    </row>
    <row r="843" spans="1:5" ht="15.75" customHeight="1" x14ac:dyDescent="0.25">
      <c r="A843" s="4"/>
      <c r="B843" s="4"/>
      <c r="C843" s="4"/>
      <c r="D843" s="4"/>
      <c r="E843" s="4"/>
    </row>
    <row r="844" spans="1:5" ht="15.75" customHeight="1" x14ac:dyDescent="0.25">
      <c r="A844" s="4"/>
      <c r="B844" s="4"/>
      <c r="C844" s="4"/>
      <c r="D844" s="4"/>
      <c r="E844" s="4"/>
    </row>
    <row r="845" spans="1:5" ht="15.75" customHeight="1" x14ac:dyDescent="0.25">
      <c r="A845" s="4"/>
      <c r="B845" s="4"/>
      <c r="C845" s="4"/>
      <c r="D845" s="4"/>
      <c r="E845" s="4"/>
    </row>
    <row r="846" spans="1:5" ht="15.75" customHeight="1" x14ac:dyDescent="0.25">
      <c r="A846" s="4"/>
      <c r="B846" s="4"/>
      <c r="C846" s="4"/>
      <c r="D846" s="4"/>
      <c r="E846" s="4"/>
    </row>
    <row r="847" spans="1:5" ht="15.75" customHeight="1" x14ac:dyDescent="0.25">
      <c r="A847" s="4"/>
      <c r="B847" s="4"/>
      <c r="C847" s="4"/>
      <c r="D847" s="4"/>
      <c r="E847" s="4"/>
    </row>
    <row r="848" spans="1:5" ht="15.75" customHeight="1" x14ac:dyDescent="0.25">
      <c r="A848" s="4"/>
      <c r="B848" s="4"/>
      <c r="C848" s="4"/>
      <c r="D848" s="4"/>
      <c r="E848" s="4"/>
    </row>
    <row r="849" spans="1:5" ht="15.75" customHeight="1" x14ac:dyDescent="0.25">
      <c r="A849" s="4"/>
      <c r="B849" s="4"/>
      <c r="C849" s="4"/>
      <c r="D849" s="4"/>
      <c r="E849" s="4"/>
    </row>
    <row r="850" spans="1:5" ht="15.75" customHeight="1" x14ac:dyDescent="0.25">
      <c r="A850" s="4"/>
      <c r="B850" s="4"/>
      <c r="C850" s="4"/>
      <c r="D850" s="4"/>
      <c r="E850" s="4"/>
    </row>
    <row r="851" spans="1:5" ht="15.75" customHeight="1" x14ac:dyDescent="0.25">
      <c r="A851" s="4"/>
      <c r="B851" s="4"/>
      <c r="C851" s="4"/>
      <c r="D851" s="4"/>
      <c r="E851" s="4"/>
    </row>
    <row r="852" spans="1:5" ht="15.75" customHeight="1" x14ac:dyDescent="0.25">
      <c r="A852" s="4"/>
      <c r="B852" s="4"/>
      <c r="C852" s="4"/>
      <c r="D852" s="4"/>
      <c r="E852" s="4"/>
    </row>
    <row r="853" spans="1:5" ht="15.75" customHeight="1" x14ac:dyDescent="0.25">
      <c r="A853" s="4"/>
      <c r="B853" s="4"/>
      <c r="C853" s="4"/>
      <c r="D853" s="4"/>
      <c r="E853" s="4"/>
    </row>
    <row r="854" spans="1:5" ht="15.75" customHeight="1" x14ac:dyDescent="0.25">
      <c r="A854" s="4"/>
      <c r="B854" s="4"/>
      <c r="C854" s="4"/>
      <c r="D854" s="4"/>
      <c r="E854" s="4"/>
    </row>
    <row r="855" spans="1:5" ht="15.75" customHeight="1" x14ac:dyDescent="0.25">
      <c r="A855" s="4"/>
      <c r="B855" s="4"/>
      <c r="C855" s="4"/>
      <c r="D855" s="4"/>
      <c r="E855" s="4"/>
    </row>
    <row r="856" spans="1:5" ht="15.75" customHeight="1" x14ac:dyDescent="0.25">
      <c r="A856" s="4"/>
      <c r="B856" s="4"/>
      <c r="C856" s="4"/>
      <c r="D856" s="4"/>
      <c r="E856" s="4"/>
    </row>
    <row r="857" spans="1:5" ht="15.75" customHeight="1" x14ac:dyDescent="0.25">
      <c r="A857" s="4"/>
      <c r="B857" s="4"/>
      <c r="C857" s="4"/>
      <c r="D857" s="4"/>
      <c r="E857" s="4"/>
    </row>
    <row r="858" spans="1:5" ht="15.75" customHeight="1" x14ac:dyDescent="0.25">
      <c r="A858" s="4"/>
      <c r="B858" s="4"/>
      <c r="C858" s="4"/>
      <c r="D858" s="4"/>
      <c r="E858" s="4"/>
    </row>
    <row r="859" spans="1:5" ht="15.75" customHeight="1" x14ac:dyDescent="0.25">
      <c r="A859" s="4"/>
      <c r="B859" s="4"/>
      <c r="C859" s="4"/>
      <c r="D859" s="4"/>
      <c r="E859" s="4"/>
    </row>
    <row r="860" spans="1:5" ht="15.75" customHeight="1" x14ac:dyDescent="0.25">
      <c r="A860" s="4"/>
      <c r="B860" s="4"/>
      <c r="C860" s="4"/>
      <c r="D860" s="4"/>
      <c r="E860" s="4"/>
    </row>
    <row r="861" spans="1:5" ht="15.75" customHeight="1" x14ac:dyDescent="0.25">
      <c r="A861" s="4"/>
      <c r="B861" s="4"/>
      <c r="C861" s="4"/>
      <c r="D861" s="4"/>
      <c r="E861" s="4"/>
    </row>
    <row r="862" spans="1:5" ht="15.75" customHeight="1" x14ac:dyDescent="0.25">
      <c r="A862" s="4"/>
      <c r="B862" s="4"/>
      <c r="C862" s="4"/>
      <c r="D862" s="4"/>
      <c r="E862" s="4"/>
    </row>
    <row r="863" spans="1:5" ht="15.75" customHeight="1" x14ac:dyDescent="0.25">
      <c r="A863" s="4"/>
      <c r="B863" s="4"/>
      <c r="C863" s="4"/>
      <c r="D863" s="4"/>
      <c r="E863" s="4"/>
    </row>
    <row r="864" spans="1:5" ht="15.75" customHeight="1" x14ac:dyDescent="0.25">
      <c r="A864" s="4"/>
      <c r="B864" s="4"/>
      <c r="C864" s="4"/>
      <c r="D864" s="4"/>
      <c r="E864" s="4"/>
    </row>
    <row r="865" spans="1:5" ht="15.75" customHeight="1" x14ac:dyDescent="0.25">
      <c r="A865" s="4"/>
      <c r="B865" s="4"/>
      <c r="C865" s="4"/>
      <c r="D865" s="4"/>
      <c r="E865" s="4"/>
    </row>
    <row r="866" spans="1:5" ht="15.75" customHeight="1" x14ac:dyDescent="0.25">
      <c r="A866" s="4"/>
      <c r="B866" s="4"/>
      <c r="C866" s="4"/>
      <c r="D866" s="4"/>
      <c r="E866" s="4"/>
    </row>
    <row r="867" spans="1:5" ht="15.75" customHeight="1" x14ac:dyDescent="0.25">
      <c r="A867" s="4"/>
      <c r="B867" s="4"/>
      <c r="C867" s="4"/>
      <c r="D867" s="4"/>
      <c r="E867" s="4"/>
    </row>
    <row r="868" spans="1:5" ht="15.75" customHeight="1" x14ac:dyDescent="0.25">
      <c r="A868" s="4"/>
      <c r="B868" s="4"/>
      <c r="C868" s="4"/>
      <c r="D868" s="4"/>
      <c r="E868" s="4"/>
    </row>
    <row r="869" spans="1:5" ht="15.75" customHeight="1" x14ac:dyDescent="0.25">
      <c r="A869" s="4"/>
      <c r="B869" s="4"/>
      <c r="C869" s="4"/>
      <c r="D869" s="4"/>
      <c r="E869" s="4"/>
    </row>
    <row r="870" spans="1:5" ht="15.75" customHeight="1" x14ac:dyDescent="0.25">
      <c r="A870" s="4"/>
      <c r="B870" s="4"/>
      <c r="C870" s="4"/>
      <c r="D870" s="4"/>
      <c r="E870" s="4"/>
    </row>
    <row r="871" spans="1:5" ht="15.75" customHeight="1" x14ac:dyDescent="0.25">
      <c r="A871" s="4"/>
      <c r="B871" s="4"/>
      <c r="C871" s="4"/>
      <c r="D871" s="4"/>
      <c r="E871" s="4"/>
    </row>
    <row r="872" spans="1:5" ht="15.75" customHeight="1" x14ac:dyDescent="0.25">
      <c r="A872" s="4"/>
      <c r="B872" s="4"/>
      <c r="C872" s="4"/>
      <c r="D872" s="4"/>
      <c r="E872" s="4"/>
    </row>
    <row r="873" spans="1:5" ht="15.75" customHeight="1" x14ac:dyDescent="0.25">
      <c r="A873" s="4"/>
      <c r="B873" s="4"/>
      <c r="C873" s="4"/>
      <c r="D873" s="4"/>
      <c r="E873" s="4"/>
    </row>
    <row r="874" spans="1:5" ht="15.75" customHeight="1" x14ac:dyDescent="0.25">
      <c r="A874" s="4"/>
      <c r="B874" s="4"/>
      <c r="C874" s="4"/>
      <c r="D874" s="4"/>
      <c r="E874" s="4"/>
    </row>
    <row r="875" spans="1:5" ht="15.75" customHeight="1" x14ac:dyDescent="0.25">
      <c r="A875" s="4"/>
      <c r="B875" s="4"/>
      <c r="C875" s="4"/>
      <c r="D875" s="4"/>
      <c r="E875" s="4"/>
    </row>
    <row r="876" spans="1:5" ht="15.75" customHeight="1" x14ac:dyDescent="0.25">
      <c r="A876" s="4"/>
      <c r="B876" s="4"/>
      <c r="C876" s="4"/>
      <c r="D876" s="4"/>
      <c r="E876" s="4"/>
    </row>
    <row r="877" spans="1:5" ht="15.75" customHeight="1" x14ac:dyDescent="0.25">
      <c r="A877" s="4"/>
      <c r="B877" s="4"/>
      <c r="C877" s="4"/>
      <c r="D877" s="4"/>
      <c r="E877" s="4"/>
    </row>
    <row r="878" spans="1:5" ht="15.75" customHeight="1" x14ac:dyDescent="0.25">
      <c r="A878" s="4"/>
      <c r="B878" s="4"/>
      <c r="C878" s="4"/>
      <c r="D878" s="4"/>
      <c r="E878" s="4"/>
    </row>
    <row r="879" spans="1:5" ht="15.75" customHeight="1" x14ac:dyDescent="0.25">
      <c r="A879" s="4"/>
      <c r="B879" s="4"/>
      <c r="C879" s="4"/>
      <c r="D879" s="4"/>
      <c r="E879" s="4"/>
    </row>
    <row r="880" spans="1:5" ht="15.75" customHeight="1" x14ac:dyDescent="0.25">
      <c r="A880" s="4"/>
      <c r="B880" s="4"/>
      <c r="C880" s="4"/>
      <c r="D880" s="4"/>
      <c r="E880" s="4"/>
    </row>
    <row r="881" spans="1:5" ht="15.75" customHeight="1" x14ac:dyDescent="0.25">
      <c r="A881" s="4"/>
      <c r="B881" s="4"/>
      <c r="C881" s="4"/>
      <c r="D881" s="4"/>
      <c r="E881" s="4"/>
    </row>
    <row r="882" spans="1:5" ht="15.75" customHeight="1" x14ac:dyDescent="0.25">
      <c r="A882" s="4"/>
      <c r="B882" s="4"/>
      <c r="C882" s="4"/>
      <c r="D882" s="4"/>
      <c r="E882" s="4"/>
    </row>
    <row r="883" spans="1:5" ht="15.75" customHeight="1" x14ac:dyDescent="0.25">
      <c r="A883" s="4"/>
      <c r="B883" s="4"/>
      <c r="C883" s="4"/>
      <c r="D883" s="4"/>
      <c r="E883" s="4"/>
    </row>
    <row r="884" spans="1:5" ht="15.75" customHeight="1" x14ac:dyDescent="0.25">
      <c r="A884" s="4"/>
      <c r="B884" s="4"/>
      <c r="C884" s="4"/>
      <c r="D884" s="4"/>
      <c r="E884" s="4"/>
    </row>
    <row r="885" spans="1:5" ht="15.75" customHeight="1" x14ac:dyDescent="0.25">
      <c r="A885" s="4"/>
      <c r="B885" s="4"/>
      <c r="C885" s="4"/>
      <c r="D885" s="4"/>
      <c r="E885" s="4"/>
    </row>
    <row r="886" spans="1:5" ht="15.75" customHeight="1" x14ac:dyDescent="0.25">
      <c r="A886" s="4"/>
      <c r="B886" s="4"/>
      <c r="C886" s="4"/>
      <c r="D886" s="4"/>
      <c r="E886" s="4"/>
    </row>
    <row r="887" spans="1:5" ht="15.75" customHeight="1" x14ac:dyDescent="0.25">
      <c r="A887" s="4"/>
      <c r="B887" s="4"/>
      <c r="C887" s="4"/>
      <c r="D887" s="4"/>
      <c r="E887" s="4"/>
    </row>
    <row r="888" spans="1:5" ht="15.75" customHeight="1" x14ac:dyDescent="0.25">
      <c r="A888" s="4"/>
      <c r="B888" s="4"/>
      <c r="C888" s="4"/>
      <c r="D888" s="4"/>
      <c r="E888" s="4"/>
    </row>
    <row r="889" spans="1:5" ht="15.75" customHeight="1" x14ac:dyDescent="0.25">
      <c r="A889" s="4"/>
      <c r="B889" s="4"/>
      <c r="C889" s="4"/>
      <c r="D889" s="4"/>
      <c r="E889" s="4"/>
    </row>
    <row r="890" spans="1:5" ht="15.75" customHeight="1" x14ac:dyDescent="0.25">
      <c r="A890" s="4"/>
      <c r="B890" s="4"/>
      <c r="C890" s="4"/>
      <c r="D890" s="4"/>
      <c r="E890" s="4"/>
    </row>
    <row r="891" spans="1:5" ht="15.75" customHeight="1" x14ac:dyDescent="0.25">
      <c r="A891" s="4"/>
      <c r="B891" s="4"/>
      <c r="C891" s="4"/>
      <c r="D891" s="4"/>
      <c r="E891" s="4"/>
    </row>
    <row r="892" spans="1:5" ht="15.75" customHeight="1" x14ac:dyDescent="0.25">
      <c r="A892" s="4"/>
      <c r="B892" s="4"/>
      <c r="C892" s="4"/>
      <c r="D892" s="4"/>
      <c r="E892" s="4"/>
    </row>
    <row r="893" spans="1:5" ht="15.75" customHeight="1" x14ac:dyDescent="0.25">
      <c r="A893" s="4"/>
      <c r="B893" s="4"/>
      <c r="C893" s="4"/>
      <c r="D893" s="4"/>
      <c r="E893" s="4"/>
    </row>
    <row r="894" spans="1:5" ht="15.75" customHeight="1" x14ac:dyDescent="0.25">
      <c r="A894" s="4"/>
      <c r="B894" s="4"/>
      <c r="C894" s="4"/>
      <c r="D894" s="4"/>
      <c r="E894" s="4"/>
    </row>
    <row r="895" spans="1:5" ht="15.75" customHeight="1" x14ac:dyDescent="0.25">
      <c r="A895" s="4"/>
      <c r="B895" s="4"/>
      <c r="C895" s="4"/>
      <c r="D895" s="4"/>
      <c r="E895" s="4"/>
    </row>
    <row r="896" spans="1:5" ht="15.75" customHeight="1" x14ac:dyDescent="0.25">
      <c r="A896" s="4"/>
      <c r="B896" s="4"/>
      <c r="C896" s="4"/>
      <c r="D896" s="4"/>
      <c r="E896" s="4"/>
    </row>
    <row r="897" spans="1:5" ht="15.75" customHeight="1" x14ac:dyDescent="0.25">
      <c r="A897" s="4"/>
      <c r="B897" s="4"/>
      <c r="C897" s="4"/>
      <c r="D897" s="4"/>
      <c r="E897" s="4"/>
    </row>
    <row r="898" spans="1:5" ht="15.75" customHeight="1" x14ac:dyDescent="0.25">
      <c r="A898" s="4"/>
      <c r="B898" s="4"/>
      <c r="C898" s="4"/>
      <c r="D898" s="4"/>
      <c r="E898" s="4"/>
    </row>
    <row r="899" spans="1:5" ht="15.75" customHeight="1" x14ac:dyDescent="0.25">
      <c r="A899" s="4"/>
      <c r="B899" s="4"/>
      <c r="C899" s="4"/>
      <c r="D899" s="4"/>
      <c r="E899" s="4"/>
    </row>
    <row r="900" spans="1:5" ht="15.75" customHeight="1" x14ac:dyDescent="0.25">
      <c r="A900" s="4"/>
      <c r="B900" s="4"/>
      <c r="C900" s="4"/>
      <c r="D900" s="4"/>
      <c r="E900" s="4"/>
    </row>
    <row r="901" spans="1:5" ht="15.75" customHeight="1" x14ac:dyDescent="0.25">
      <c r="A901" s="4"/>
      <c r="B901" s="4"/>
      <c r="C901" s="4"/>
      <c r="D901" s="4"/>
      <c r="E901" s="4"/>
    </row>
    <row r="902" spans="1:5" ht="15.75" customHeight="1" x14ac:dyDescent="0.25">
      <c r="A902" s="4"/>
      <c r="B902" s="4"/>
      <c r="C902" s="4"/>
      <c r="D902" s="4"/>
      <c r="E902" s="4"/>
    </row>
    <row r="903" spans="1:5" ht="15.75" customHeight="1" x14ac:dyDescent="0.25">
      <c r="A903" s="4"/>
      <c r="B903" s="4"/>
      <c r="C903" s="4"/>
      <c r="D903" s="4"/>
      <c r="E903" s="4"/>
    </row>
    <row r="904" spans="1:5" ht="15.75" customHeight="1" x14ac:dyDescent="0.25">
      <c r="A904" s="4"/>
      <c r="B904" s="4"/>
      <c r="C904" s="4"/>
      <c r="D904" s="4"/>
      <c r="E904" s="4"/>
    </row>
    <row r="905" spans="1:5" ht="15.75" customHeight="1" x14ac:dyDescent="0.25">
      <c r="A905" s="4"/>
      <c r="B905" s="4"/>
      <c r="C905" s="4"/>
      <c r="D905" s="4"/>
      <c r="E905" s="4"/>
    </row>
    <row r="906" spans="1:5" ht="15.75" customHeight="1" x14ac:dyDescent="0.25">
      <c r="A906" s="4"/>
      <c r="B906" s="4"/>
      <c r="C906" s="4"/>
      <c r="D906" s="4"/>
      <c r="E906" s="4"/>
    </row>
    <row r="907" spans="1:5" ht="15.75" customHeight="1" x14ac:dyDescent="0.25">
      <c r="A907" s="4"/>
      <c r="B907" s="4"/>
      <c r="C907" s="4"/>
      <c r="D907" s="4"/>
      <c r="E907" s="4"/>
    </row>
    <row r="908" spans="1:5" ht="15.75" customHeight="1" x14ac:dyDescent="0.25">
      <c r="A908" s="4"/>
      <c r="B908" s="4"/>
      <c r="C908" s="4"/>
      <c r="D908" s="4"/>
      <c r="E908" s="4"/>
    </row>
    <row r="909" spans="1:5" ht="15.75" customHeight="1" x14ac:dyDescent="0.25">
      <c r="A909" s="4"/>
      <c r="B909" s="4"/>
      <c r="C909" s="4"/>
      <c r="D909" s="4"/>
      <c r="E909" s="4"/>
    </row>
    <row r="910" spans="1:5" ht="15.75" customHeight="1" x14ac:dyDescent="0.25">
      <c r="A910" s="4"/>
      <c r="B910" s="4"/>
      <c r="C910" s="4"/>
      <c r="D910" s="4"/>
      <c r="E910" s="4"/>
    </row>
    <row r="911" spans="1:5" ht="15.75" customHeight="1" x14ac:dyDescent="0.25">
      <c r="A911" s="4"/>
      <c r="B911" s="4"/>
      <c r="C911" s="4"/>
      <c r="D911" s="4"/>
      <c r="E911" s="4"/>
    </row>
    <row r="912" spans="1:5" ht="15.75" customHeight="1" x14ac:dyDescent="0.25">
      <c r="A912" s="4"/>
      <c r="B912" s="4"/>
      <c r="C912" s="4"/>
      <c r="D912" s="4"/>
      <c r="E912" s="4"/>
    </row>
    <row r="913" spans="1:5" ht="15.75" customHeight="1" x14ac:dyDescent="0.25">
      <c r="A913" s="4"/>
      <c r="B913" s="4"/>
      <c r="C913" s="4"/>
      <c r="D913" s="4"/>
      <c r="E913" s="4"/>
    </row>
    <row r="914" spans="1:5" ht="15.75" customHeight="1" x14ac:dyDescent="0.25">
      <c r="A914" s="4"/>
      <c r="B914" s="4"/>
      <c r="C914" s="4"/>
      <c r="D914" s="4"/>
      <c r="E914" s="4"/>
    </row>
    <row r="915" spans="1:5" ht="15.75" customHeight="1" x14ac:dyDescent="0.25">
      <c r="A915" s="4"/>
      <c r="B915" s="4"/>
      <c r="C915" s="4"/>
      <c r="D915" s="4"/>
      <c r="E915" s="4"/>
    </row>
    <row r="916" spans="1:5" ht="15.75" customHeight="1" x14ac:dyDescent="0.25">
      <c r="A916" s="4"/>
      <c r="B916" s="4"/>
      <c r="C916" s="4"/>
      <c r="D916" s="4"/>
      <c r="E916" s="4"/>
    </row>
    <row r="917" spans="1:5" ht="15.75" customHeight="1" x14ac:dyDescent="0.25">
      <c r="A917" s="4"/>
      <c r="B917" s="4"/>
      <c r="C917" s="4"/>
      <c r="D917" s="4"/>
      <c r="E917" s="4"/>
    </row>
    <row r="918" spans="1:5" ht="15.75" customHeight="1" x14ac:dyDescent="0.25">
      <c r="A918" s="4"/>
      <c r="B918" s="4"/>
      <c r="C918" s="4"/>
      <c r="D918" s="4"/>
      <c r="E918" s="4"/>
    </row>
    <row r="919" spans="1:5" ht="15.75" customHeight="1" x14ac:dyDescent="0.25">
      <c r="A919" s="4"/>
      <c r="B919" s="4"/>
      <c r="C919" s="4"/>
      <c r="D919" s="4"/>
      <c r="E919" s="4"/>
    </row>
    <row r="920" spans="1:5" ht="15.75" customHeight="1" x14ac:dyDescent="0.25">
      <c r="A920" s="4"/>
      <c r="B920" s="4"/>
      <c r="C920" s="4"/>
      <c r="D920" s="4"/>
      <c r="E920" s="4"/>
    </row>
    <row r="921" spans="1:5" ht="15.75" customHeight="1" x14ac:dyDescent="0.25">
      <c r="A921" s="4"/>
      <c r="B921" s="4"/>
      <c r="C921" s="4"/>
      <c r="D921" s="4"/>
      <c r="E921" s="4"/>
    </row>
    <row r="922" spans="1:5" ht="15.75" customHeight="1" x14ac:dyDescent="0.25">
      <c r="A922" s="4"/>
      <c r="B922" s="4"/>
      <c r="C922" s="4"/>
      <c r="D922" s="4"/>
      <c r="E922" s="4"/>
    </row>
    <row r="923" spans="1:5" ht="15.75" customHeight="1" x14ac:dyDescent="0.25">
      <c r="A923" s="4"/>
      <c r="B923" s="4"/>
      <c r="C923" s="4"/>
      <c r="D923" s="4"/>
      <c r="E923" s="4"/>
    </row>
    <row r="924" spans="1:5" ht="15.75" customHeight="1" x14ac:dyDescent="0.25">
      <c r="A924" s="4"/>
      <c r="B924" s="4"/>
      <c r="C924" s="4"/>
      <c r="D924" s="4"/>
      <c r="E924" s="4"/>
    </row>
    <row r="925" spans="1:5" ht="15.75" customHeight="1" x14ac:dyDescent="0.25">
      <c r="A925" s="4"/>
      <c r="B925" s="4"/>
      <c r="C925" s="4"/>
      <c r="D925" s="4"/>
      <c r="E925" s="4"/>
    </row>
    <row r="926" spans="1:5" ht="15.75" customHeight="1" x14ac:dyDescent="0.25">
      <c r="A926" s="4"/>
      <c r="B926" s="4"/>
      <c r="C926" s="4"/>
      <c r="D926" s="4"/>
      <c r="E926" s="4"/>
    </row>
    <row r="927" spans="1:5" ht="15.75" customHeight="1" x14ac:dyDescent="0.25">
      <c r="A927" s="4"/>
      <c r="B927" s="4"/>
      <c r="C927" s="4"/>
      <c r="D927" s="4"/>
      <c r="E927" s="4"/>
    </row>
    <row r="928" spans="1:5" ht="15.75" customHeight="1" x14ac:dyDescent="0.25">
      <c r="A928" s="4"/>
      <c r="B928" s="4"/>
      <c r="C928" s="4"/>
      <c r="D928" s="4"/>
      <c r="E928" s="4"/>
    </row>
    <row r="929" spans="1:5" ht="15.75" customHeight="1" x14ac:dyDescent="0.25">
      <c r="A929" s="4"/>
      <c r="B929" s="4"/>
      <c r="C929" s="4"/>
      <c r="D929" s="4"/>
      <c r="E929" s="4"/>
    </row>
    <row r="930" spans="1:5" ht="15.75" customHeight="1" x14ac:dyDescent="0.25">
      <c r="A930" s="4"/>
      <c r="B930" s="4"/>
      <c r="C930" s="4"/>
      <c r="D930" s="4"/>
      <c r="E930" s="4"/>
    </row>
    <row r="931" spans="1:5" ht="15.75" customHeight="1" x14ac:dyDescent="0.25">
      <c r="A931" s="4"/>
      <c r="B931" s="4"/>
      <c r="C931" s="4"/>
      <c r="D931" s="4"/>
      <c r="E931" s="4"/>
    </row>
    <row r="932" spans="1:5" ht="15.75" customHeight="1" x14ac:dyDescent="0.25">
      <c r="A932" s="4"/>
      <c r="B932" s="4"/>
      <c r="C932" s="4"/>
      <c r="D932" s="4"/>
      <c r="E932" s="4"/>
    </row>
    <row r="933" spans="1:5" ht="15.75" customHeight="1" x14ac:dyDescent="0.25">
      <c r="A933" s="4"/>
      <c r="B933" s="4"/>
      <c r="C933" s="4"/>
      <c r="D933" s="4"/>
      <c r="E933" s="4"/>
    </row>
    <row r="934" spans="1:5" ht="15.75" customHeight="1" x14ac:dyDescent="0.25">
      <c r="A934" s="4"/>
      <c r="B934" s="4"/>
      <c r="C934" s="4"/>
      <c r="D934" s="4"/>
      <c r="E934" s="4"/>
    </row>
    <row r="935" spans="1:5" ht="15.75" customHeight="1" x14ac:dyDescent="0.25">
      <c r="A935" s="4"/>
      <c r="B935" s="4"/>
      <c r="C935" s="4"/>
      <c r="D935" s="4"/>
      <c r="E935" s="4"/>
    </row>
    <row r="936" spans="1:5" ht="15.75" customHeight="1" x14ac:dyDescent="0.25">
      <c r="A936" s="4"/>
      <c r="B936" s="4"/>
      <c r="C936" s="4"/>
      <c r="D936" s="4"/>
      <c r="E936" s="4"/>
    </row>
    <row r="937" spans="1:5" ht="15.75" customHeight="1" x14ac:dyDescent="0.25">
      <c r="A937" s="4"/>
      <c r="B937" s="4"/>
      <c r="C937" s="4"/>
      <c r="D937" s="4"/>
      <c r="E937" s="4"/>
    </row>
    <row r="938" spans="1:5" ht="15.75" customHeight="1" x14ac:dyDescent="0.25">
      <c r="A938" s="4"/>
      <c r="B938" s="4"/>
      <c r="C938" s="4"/>
      <c r="D938" s="4"/>
      <c r="E938" s="4"/>
    </row>
    <row r="939" spans="1:5" ht="15.75" customHeight="1" x14ac:dyDescent="0.25">
      <c r="A939" s="4"/>
      <c r="B939" s="4"/>
      <c r="C939" s="4"/>
      <c r="D939" s="4"/>
      <c r="E939" s="4"/>
    </row>
    <row r="940" spans="1:5" ht="15.75" customHeight="1" x14ac:dyDescent="0.25">
      <c r="A940" s="4"/>
      <c r="B940" s="4"/>
      <c r="C940" s="4"/>
      <c r="D940" s="4"/>
      <c r="E940" s="4"/>
    </row>
    <row r="941" spans="1:5" ht="15.75" customHeight="1" x14ac:dyDescent="0.25">
      <c r="A941" s="4"/>
      <c r="B941" s="4"/>
      <c r="C941" s="4"/>
      <c r="D941" s="4"/>
      <c r="E941" s="4"/>
    </row>
    <row r="942" spans="1:5" ht="15.75" customHeight="1" x14ac:dyDescent="0.25">
      <c r="A942" s="4"/>
      <c r="B942" s="4"/>
      <c r="C942" s="4"/>
      <c r="D942" s="4"/>
      <c r="E942" s="4"/>
    </row>
    <row r="943" spans="1:5" ht="15.75" customHeight="1" x14ac:dyDescent="0.25">
      <c r="A943" s="4"/>
      <c r="B943" s="4"/>
      <c r="C943" s="4"/>
      <c r="D943" s="4"/>
      <c r="E943" s="4"/>
    </row>
    <row r="944" spans="1:5" ht="15.75" customHeight="1" x14ac:dyDescent="0.25">
      <c r="A944" s="4"/>
      <c r="B944" s="4"/>
      <c r="C944" s="4"/>
      <c r="D944" s="4"/>
      <c r="E944" s="4"/>
    </row>
    <row r="945" spans="1:5" ht="15.75" customHeight="1" x14ac:dyDescent="0.25">
      <c r="A945" s="4"/>
      <c r="B945" s="4"/>
      <c r="C945" s="4"/>
      <c r="D945" s="4"/>
      <c r="E945" s="4"/>
    </row>
    <row r="946" spans="1:5" ht="15.75" customHeight="1" x14ac:dyDescent="0.25">
      <c r="A946" s="4"/>
      <c r="B946" s="4"/>
      <c r="C946" s="4"/>
      <c r="D946" s="4"/>
      <c r="E946" s="4"/>
    </row>
    <row r="947" spans="1:5" ht="15.75" customHeight="1" x14ac:dyDescent="0.25">
      <c r="A947" s="4"/>
      <c r="B947" s="4"/>
      <c r="C947" s="4"/>
      <c r="D947" s="4"/>
      <c r="E947" s="4"/>
    </row>
    <row r="948" spans="1:5" ht="15.75" customHeight="1" x14ac:dyDescent="0.25">
      <c r="A948" s="4"/>
      <c r="B948" s="4"/>
      <c r="C948" s="4"/>
      <c r="D948" s="4"/>
      <c r="E948" s="4"/>
    </row>
    <row r="949" spans="1:5" ht="15.75" customHeight="1" x14ac:dyDescent="0.25">
      <c r="A949" s="4"/>
      <c r="B949" s="4"/>
      <c r="C949" s="4"/>
      <c r="D949" s="4"/>
      <c r="E949" s="4"/>
    </row>
    <row r="950" spans="1:5" ht="15.75" customHeight="1" x14ac:dyDescent="0.25">
      <c r="A950" s="4"/>
      <c r="B950" s="4"/>
      <c r="C950" s="4"/>
      <c r="D950" s="4"/>
      <c r="E950" s="4"/>
    </row>
    <row r="951" spans="1:5" ht="15.75" customHeight="1" x14ac:dyDescent="0.25">
      <c r="A951" s="4"/>
      <c r="B951" s="4"/>
      <c r="C951" s="4"/>
      <c r="D951" s="4"/>
      <c r="E951" s="4"/>
    </row>
    <row r="952" spans="1:5" ht="15.75" customHeight="1" x14ac:dyDescent="0.25">
      <c r="A952" s="4"/>
      <c r="B952" s="4"/>
      <c r="C952" s="4"/>
      <c r="D952" s="4"/>
      <c r="E952" s="4"/>
    </row>
    <row r="953" spans="1:5" ht="15.75" customHeight="1" x14ac:dyDescent="0.25">
      <c r="A953" s="4"/>
      <c r="B953" s="4"/>
      <c r="C953" s="4"/>
      <c r="D953" s="4"/>
      <c r="E953" s="4"/>
    </row>
    <row r="954" spans="1:5" ht="15.75" customHeight="1" x14ac:dyDescent="0.25">
      <c r="A954" s="4"/>
      <c r="B954" s="4"/>
      <c r="C954" s="4"/>
      <c r="D954" s="4"/>
      <c r="E954" s="4"/>
    </row>
    <row r="955" spans="1:5" ht="15.75" customHeight="1" x14ac:dyDescent="0.25">
      <c r="A955" s="4"/>
      <c r="B955" s="4"/>
      <c r="C955" s="4"/>
      <c r="D955" s="4"/>
      <c r="E955" s="4"/>
    </row>
    <row r="956" spans="1:5" ht="15.75" customHeight="1" x14ac:dyDescent="0.25">
      <c r="A956" s="4"/>
      <c r="B956" s="4"/>
      <c r="C956" s="4"/>
      <c r="D956" s="4"/>
      <c r="E956" s="4"/>
    </row>
    <row r="957" spans="1:5" ht="15.75" customHeight="1" x14ac:dyDescent="0.25">
      <c r="A957" s="4"/>
      <c r="B957" s="4"/>
      <c r="C957" s="4"/>
      <c r="D957" s="4"/>
      <c r="E957" s="4"/>
    </row>
    <row r="958" spans="1:5" ht="15.75" customHeight="1" x14ac:dyDescent="0.25">
      <c r="A958" s="4"/>
      <c r="B958" s="4"/>
      <c r="C958" s="4"/>
      <c r="D958" s="4"/>
      <c r="E958" s="4"/>
    </row>
    <row r="959" spans="1:5" ht="15.75" customHeight="1" x14ac:dyDescent="0.25">
      <c r="A959" s="4"/>
      <c r="B959" s="4"/>
      <c r="C959" s="4"/>
      <c r="D959" s="4"/>
      <c r="E959" s="4"/>
    </row>
    <row r="960" spans="1:5" ht="15.75" customHeight="1" x14ac:dyDescent="0.25">
      <c r="A960" s="4"/>
      <c r="B960" s="4"/>
      <c r="C960" s="4"/>
      <c r="D960" s="4"/>
      <c r="E960" s="4"/>
    </row>
    <row r="961" spans="1:5" ht="15.75" customHeight="1" x14ac:dyDescent="0.25">
      <c r="A961" s="4"/>
      <c r="B961" s="4"/>
      <c r="C961" s="4"/>
      <c r="D961" s="4"/>
      <c r="E961" s="4"/>
    </row>
    <row r="962" spans="1:5" ht="15.75" customHeight="1" x14ac:dyDescent="0.25">
      <c r="A962" s="4"/>
      <c r="B962" s="4"/>
      <c r="C962" s="4"/>
      <c r="D962" s="4"/>
      <c r="E962" s="4"/>
    </row>
    <row r="963" spans="1:5" ht="15.75" customHeight="1" x14ac:dyDescent="0.25">
      <c r="A963" s="4"/>
      <c r="B963" s="4"/>
      <c r="C963" s="4"/>
      <c r="D963" s="4"/>
      <c r="E963" s="4"/>
    </row>
    <row r="964" spans="1:5" ht="15.75" customHeight="1" x14ac:dyDescent="0.25">
      <c r="A964" s="4"/>
      <c r="B964" s="4"/>
      <c r="C964" s="4"/>
      <c r="D964" s="4"/>
      <c r="E964" s="4"/>
    </row>
    <row r="965" spans="1:5" ht="15.75" customHeight="1" x14ac:dyDescent="0.25">
      <c r="A965" s="4"/>
      <c r="B965" s="4"/>
      <c r="C965" s="4"/>
      <c r="D965" s="4"/>
      <c r="E965" s="4"/>
    </row>
    <row r="966" spans="1:5" ht="15.75" customHeight="1" x14ac:dyDescent="0.25">
      <c r="A966" s="4"/>
      <c r="B966" s="4"/>
      <c r="C966" s="4"/>
      <c r="D966" s="4"/>
      <c r="E966" s="4"/>
    </row>
    <row r="967" spans="1:5" ht="15.75" customHeight="1" x14ac:dyDescent="0.25">
      <c r="A967" s="4"/>
      <c r="B967" s="4"/>
      <c r="C967" s="4"/>
      <c r="D967" s="4"/>
      <c r="E967" s="4"/>
    </row>
    <row r="968" spans="1:5" ht="15.75" customHeight="1" x14ac:dyDescent="0.25">
      <c r="A968" s="4"/>
      <c r="B968" s="4"/>
      <c r="C968" s="4"/>
      <c r="D968" s="4"/>
      <c r="E968" s="4"/>
    </row>
    <row r="969" spans="1:5" ht="15.75" customHeight="1" x14ac:dyDescent="0.25">
      <c r="A969" s="4"/>
      <c r="B969" s="4"/>
      <c r="C969" s="4"/>
      <c r="D969" s="4"/>
      <c r="E969" s="4"/>
    </row>
    <row r="970" spans="1:5" ht="15.75" customHeight="1" x14ac:dyDescent="0.25">
      <c r="A970" s="4"/>
      <c r="B970" s="4"/>
      <c r="C970" s="4"/>
      <c r="D970" s="4"/>
      <c r="E970" s="4"/>
    </row>
    <row r="971" spans="1:5" ht="15.75" customHeight="1" x14ac:dyDescent="0.25">
      <c r="A971" s="4"/>
      <c r="B971" s="4"/>
      <c r="C971" s="4"/>
      <c r="D971" s="4"/>
      <c r="E971" s="4"/>
    </row>
    <row r="972" spans="1:5" ht="15.75" customHeight="1" x14ac:dyDescent="0.25">
      <c r="A972" s="4"/>
      <c r="B972" s="4"/>
      <c r="C972" s="4"/>
      <c r="D972" s="4"/>
      <c r="E972" s="4"/>
    </row>
    <row r="973" spans="1:5" ht="15.75" customHeight="1" x14ac:dyDescent="0.25">
      <c r="A973" s="4"/>
      <c r="B973" s="4"/>
      <c r="C973" s="4"/>
      <c r="D973" s="4"/>
      <c r="E973" s="4"/>
    </row>
    <row r="974" spans="1:5" ht="15.75" customHeight="1" x14ac:dyDescent="0.25">
      <c r="A974" s="4"/>
      <c r="B974" s="4"/>
      <c r="C974" s="4"/>
      <c r="D974" s="4"/>
      <c r="E974" s="4"/>
    </row>
    <row r="975" spans="1:5" ht="15.75" customHeight="1" x14ac:dyDescent="0.25">
      <c r="A975" s="4"/>
      <c r="B975" s="4"/>
      <c r="C975" s="4"/>
      <c r="D975" s="4"/>
      <c r="E975" s="4"/>
    </row>
    <row r="976" spans="1:5" ht="15.75" customHeight="1" x14ac:dyDescent="0.25">
      <c r="A976" s="4"/>
      <c r="B976" s="4"/>
      <c r="C976" s="4"/>
      <c r="D976" s="4"/>
      <c r="E976" s="4"/>
    </row>
    <row r="977" spans="1:5" ht="15.75" customHeight="1" x14ac:dyDescent="0.25">
      <c r="A977" s="4"/>
      <c r="B977" s="4"/>
      <c r="C977" s="4"/>
      <c r="D977" s="4"/>
      <c r="E977" s="4"/>
    </row>
    <row r="978" spans="1:5" ht="15.75" customHeight="1" x14ac:dyDescent="0.25">
      <c r="A978" s="4"/>
      <c r="B978" s="4"/>
      <c r="C978" s="4"/>
      <c r="D978" s="4"/>
      <c r="E978" s="4"/>
    </row>
    <row r="979" spans="1:5" ht="15.75" customHeight="1" x14ac:dyDescent="0.25">
      <c r="A979" s="4"/>
      <c r="B979" s="4"/>
      <c r="C979" s="4"/>
      <c r="D979" s="4"/>
      <c r="E979" s="4"/>
    </row>
    <row r="980" spans="1:5" ht="15.75" customHeight="1" x14ac:dyDescent="0.25">
      <c r="A980" s="4"/>
      <c r="B980" s="4"/>
      <c r="C980" s="4"/>
      <c r="D980" s="4"/>
      <c r="E980" s="4"/>
    </row>
    <row r="981" spans="1:5" ht="15.75" customHeight="1" x14ac:dyDescent="0.25">
      <c r="A981" s="4"/>
      <c r="B981" s="4"/>
      <c r="C981" s="4"/>
      <c r="D981" s="4"/>
      <c r="E981" s="4"/>
    </row>
    <row r="982" spans="1:5" ht="15.75" customHeight="1" x14ac:dyDescent="0.25">
      <c r="A982" s="4"/>
      <c r="B982" s="4"/>
      <c r="C982" s="4"/>
      <c r="D982" s="4"/>
      <c r="E982" s="4"/>
    </row>
    <row r="983" spans="1:5" ht="15.75" customHeight="1" x14ac:dyDescent="0.25">
      <c r="A983" s="4"/>
      <c r="B983" s="4"/>
      <c r="C983" s="4"/>
      <c r="D983" s="4"/>
      <c r="E983" s="4"/>
    </row>
    <row r="984" spans="1:5" ht="15.75" customHeight="1" x14ac:dyDescent="0.25">
      <c r="A984" s="4"/>
      <c r="B984" s="4"/>
      <c r="C984" s="4"/>
      <c r="D984" s="4"/>
      <c r="E984" s="4"/>
    </row>
    <row r="985" spans="1:5" ht="15.75" customHeight="1" x14ac:dyDescent="0.25">
      <c r="A985" s="4"/>
      <c r="B985" s="4"/>
      <c r="C985" s="4"/>
      <c r="D985" s="4"/>
      <c r="E985" s="4"/>
    </row>
    <row r="986" spans="1:5" ht="15.75" customHeight="1" x14ac:dyDescent="0.25">
      <c r="A986" s="4"/>
      <c r="B986" s="4"/>
      <c r="C986" s="4"/>
      <c r="D986" s="4"/>
      <c r="E986" s="4"/>
    </row>
    <row r="987" spans="1:5" ht="15.75" customHeight="1" x14ac:dyDescent="0.25">
      <c r="A987" s="4"/>
      <c r="B987" s="4"/>
      <c r="C987" s="4"/>
      <c r="D987" s="4"/>
      <c r="E987" s="4"/>
    </row>
    <row r="988" spans="1:5" ht="15.75" customHeight="1" x14ac:dyDescent="0.25">
      <c r="A988" s="4"/>
      <c r="B988" s="4"/>
      <c r="C988" s="4"/>
      <c r="D988" s="4"/>
      <c r="E988" s="4"/>
    </row>
    <row r="989" spans="1:5" ht="15.75" customHeight="1" x14ac:dyDescent="0.25">
      <c r="A989" s="4"/>
      <c r="B989" s="4"/>
      <c r="C989" s="4"/>
      <c r="D989" s="4"/>
      <c r="E989" s="4"/>
    </row>
    <row r="990" spans="1:5" ht="15.75" customHeight="1" x14ac:dyDescent="0.25">
      <c r="A990" s="4"/>
      <c r="B990" s="4"/>
      <c r="C990" s="4"/>
      <c r="D990" s="4"/>
      <c r="E990" s="4"/>
    </row>
    <row r="991" spans="1:5" ht="15.75" customHeight="1" x14ac:dyDescent="0.25">
      <c r="A991" s="4"/>
      <c r="B991" s="4"/>
      <c r="C991" s="4"/>
      <c r="D991" s="4"/>
      <c r="E991" s="4"/>
    </row>
    <row r="992" spans="1:5" ht="15.75" customHeight="1" x14ac:dyDescent="0.25">
      <c r="A992" s="4"/>
      <c r="B992" s="4"/>
      <c r="C992" s="4"/>
      <c r="D992" s="4"/>
      <c r="E992" s="4"/>
    </row>
    <row r="993" spans="1:5" ht="15.75" customHeight="1" x14ac:dyDescent="0.25">
      <c r="A993" s="4"/>
      <c r="B993" s="4"/>
      <c r="C993" s="4"/>
      <c r="D993" s="4"/>
      <c r="E993" s="4"/>
    </row>
    <row r="994" spans="1:5" ht="15.75" customHeight="1" x14ac:dyDescent="0.25">
      <c r="A994" s="4"/>
      <c r="B994" s="4"/>
      <c r="C994" s="4"/>
      <c r="D994" s="4"/>
      <c r="E994" s="4"/>
    </row>
    <row r="995" spans="1:5" ht="15.75" customHeight="1" x14ac:dyDescent="0.25">
      <c r="A995" s="4"/>
      <c r="B995" s="4"/>
      <c r="C995" s="4"/>
      <c r="D995" s="4"/>
      <c r="E995" s="4"/>
    </row>
    <row r="996" spans="1:5" ht="15.75" customHeight="1" x14ac:dyDescent="0.25">
      <c r="A996" s="4"/>
      <c r="B996" s="4"/>
      <c r="C996" s="4"/>
      <c r="D996" s="4"/>
      <c r="E996" s="4"/>
    </row>
    <row r="997" spans="1:5" ht="15.75" customHeight="1" x14ac:dyDescent="0.25">
      <c r="A997" s="4"/>
      <c r="B997" s="4"/>
      <c r="C997" s="4"/>
      <c r="D997" s="4"/>
      <c r="E997" s="4"/>
    </row>
    <row r="998" spans="1:5" ht="15.75" customHeight="1" x14ac:dyDescent="0.25">
      <c r="A998" s="4"/>
      <c r="B998" s="4"/>
      <c r="C998" s="4"/>
      <c r="D998" s="4"/>
      <c r="E998" s="4"/>
    </row>
    <row r="999" spans="1:5" ht="15.75" customHeight="1" x14ac:dyDescent="0.25">
      <c r="A999" s="4"/>
      <c r="B999" s="4"/>
      <c r="C999" s="4"/>
      <c r="D999" s="4"/>
      <c r="E999" s="4"/>
    </row>
    <row r="1000" spans="1:5" ht="15.75" customHeight="1" x14ac:dyDescent="0.25">
      <c r="A1000" s="4"/>
      <c r="B1000" s="4"/>
      <c r="C1000" s="4"/>
      <c r="D1000" s="4"/>
      <c r="E1000" s="4"/>
    </row>
  </sheetData>
  <mergeCells count="1">
    <mergeCell ref="A3:E3"/>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workbookViewId="0"/>
  </sheetViews>
  <sheetFormatPr defaultColWidth="14.42578125" defaultRowHeight="15" customHeight="1" x14ac:dyDescent="0.25"/>
  <cols>
    <col min="1" max="1" width="44" customWidth="1"/>
    <col min="2" max="3" width="30" customWidth="1"/>
    <col min="4" max="4" width="22" customWidth="1"/>
    <col min="5" max="5" width="20" customWidth="1"/>
    <col min="6" max="6" width="18" customWidth="1"/>
    <col min="7" max="7" width="22" customWidth="1"/>
    <col min="8" max="8" width="20" customWidth="1"/>
    <col min="9" max="9" width="46" customWidth="1"/>
    <col min="10" max="26" width="8.7109375" customWidth="1"/>
  </cols>
  <sheetData>
    <row r="1" spans="1:9" ht="17.25" customHeight="1" x14ac:dyDescent="0.25">
      <c r="A1" s="1" t="s">
        <v>219</v>
      </c>
      <c r="B1" s="4"/>
      <c r="C1" s="4"/>
      <c r="D1" s="4"/>
      <c r="E1" s="4"/>
      <c r="F1" s="4"/>
      <c r="G1" s="4"/>
      <c r="H1" s="4"/>
      <c r="I1" s="4"/>
    </row>
    <row r="2" spans="1:9" ht="15" customHeight="1" x14ac:dyDescent="0.25">
      <c r="A2" s="5" t="s">
        <v>220</v>
      </c>
      <c r="B2" s="4"/>
      <c r="C2" s="4"/>
      <c r="D2" s="4"/>
      <c r="E2" s="4"/>
      <c r="F2" s="4"/>
      <c r="G2" s="4"/>
      <c r="H2" s="4"/>
      <c r="I2" s="4"/>
    </row>
    <row r="3" spans="1:9" x14ac:dyDescent="0.25">
      <c r="A3" s="4"/>
      <c r="B3" s="4"/>
      <c r="C3" s="4"/>
      <c r="D3" s="4"/>
      <c r="E3" s="4"/>
      <c r="F3" s="4"/>
      <c r="G3" s="4"/>
      <c r="H3" s="4"/>
      <c r="I3" s="4"/>
    </row>
    <row r="4" spans="1:9" ht="15" customHeight="1" x14ac:dyDescent="0.25">
      <c r="A4" s="14" t="s">
        <v>221</v>
      </c>
      <c r="B4" s="14" t="s">
        <v>86</v>
      </c>
      <c r="C4" s="14" t="s">
        <v>54</v>
      </c>
      <c r="D4" s="14" t="s">
        <v>88</v>
      </c>
      <c r="E4" s="4"/>
      <c r="F4" s="4"/>
      <c r="G4" s="4"/>
      <c r="H4" s="4"/>
      <c r="I4" s="4"/>
    </row>
    <row r="5" spans="1:9" ht="48" customHeight="1" x14ac:dyDescent="0.25">
      <c r="A5" s="10" t="s">
        <v>222</v>
      </c>
      <c r="B5" s="26" t="s">
        <v>223</v>
      </c>
      <c r="C5" s="3" t="s">
        <v>224</v>
      </c>
      <c r="D5" s="46" t="s">
        <v>225</v>
      </c>
      <c r="E5" s="4"/>
      <c r="F5" s="4"/>
      <c r="G5" s="4"/>
      <c r="H5" s="4"/>
      <c r="I5" s="4"/>
    </row>
    <row r="6" spans="1:9" ht="63" customHeight="1" x14ac:dyDescent="0.25">
      <c r="A6" s="10" t="s">
        <v>226</v>
      </c>
      <c r="B6" s="26" t="s">
        <v>227</v>
      </c>
      <c r="C6" s="3" t="s">
        <v>228</v>
      </c>
      <c r="D6" s="26" t="s">
        <v>229</v>
      </c>
      <c r="E6" s="4"/>
      <c r="F6" s="4"/>
      <c r="G6" s="4"/>
      <c r="H6" s="4"/>
      <c r="I6" s="4"/>
    </row>
    <row r="7" spans="1:9" ht="48" customHeight="1" x14ac:dyDescent="0.25">
      <c r="A7" s="10" t="s">
        <v>230</v>
      </c>
      <c r="B7" s="26" t="s">
        <v>231</v>
      </c>
      <c r="C7" s="4"/>
      <c r="D7" s="26" t="s">
        <v>232</v>
      </c>
      <c r="E7" s="4"/>
      <c r="F7" s="4"/>
      <c r="G7" s="4"/>
      <c r="H7" s="4"/>
      <c r="I7" s="4"/>
    </row>
    <row r="8" spans="1:9" ht="48" customHeight="1" x14ac:dyDescent="0.25">
      <c r="A8" s="10" t="s">
        <v>233</v>
      </c>
      <c r="B8" s="26" t="s">
        <v>234</v>
      </c>
      <c r="C8" s="3" t="s">
        <v>235</v>
      </c>
      <c r="D8" s="26" t="s">
        <v>236</v>
      </c>
      <c r="E8" s="4"/>
      <c r="F8" s="4"/>
      <c r="G8" s="4"/>
      <c r="H8" s="4"/>
      <c r="I8" s="4"/>
    </row>
    <row r="9" spans="1:9" ht="15" customHeight="1" x14ac:dyDescent="0.25">
      <c r="A9" s="22" t="s">
        <v>237</v>
      </c>
      <c r="B9" s="39">
        <v>1990000</v>
      </c>
      <c r="C9" s="4" t="s">
        <v>121</v>
      </c>
      <c r="D9" s="26" t="s">
        <v>238</v>
      </c>
      <c r="E9" s="4"/>
      <c r="F9" s="4"/>
      <c r="G9" s="4"/>
      <c r="H9" s="4"/>
      <c r="I9" s="4"/>
    </row>
    <row r="10" spans="1:9" ht="15" customHeight="1" x14ac:dyDescent="0.25">
      <c r="A10" s="22" t="s">
        <v>239</v>
      </c>
      <c r="B10" s="39">
        <v>1000</v>
      </c>
      <c r="C10" s="4" t="s">
        <v>240</v>
      </c>
      <c r="D10" s="26" t="s">
        <v>241</v>
      </c>
      <c r="E10" s="4"/>
      <c r="F10" s="4"/>
      <c r="G10" s="4"/>
      <c r="H10" s="4"/>
      <c r="I10" s="4"/>
    </row>
    <row r="11" spans="1:9" ht="15" customHeight="1" x14ac:dyDescent="0.25">
      <c r="A11" s="22" t="s">
        <v>242</v>
      </c>
      <c r="B11" s="39">
        <v>2200</v>
      </c>
      <c r="C11" s="4" t="s">
        <v>243</v>
      </c>
      <c r="D11" s="26" t="s">
        <v>244</v>
      </c>
      <c r="E11" s="4"/>
      <c r="F11" s="4"/>
      <c r="G11" s="4"/>
      <c r="H11" s="4"/>
      <c r="I11" s="4"/>
    </row>
    <row r="12" spans="1:9" ht="31.5" customHeight="1" x14ac:dyDescent="0.25">
      <c r="A12" s="10" t="s">
        <v>245</v>
      </c>
      <c r="B12" s="39">
        <v>1990000</v>
      </c>
      <c r="C12" s="4" t="s">
        <v>246</v>
      </c>
      <c r="D12" s="26" t="s">
        <v>247</v>
      </c>
      <c r="E12" s="4"/>
      <c r="F12" s="4"/>
      <c r="G12" s="4"/>
      <c r="H12" s="4"/>
      <c r="I12" s="4"/>
    </row>
    <row r="13" spans="1:9" x14ac:dyDescent="0.25">
      <c r="A13" s="4"/>
      <c r="B13" s="4"/>
      <c r="C13" s="4"/>
      <c r="D13" s="4"/>
      <c r="E13" s="4"/>
      <c r="F13" s="4"/>
      <c r="G13" s="4"/>
      <c r="H13" s="4"/>
      <c r="I13" s="4"/>
    </row>
    <row r="14" spans="1:9" ht="46.5" customHeight="1" x14ac:dyDescent="0.25">
      <c r="A14" s="14" t="s">
        <v>248</v>
      </c>
      <c r="B14" s="47" t="s">
        <v>249</v>
      </c>
      <c r="C14" s="47" t="s">
        <v>250</v>
      </c>
      <c r="D14" s="14" t="s">
        <v>251</v>
      </c>
      <c r="E14" s="47" t="s">
        <v>252</v>
      </c>
      <c r="F14" s="14" t="s">
        <v>253</v>
      </c>
      <c r="G14" s="14" t="s">
        <v>254</v>
      </c>
      <c r="H14" s="14" t="s">
        <v>255</v>
      </c>
      <c r="I14" s="14" t="s">
        <v>88</v>
      </c>
    </row>
    <row r="15" spans="1:9" ht="15" customHeight="1" x14ac:dyDescent="0.25">
      <c r="A15" s="22" t="s">
        <v>256</v>
      </c>
      <c r="B15" s="31">
        <v>0.7</v>
      </c>
      <c r="C15" s="48">
        <v>800</v>
      </c>
      <c r="D15" s="24">
        <f>B9+MAX(0,C15-B10)*B11</f>
        <v>1990000</v>
      </c>
      <c r="E15" s="24">
        <f>C15*'1_Chi phí mỗi việc'!B24</f>
        <v>563497.92000000004</v>
      </c>
      <c r="F15" s="34">
        <f t="shared" ref="F15:F17" si="0">IFERROR((D15-E15)/D15,0)</f>
        <v>0.71683521608040202</v>
      </c>
      <c r="G15" s="24">
        <f>B12</f>
        <v>1990000</v>
      </c>
      <c r="H15" s="34">
        <f t="shared" ref="H15:H17" si="1">IFERROR((G15-E15)/G15,0)</f>
        <v>0.71683521608040202</v>
      </c>
      <c r="I15" s="26" t="s">
        <v>257</v>
      </c>
    </row>
    <row r="16" spans="1:9" ht="15" customHeight="1" x14ac:dyDescent="0.25">
      <c r="A16" s="22" t="s">
        <v>258</v>
      </c>
      <c r="B16" s="31">
        <v>0.3</v>
      </c>
      <c r="C16" s="48">
        <v>4000</v>
      </c>
      <c r="D16" s="24">
        <f>B9+MAX(0,C16-B10)*B11</f>
        <v>8590000</v>
      </c>
      <c r="E16" s="24">
        <f>C16*'1_Chi phí mỗi việc'!B24</f>
        <v>2817489.6000000006</v>
      </c>
      <c r="F16" s="34">
        <f t="shared" si="0"/>
        <v>0.6720035389988358</v>
      </c>
      <c r="G16" s="24">
        <f>B12</f>
        <v>1990000</v>
      </c>
      <c r="H16" s="34">
        <f t="shared" si="1"/>
        <v>-0.41582391959799025</v>
      </c>
      <c r="I16" s="26" t="s">
        <v>259</v>
      </c>
    </row>
    <row r="17" spans="1:9" ht="15" customHeight="1" x14ac:dyDescent="0.25">
      <c r="A17" s="7" t="s">
        <v>260</v>
      </c>
      <c r="B17" s="34">
        <f>B15+B16</f>
        <v>1</v>
      </c>
      <c r="C17" s="49">
        <f>SUMPRODUCT(B15:B16,C15:C16)</f>
        <v>1760</v>
      </c>
      <c r="D17" s="33">
        <f t="shared" ref="D17:E17" si="2">SUMPRODUCT($B15:$B16,D15:D16)</f>
        <v>3970000</v>
      </c>
      <c r="E17" s="33">
        <f t="shared" si="2"/>
        <v>1239695.4240000001</v>
      </c>
      <c r="F17" s="50">
        <f t="shared" si="0"/>
        <v>0.68773415012594452</v>
      </c>
      <c r="G17" s="33">
        <f>SUMPRODUCT($B15:$B16,G15:G16)</f>
        <v>1990000</v>
      </c>
      <c r="H17" s="50">
        <f t="shared" si="1"/>
        <v>0.37703747537688437</v>
      </c>
      <c r="I17" s="4"/>
    </row>
    <row r="18" spans="1:9" ht="15" customHeight="1" x14ac:dyDescent="0.25">
      <c r="A18" s="4" t="s">
        <v>261</v>
      </c>
      <c r="B18" s="32" t="str">
        <f>IF(B17=0,"Chưa điền",IF(ABS(B17-1)&lt;0.001,"Đạt","Sai: tổng khác 100%"))</f>
        <v>Đạt</v>
      </c>
      <c r="C18" s="4"/>
      <c r="D18" s="4"/>
      <c r="E18" s="4"/>
      <c r="F18" s="4"/>
      <c r="G18" s="4"/>
      <c r="H18" s="4"/>
      <c r="I18" s="4"/>
    </row>
    <row r="19" spans="1:9" ht="15" customHeight="1" x14ac:dyDescent="0.25">
      <c r="A19" s="4" t="s">
        <v>262</v>
      </c>
      <c r="B19" s="32" t="str">
        <f>IF(B11=0,"Chưa điền",IF(B11&gt;='1_Chi phí mỗi việc'!B26,"Đạt","Thấp hơn giá sàn"))</f>
        <v>Đạt</v>
      </c>
      <c r="C19" s="4"/>
      <c r="D19" s="4"/>
      <c r="E19" s="4"/>
      <c r="F19" s="4"/>
      <c r="G19" s="4"/>
      <c r="H19" s="4"/>
      <c r="I19" s="4"/>
    </row>
    <row r="20" spans="1:9" x14ac:dyDescent="0.25">
      <c r="A20" s="4"/>
      <c r="B20" s="4"/>
      <c r="C20" s="4"/>
      <c r="D20" s="4"/>
      <c r="E20" s="4"/>
      <c r="F20" s="4"/>
      <c r="G20" s="4"/>
      <c r="H20" s="4"/>
      <c r="I20" s="4"/>
    </row>
    <row r="21" spans="1:9" ht="15" customHeight="1" x14ac:dyDescent="0.25">
      <c r="A21" s="4" t="s">
        <v>263</v>
      </c>
      <c r="B21" s="50">
        <f>IFERROR(B16*D16/D17,0)</f>
        <v>0.64911838790931986</v>
      </c>
      <c r="C21" s="4"/>
      <c r="D21" s="4"/>
      <c r="E21" s="4"/>
      <c r="F21" s="4"/>
      <c r="G21" s="4"/>
      <c r="H21" s="4"/>
      <c r="I21" s="4"/>
    </row>
    <row r="22" spans="1:9" ht="15" customHeight="1" x14ac:dyDescent="0.25">
      <c r="A22" s="4" t="s">
        <v>264</v>
      </c>
      <c r="B22" s="50">
        <f>IFERROR(B16*MAX(0,C16-B10)*B11/D17,0)</f>
        <v>0.4987405541561713</v>
      </c>
      <c r="C22" s="4"/>
      <c r="D22" s="4"/>
      <c r="E22" s="4"/>
      <c r="F22" s="4"/>
      <c r="G22" s="4"/>
      <c r="H22" s="4"/>
      <c r="I22" s="4"/>
    </row>
    <row r="23" spans="1:9" ht="15" customHeight="1" x14ac:dyDescent="0.25">
      <c r="A23" s="4" t="s">
        <v>265</v>
      </c>
      <c r="B23" s="32" t="str">
        <f>IF(D17=0,"Chưa điền",IF(B21&gt;0.5,"Trên 50% doanh thu đến từ khách dùng nhiều: xem tình huống đặc biệt ở trang 5","Đạt"))</f>
        <v>Trên 50% doanh thu đến từ khách dùng nhiều: xem tình huống đặc biệt ở trang 5</v>
      </c>
      <c r="C23" s="4"/>
      <c r="D23" s="4"/>
      <c r="E23" s="4"/>
      <c r="F23" s="4"/>
      <c r="G23" s="4"/>
      <c r="H23" s="4"/>
      <c r="I23" s="4"/>
    </row>
    <row r="24" spans="1:9" ht="15.75" customHeight="1" x14ac:dyDescent="0.25">
      <c r="A24" s="4"/>
      <c r="B24" s="4"/>
      <c r="C24" s="4"/>
      <c r="D24" s="4"/>
      <c r="E24" s="4"/>
      <c r="F24" s="4"/>
      <c r="G24" s="4"/>
      <c r="H24" s="4"/>
      <c r="I24" s="4"/>
    </row>
    <row r="25" spans="1:9" ht="15" customHeight="1" x14ac:dyDescent="0.25">
      <c r="A25" s="7" t="s">
        <v>266</v>
      </c>
      <c r="B25" s="4"/>
      <c r="C25" s="4"/>
      <c r="D25" s="4"/>
      <c r="E25" s="4"/>
      <c r="F25" s="4"/>
      <c r="G25" s="4"/>
      <c r="H25" s="4"/>
      <c r="I25" s="4"/>
    </row>
    <row r="26" spans="1:9" ht="15" customHeight="1" x14ac:dyDescent="0.25">
      <c r="A26" s="22" t="s">
        <v>267</v>
      </c>
      <c r="B26" s="51">
        <v>8000000</v>
      </c>
      <c r="C26" s="22" t="s">
        <v>246</v>
      </c>
      <c r="D26" s="26" t="s">
        <v>673</v>
      </c>
      <c r="E26" s="4"/>
      <c r="F26" s="4"/>
      <c r="G26" s="4"/>
      <c r="H26" s="4"/>
      <c r="I26" s="4"/>
    </row>
    <row r="27" spans="1:9" ht="15" customHeight="1" x14ac:dyDescent="0.25">
      <c r="A27" s="22" t="s">
        <v>268</v>
      </c>
      <c r="B27" s="52">
        <v>0</v>
      </c>
      <c r="C27" s="22" t="s">
        <v>269</v>
      </c>
      <c r="D27" s="26" t="s">
        <v>674</v>
      </c>
      <c r="E27" s="4"/>
      <c r="F27" s="4"/>
      <c r="G27" s="4"/>
      <c r="H27" s="4"/>
      <c r="I27" s="4"/>
    </row>
    <row r="28" spans="1:9" ht="45" customHeight="1" x14ac:dyDescent="0.25">
      <c r="A28" s="14" t="s">
        <v>248</v>
      </c>
      <c r="B28" s="14" t="s">
        <v>270</v>
      </c>
      <c r="C28" s="14" t="s">
        <v>271</v>
      </c>
      <c r="D28" s="14" t="s">
        <v>272</v>
      </c>
      <c r="E28" s="14" t="s">
        <v>273</v>
      </c>
      <c r="F28" s="14" t="s">
        <v>274</v>
      </c>
      <c r="G28" s="4"/>
      <c r="H28" s="4"/>
      <c r="I28" s="4"/>
    </row>
    <row r="29" spans="1:9" ht="30" customHeight="1" x14ac:dyDescent="0.25">
      <c r="A29" s="22" t="s">
        <v>256</v>
      </c>
      <c r="B29" s="24">
        <f t="shared" ref="B29:B30" si="3">D15</f>
        <v>1990000</v>
      </c>
      <c r="C29" s="36">
        <f t="shared" ref="C29:C31" si="4">IFERROR(B29/$B$26,"")</f>
        <v>0.24875</v>
      </c>
      <c r="D29" s="53" t="str">
        <f t="shared" ref="D29:D31" si="5">IF(C29="","",IF(C29&lt;0.5,"Dưới 50%: còn dư địa",IF(C29&lt;=0.7,"Trong vùng 50–70%","Trên 70%: khách thà thuê người? Xem dòng 34")))</f>
        <v>Dưới 50%: còn dư địa</v>
      </c>
      <c r="E29" s="54">
        <f t="shared" ref="E29:E30" si="6">IFERROR(E15/B29,"")</f>
        <v>0.28316478391959798</v>
      </c>
      <c r="F29" s="32" t="str">
        <f t="shared" ref="F29:F31" si="7">IF(E29="","",IF(E29&lt;0.3,"Ổn (dưới 0,3)",IF(E29&lt;=0.6,"Đáng lo (0,3–0,6)","Nguy (trên 0,6)")))</f>
        <v>Ổn (dưới 0,3)</v>
      </c>
      <c r="G29" s="4"/>
      <c r="H29" s="4"/>
      <c r="I29" s="4"/>
    </row>
    <row r="30" spans="1:9" ht="30" customHeight="1" x14ac:dyDescent="0.25">
      <c r="A30" s="22" t="s">
        <v>275</v>
      </c>
      <c r="B30" s="24">
        <f t="shared" si="3"/>
        <v>8590000</v>
      </c>
      <c r="C30" s="36">
        <f t="shared" si="4"/>
        <v>1.07375</v>
      </c>
      <c r="D30" s="53" t="str">
        <f t="shared" si="5"/>
        <v>Trên 70%: khách thà thuê người? Xem dòng 34</v>
      </c>
      <c r="E30" s="54">
        <f t="shared" si="6"/>
        <v>0.3279964610011642</v>
      </c>
      <c r="F30" s="32" t="str">
        <f t="shared" si="7"/>
        <v>Đáng lo (0,3–0,6)</v>
      </c>
      <c r="G30" s="4"/>
      <c r="H30" s="4"/>
      <c r="I30" s="4"/>
    </row>
    <row r="31" spans="1:9" ht="30" customHeight="1" x14ac:dyDescent="0.25">
      <c r="A31" s="22" t="s">
        <v>276</v>
      </c>
      <c r="B31" s="24">
        <f>G16</f>
        <v>1990000</v>
      </c>
      <c r="C31" s="36">
        <f t="shared" si="4"/>
        <v>0.24875</v>
      </c>
      <c r="D31" s="53" t="str">
        <f t="shared" si="5"/>
        <v>Dưới 50%: còn dư địa</v>
      </c>
      <c r="E31" s="54">
        <f>IFERROR(E16/B31,"")</f>
        <v>1.4158239195979903</v>
      </c>
      <c r="F31" s="32" t="str">
        <f t="shared" si="7"/>
        <v>Nguy (trên 0,6)</v>
      </c>
      <c r="G31" s="4"/>
      <c r="H31" s="4"/>
      <c r="I31" s="4"/>
    </row>
    <row r="32" spans="1:9" ht="15" customHeight="1" x14ac:dyDescent="0.25">
      <c r="A32" s="25" t="s">
        <v>277</v>
      </c>
      <c r="B32" s="55">
        <f>IFERROR((D17*(1-B27)-E17)/D17,"")</f>
        <v>0.68773415012594452</v>
      </c>
      <c r="C32" s="32" t="str">
        <f>IF(B32="","",IF(B32&gt;0.5,"Ổn",IF(B32&gt;=0.35,"Đáng lo","Nguy")))</f>
        <v>Ổn</v>
      </c>
      <c r="D32" s="35" t="s">
        <v>278</v>
      </c>
      <c r="E32" s="4"/>
      <c r="F32" s="4"/>
      <c r="G32" s="4"/>
      <c r="H32" s="4"/>
      <c r="I32" s="4"/>
    </row>
    <row r="33" spans="1:9" ht="30" customHeight="1" x14ac:dyDescent="0.25">
      <c r="A33" s="91" t="s">
        <v>279</v>
      </c>
      <c r="B33" s="92"/>
      <c r="C33" s="92"/>
      <c r="D33" s="92"/>
      <c r="E33" s="92"/>
      <c r="F33" s="92"/>
      <c r="G33" s="92"/>
      <c r="H33" s="92"/>
      <c r="I33" s="92"/>
    </row>
    <row r="34" spans="1:9" ht="30" customHeight="1" x14ac:dyDescent="0.25">
      <c r="A34" s="91" t="s">
        <v>280</v>
      </c>
      <c r="B34" s="92"/>
      <c r="C34" s="92"/>
      <c r="D34" s="92"/>
      <c r="E34" s="92"/>
      <c r="F34" s="92"/>
      <c r="G34" s="92"/>
      <c r="H34" s="92"/>
      <c r="I34" s="92"/>
    </row>
    <row r="35" spans="1:9" ht="15" customHeight="1" x14ac:dyDescent="0.25">
      <c r="A35" s="7" t="s">
        <v>281</v>
      </c>
      <c r="B35" s="4"/>
      <c r="C35" s="4"/>
      <c r="D35" s="4"/>
      <c r="E35" s="4"/>
      <c r="F35" s="4"/>
      <c r="G35" s="4"/>
      <c r="H35" s="4"/>
      <c r="I35" s="4"/>
    </row>
    <row r="36" spans="1:9" ht="15" customHeight="1" x14ac:dyDescent="0.25">
      <c r="A36" s="22" t="s">
        <v>282</v>
      </c>
      <c r="B36" s="91" t="s">
        <v>283</v>
      </c>
      <c r="C36" s="92"/>
      <c r="D36" s="92"/>
      <c r="E36" s="92"/>
      <c r="F36" s="92"/>
      <c r="G36" s="92"/>
      <c r="H36" s="92"/>
      <c r="I36" s="92"/>
    </row>
    <row r="37" spans="1:9" ht="30" customHeight="1" x14ac:dyDescent="0.25">
      <c r="A37" s="22" t="s">
        <v>284</v>
      </c>
      <c r="B37" s="91" t="s">
        <v>285</v>
      </c>
      <c r="C37" s="92"/>
      <c r="D37" s="92"/>
      <c r="E37" s="92"/>
      <c r="F37" s="92"/>
      <c r="G37" s="92"/>
      <c r="H37" s="92"/>
      <c r="I37" s="92"/>
    </row>
    <row r="38" spans="1:9" ht="15" customHeight="1" x14ac:dyDescent="0.25">
      <c r="A38" s="22" t="s">
        <v>286</v>
      </c>
      <c r="B38" s="91" t="s">
        <v>287</v>
      </c>
      <c r="C38" s="92"/>
      <c r="D38" s="92"/>
      <c r="E38" s="92"/>
      <c r="F38" s="92"/>
      <c r="G38" s="92"/>
      <c r="H38" s="92"/>
      <c r="I38" s="92"/>
    </row>
    <row r="39" spans="1:9" ht="15" customHeight="1" x14ac:dyDescent="0.25">
      <c r="A39" s="22" t="s">
        <v>288</v>
      </c>
      <c r="B39" s="91" t="s">
        <v>289</v>
      </c>
      <c r="C39" s="92"/>
      <c r="D39" s="92"/>
      <c r="E39" s="92"/>
      <c r="F39" s="92"/>
      <c r="G39" s="92"/>
      <c r="H39" s="92"/>
      <c r="I39" s="92"/>
    </row>
    <row r="40" spans="1:9" ht="15" customHeight="1" x14ac:dyDescent="0.25">
      <c r="A40" s="22" t="s">
        <v>290</v>
      </c>
      <c r="B40" s="91" t="s">
        <v>291</v>
      </c>
      <c r="C40" s="92"/>
      <c r="D40" s="92"/>
      <c r="E40" s="92"/>
      <c r="F40" s="92"/>
      <c r="G40" s="92"/>
      <c r="H40" s="92"/>
      <c r="I40" s="92"/>
    </row>
    <row r="41" spans="1:9" ht="15.75" customHeight="1" x14ac:dyDescent="0.25">
      <c r="A41" s="4"/>
      <c r="B41" s="4"/>
      <c r="C41" s="4"/>
      <c r="D41" s="4"/>
      <c r="E41" s="4"/>
      <c r="F41" s="4"/>
      <c r="G41" s="4"/>
      <c r="H41" s="4"/>
      <c r="I41" s="4"/>
    </row>
    <row r="42" spans="1:9" ht="15.75" customHeight="1" x14ac:dyDescent="0.25">
      <c r="A42" s="4"/>
      <c r="B42" s="4"/>
      <c r="C42" s="4"/>
      <c r="D42" s="4"/>
      <c r="E42" s="4"/>
      <c r="F42" s="4"/>
      <c r="G42" s="4"/>
      <c r="H42" s="4"/>
      <c r="I42" s="4"/>
    </row>
    <row r="43" spans="1:9" ht="15.75" customHeight="1" x14ac:dyDescent="0.25">
      <c r="A43" s="4"/>
      <c r="B43" s="4"/>
      <c r="C43" s="4"/>
      <c r="D43" s="4"/>
      <c r="E43" s="4"/>
      <c r="F43" s="4"/>
      <c r="G43" s="4"/>
      <c r="H43" s="4"/>
      <c r="I43" s="4"/>
    </row>
    <row r="44" spans="1:9" ht="15.75" customHeight="1" x14ac:dyDescent="0.25">
      <c r="A44" s="4"/>
      <c r="B44" s="4"/>
      <c r="C44" s="4"/>
      <c r="D44" s="4"/>
      <c r="E44" s="4"/>
      <c r="F44" s="4"/>
      <c r="G44" s="4"/>
      <c r="H44" s="4"/>
      <c r="I44" s="4"/>
    </row>
    <row r="45" spans="1:9" ht="15.75" customHeight="1" x14ac:dyDescent="0.25">
      <c r="A45" s="4"/>
      <c r="B45" s="4"/>
      <c r="C45" s="4"/>
      <c r="D45" s="4"/>
      <c r="E45" s="4"/>
      <c r="F45" s="4"/>
      <c r="G45" s="4"/>
      <c r="H45" s="4"/>
      <c r="I45" s="4"/>
    </row>
    <row r="46" spans="1:9" ht="15.75" customHeight="1" x14ac:dyDescent="0.25">
      <c r="A46" s="4"/>
      <c r="B46" s="4"/>
      <c r="C46" s="4"/>
      <c r="D46" s="4"/>
      <c r="E46" s="4"/>
      <c r="F46" s="4"/>
      <c r="G46" s="4"/>
      <c r="H46" s="4"/>
      <c r="I46" s="4"/>
    </row>
    <row r="47" spans="1:9" ht="15.75" customHeight="1" x14ac:dyDescent="0.25">
      <c r="A47" s="4"/>
      <c r="B47" s="4"/>
      <c r="C47" s="4"/>
      <c r="D47" s="4"/>
      <c r="E47" s="4"/>
      <c r="F47" s="4"/>
      <c r="G47" s="4"/>
      <c r="H47" s="4"/>
      <c r="I47" s="4"/>
    </row>
    <row r="48" spans="1:9" ht="15.75" customHeight="1" x14ac:dyDescent="0.25">
      <c r="A48" s="4"/>
      <c r="B48" s="4"/>
      <c r="C48" s="4"/>
      <c r="D48" s="4"/>
      <c r="E48" s="4"/>
      <c r="F48" s="4"/>
      <c r="G48" s="4"/>
      <c r="H48" s="4"/>
      <c r="I48" s="4"/>
    </row>
    <row r="49" spans="1:9" ht="15.75" customHeight="1" x14ac:dyDescent="0.25">
      <c r="A49" s="4"/>
      <c r="B49" s="4"/>
      <c r="C49" s="4"/>
      <c r="D49" s="4"/>
      <c r="E49" s="4"/>
      <c r="F49" s="4"/>
      <c r="G49" s="4"/>
      <c r="H49" s="4"/>
      <c r="I49" s="4"/>
    </row>
    <row r="50" spans="1:9" ht="15.75" customHeight="1" x14ac:dyDescent="0.25">
      <c r="A50" s="4"/>
      <c r="B50" s="4"/>
      <c r="C50" s="4"/>
      <c r="D50" s="4"/>
      <c r="E50" s="4"/>
      <c r="F50" s="4"/>
      <c r="G50" s="4"/>
      <c r="H50" s="4"/>
      <c r="I50" s="4"/>
    </row>
    <row r="51" spans="1:9" ht="15.75" customHeight="1" x14ac:dyDescent="0.25">
      <c r="A51" s="4"/>
      <c r="B51" s="4"/>
      <c r="C51" s="4"/>
      <c r="D51" s="4"/>
      <c r="E51" s="4"/>
      <c r="F51" s="4"/>
      <c r="G51" s="4"/>
      <c r="H51" s="4"/>
      <c r="I51" s="4"/>
    </row>
    <row r="52" spans="1:9" ht="15.75" customHeight="1" x14ac:dyDescent="0.25">
      <c r="A52" s="4"/>
      <c r="B52" s="4"/>
      <c r="C52" s="4"/>
      <c r="D52" s="4"/>
      <c r="E52" s="4"/>
      <c r="F52" s="4"/>
      <c r="G52" s="4"/>
      <c r="H52" s="4"/>
      <c r="I52" s="4"/>
    </row>
    <row r="53" spans="1:9" ht="15.75" customHeight="1" x14ac:dyDescent="0.25">
      <c r="A53" s="4"/>
      <c r="B53" s="4"/>
      <c r="C53" s="4"/>
      <c r="D53" s="4"/>
      <c r="E53" s="4"/>
      <c r="F53" s="4"/>
      <c r="G53" s="4"/>
      <c r="H53" s="4"/>
      <c r="I53" s="4"/>
    </row>
    <row r="54" spans="1:9" ht="15.75" customHeight="1" x14ac:dyDescent="0.25">
      <c r="A54" s="4"/>
      <c r="B54" s="4"/>
      <c r="C54" s="4"/>
      <c r="D54" s="4"/>
      <c r="E54" s="4"/>
      <c r="F54" s="4"/>
      <c r="G54" s="4"/>
      <c r="H54" s="4"/>
      <c r="I54" s="4"/>
    </row>
    <row r="55" spans="1:9" ht="15.75" customHeight="1" x14ac:dyDescent="0.25">
      <c r="A55" s="4"/>
      <c r="B55" s="4"/>
      <c r="C55" s="4"/>
      <c r="D55" s="4"/>
      <c r="E55" s="4"/>
      <c r="F55" s="4"/>
      <c r="G55" s="4"/>
      <c r="H55" s="4"/>
      <c r="I55" s="4"/>
    </row>
    <row r="56" spans="1:9" ht="15.75" customHeight="1" x14ac:dyDescent="0.25">
      <c r="A56" s="4"/>
      <c r="B56" s="4"/>
      <c r="C56" s="4"/>
      <c r="D56" s="4"/>
      <c r="E56" s="4"/>
      <c r="F56" s="4"/>
      <c r="G56" s="4"/>
      <c r="H56" s="4"/>
      <c r="I56" s="4"/>
    </row>
    <row r="57" spans="1:9" ht="15.75" customHeight="1" x14ac:dyDescent="0.25">
      <c r="A57" s="4"/>
      <c r="B57" s="4"/>
      <c r="C57" s="4"/>
      <c r="D57" s="4"/>
      <c r="E57" s="4"/>
      <c r="F57" s="4"/>
      <c r="G57" s="4"/>
      <c r="H57" s="4"/>
      <c r="I57" s="4"/>
    </row>
    <row r="58" spans="1:9" ht="15.75" customHeight="1" x14ac:dyDescent="0.25">
      <c r="A58" s="4"/>
      <c r="B58" s="4"/>
      <c r="C58" s="4"/>
      <c r="D58" s="4"/>
      <c r="E58" s="4"/>
      <c r="F58" s="4"/>
      <c r="G58" s="4"/>
      <c r="H58" s="4"/>
      <c r="I58" s="4"/>
    </row>
    <row r="59" spans="1:9" ht="15.75" customHeight="1" x14ac:dyDescent="0.25">
      <c r="A59" s="4"/>
      <c r="B59" s="4"/>
      <c r="C59" s="4"/>
      <c r="D59" s="4"/>
      <c r="E59" s="4"/>
      <c r="F59" s="4"/>
      <c r="G59" s="4"/>
      <c r="H59" s="4"/>
      <c r="I59" s="4"/>
    </row>
    <row r="60" spans="1:9" ht="15.75" customHeight="1" x14ac:dyDescent="0.25">
      <c r="A60" s="4"/>
      <c r="B60" s="4"/>
      <c r="C60" s="4"/>
      <c r="D60" s="4"/>
      <c r="E60" s="4"/>
      <c r="F60" s="4"/>
      <c r="G60" s="4"/>
      <c r="H60" s="4"/>
      <c r="I60" s="4"/>
    </row>
    <row r="61" spans="1:9" ht="15.75" customHeight="1" x14ac:dyDescent="0.25">
      <c r="A61" s="4"/>
      <c r="B61" s="4"/>
      <c r="C61" s="4"/>
      <c r="D61" s="4"/>
      <c r="E61" s="4"/>
      <c r="F61" s="4"/>
      <c r="G61" s="4"/>
      <c r="H61" s="4"/>
      <c r="I61" s="4"/>
    </row>
    <row r="62" spans="1:9" ht="15.75" customHeight="1" x14ac:dyDescent="0.25">
      <c r="A62" s="4"/>
      <c r="B62" s="4"/>
      <c r="C62" s="4"/>
      <c r="D62" s="4"/>
      <c r="E62" s="4"/>
      <c r="F62" s="4"/>
      <c r="G62" s="4"/>
      <c r="H62" s="4"/>
      <c r="I62" s="4"/>
    </row>
    <row r="63" spans="1:9" ht="15.75" customHeight="1" x14ac:dyDescent="0.25">
      <c r="A63" s="4"/>
      <c r="B63" s="4"/>
      <c r="C63" s="4"/>
      <c r="D63" s="4"/>
      <c r="E63" s="4"/>
      <c r="F63" s="4"/>
      <c r="G63" s="4"/>
      <c r="H63" s="4"/>
      <c r="I63" s="4"/>
    </row>
    <row r="64" spans="1:9" ht="15.75" customHeight="1" x14ac:dyDescent="0.25">
      <c r="A64" s="4"/>
      <c r="B64" s="4"/>
      <c r="C64" s="4"/>
      <c r="D64" s="4"/>
      <c r="E64" s="4"/>
      <c r="F64" s="4"/>
      <c r="G64" s="4"/>
      <c r="H64" s="4"/>
      <c r="I64" s="4"/>
    </row>
    <row r="65" spans="1:9" ht="15.75" customHeight="1" x14ac:dyDescent="0.25">
      <c r="A65" s="4"/>
      <c r="B65" s="4"/>
      <c r="C65" s="4"/>
      <c r="D65" s="4"/>
      <c r="E65" s="4"/>
      <c r="F65" s="4"/>
      <c r="G65" s="4"/>
      <c r="H65" s="4"/>
      <c r="I65" s="4"/>
    </row>
    <row r="66" spans="1:9" ht="15.75" customHeight="1" x14ac:dyDescent="0.25">
      <c r="A66" s="4"/>
      <c r="B66" s="4"/>
      <c r="C66" s="4"/>
      <c r="D66" s="4"/>
      <c r="E66" s="4"/>
      <c r="F66" s="4"/>
      <c r="G66" s="4"/>
      <c r="H66" s="4"/>
      <c r="I66" s="4"/>
    </row>
    <row r="67" spans="1:9" ht="15.75" customHeight="1" x14ac:dyDescent="0.25">
      <c r="A67" s="4"/>
      <c r="B67" s="4"/>
      <c r="C67" s="4"/>
      <c r="D67" s="4"/>
      <c r="E67" s="4"/>
      <c r="F67" s="4"/>
      <c r="G67" s="4"/>
      <c r="H67" s="4"/>
      <c r="I67" s="4"/>
    </row>
    <row r="68" spans="1:9" ht="15.75" customHeight="1" x14ac:dyDescent="0.25">
      <c r="A68" s="4"/>
      <c r="B68" s="4"/>
      <c r="C68" s="4"/>
      <c r="D68" s="4"/>
      <c r="E68" s="4"/>
      <c r="F68" s="4"/>
      <c r="G68" s="4"/>
      <c r="H68" s="4"/>
      <c r="I68" s="4"/>
    </row>
    <row r="69" spans="1:9" ht="15.75" customHeight="1" x14ac:dyDescent="0.25">
      <c r="A69" s="4"/>
      <c r="B69" s="4"/>
      <c r="C69" s="4"/>
      <c r="D69" s="4"/>
      <c r="E69" s="4"/>
      <c r="F69" s="4"/>
      <c r="G69" s="4"/>
      <c r="H69" s="4"/>
      <c r="I69" s="4"/>
    </row>
    <row r="70" spans="1:9" ht="15.75" customHeight="1" x14ac:dyDescent="0.25">
      <c r="A70" s="4"/>
      <c r="B70" s="4"/>
      <c r="C70" s="4"/>
      <c r="D70" s="4"/>
      <c r="E70" s="4"/>
      <c r="F70" s="4"/>
      <c r="G70" s="4"/>
      <c r="H70" s="4"/>
      <c r="I70" s="4"/>
    </row>
    <row r="71" spans="1:9" ht="15.75" customHeight="1" x14ac:dyDescent="0.25">
      <c r="A71" s="4"/>
      <c r="B71" s="4"/>
      <c r="C71" s="4"/>
      <c r="D71" s="4"/>
      <c r="E71" s="4"/>
      <c r="F71" s="4"/>
      <c r="G71" s="4"/>
      <c r="H71" s="4"/>
      <c r="I71" s="4"/>
    </row>
    <row r="72" spans="1:9" ht="15.75" customHeight="1" x14ac:dyDescent="0.25">
      <c r="A72" s="4"/>
      <c r="B72" s="4"/>
      <c r="C72" s="4"/>
      <c r="D72" s="4"/>
      <c r="E72" s="4"/>
      <c r="F72" s="4"/>
      <c r="G72" s="4"/>
      <c r="H72" s="4"/>
      <c r="I72" s="4"/>
    </row>
    <row r="73" spans="1:9" ht="15.75" customHeight="1" x14ac:dyDescent="0.25">
      <c r="A73" s="4"/>
      <c r="B73" s="4"/>
      <c r="C73" s="4"/>
      <c r="D73" s="4"/>
      <c r="E73" s="4"/>
      <c r="F73" s="4"/>
      <c r="G73" s="4"/>
      <c r="H73" s="4"/>
      <c r="I73" s="4"/>
    </row>
    <row r="74" spans="1:9" ht="15.75" customHeight="1" x14ac:dyDescent="0.25">
      <c r="A74" s="4"/>
      <c r="B74" s="4"/>
      <c r="C74" s="4"/>
      <c r="D74" s="4"/>
      <c r="E74" s="4"/>
      <c r="F74" s="4"/>
      <c r="G74" s="4"/>
      <c r="H74" s="4"/>
      <c r="I74" s="4"/>
    </row>
    <row r="75" spans="1:9" ht="15.75" customHeight="1" x14ac:dyDescent="0.25">
      <c r="A75" s="4"/>
      <c r="B75" s="4"/>
      <c r="C75" s="4"/>
      <c r="D75" s="4"/>
      <c r="E75" s="4"/>
      <c r="F75" s="4"/>
      <c r="G75" s="4"/>
      <c r="H75" s="4"/>
      <c r="I75" s="4"/>
    </row>
    <row r="76" spans="1:9" ht="15.75" customHeight="1" x14ac:dyDescent="0.25">
      <c r="A76" s="4"/>
      <c r="B76" s="4"/>
      <c r="C76" s="4"/>
      <c r="D76" s="4"/>
      <c r="E76" s="4"/>
      <c r="F76" s="4"/>
      <c r="G76" s="4"/>
      <c r="H76" s="4"/>
      <c r="I76" s="4"/>
    </row>
    <row r="77" spans="1:9" ht="15.75" customHeight="1" x14ac:dyDescent="0.25">
      <c r="A77" s="4"/>
      <c r="B77" s="4"/>
      <c r="C77" s="4"/>
      <c r="D77" s="4"/>
      <c r="E77" s="4"/>
      <c r="F77" s="4"/>
      <c r="G77" s="4"/>
      <c r="H77" s="4"/>
      <c r="I77" s="4"/>
    </row>
    <row r="78" spans="1:9" ht="15.75" customHeight="1" x14ac:dyDescent="0.25">
      <c r="A78" s="4"/>
      <c r="B78" s="4"/>
      <c r="C78" s="4"/>
      <c r="D78" s="4"/>
      <c r="E78" s="4"/>
      <c r="F78" s="4"/>
      <c r="G78" s="4"/>
      <c r="H78" s="4"/>
      <c r="I78" s="4"/>
    </row>
    <row r="79" spans="1:9" ht="15.75" customHeight="1" x14ac:dyDescent="0.25">
      <c r="A79" s="4"/>
      <c r="B79" s="4"/>
      <c r="C79" s="4"/>
      <c r="D79" s="4"/>
      <c r="E79" s="4"/>
      <c r="F79" s="4"/>
      <c r="G79" s="4"/>
      <c r="H79" s="4"/>
      <c r="I79" s="4"/>
    </row>
    <row r="80" spans="1:9" ht="15.75" customHeight="1" x14ac:dyDescent="0.25">
      <c r="A80" s="4"/>
      <c r="B80" s="4"/>
      <c r="C80" s="4"/>
      <c r="D80" s="4"/>
      <c r="E80" s="4"/>
      <c r="F80" s="4"/>
      <c r="G80" s="4"/>
      <c r="H80" s="4"/>
      <c r="I80" s="4"/>
    </row>
    <row r="81" spans="1:9" ht="15.75" customHeight="1" x14ac:dyDescent="0.25">
      <c r="A81" s="4"/>
      <c r="B81" s="4"/>
      <c r="C81" s="4"/>
      <c r="D81" s="4"/>
      <c r="E81" s="4"/>
      <c r="F81" s="4"/>
      <c r="G81" s="4"/>
      <c r="H81" s="4"/>
      <c r="I81" s="4"/>
    </row>
    <row r="82" spans="1:9" ht="15.75" customHeight="1" x14ac:dyDescent="0.25">
      <c r="A82" s="4"/>
      <c r="B82" s="4"/>
      <c r="C82" s="4"/>
      <c r="D82" s="4"/>
      <c r="E82" s="4"/>
      <c r="F82" s="4"/>
      <c r="G82" s="4"/>
      <c r="H82" s="4"/>
      <c r="I82" s="4"/>
    </row>
    <row r="83" spans="1:9" ht="15.75" customHeight="1" x14ac:dyDescent="0.25">
      <c r="A83" s="4"/>
      <c r="B83" s="4"/>
      <c r="C83" s="4"/>
      <c r="D83" s="4"/>
      <c r="E83" s="4"/>
      <c r="F83" s="4"/>
      <c r="G83" s="4"/>
      <c r="H83" s="4"/>
      <c r="I83" s="4"/>
    </row>
    <row r="84" spans="1:9" ht="15.75" customHeight="1" x14ac:dyDescent="0.25">
      <c r="A84" s="4"/>
      <c r="B84" s="4"/>
      <c r="C84" s="4"/>
      <c r="D84" s="4"/>
      <c r="E84" s="4"/>
      <c r="F84" s="4"/>
      <c r="G84" s="4"/>
      <c r="H84" s="4"/>
      <c r="I84" s="4"/>
    </row>
    <row r="85" spans="1:9" ht="15.75" customHeight="1" x14ac:dyDescent="0.25">
      <c r="A85" s="4"/>
      <c r="B85" s="4"/>
      <c r="C85" s="4"/>
      <c r="D85" s="4"/>
      <c r="E85" s="4"/>
      <c r="F85" s="4"/>
      <c r="G85" s="4"/>
      <c r="H85" s="4"/>
      <c r="I85" s="4"/>
    </row>
    <row r="86" spans="1:9" ht="15.75" customHeight="1" x14ac:dyDescent="0.25">
      <c r="A86" s="4"/>
      <c r="B86" s="4"/>
      <c r="C86" s="4"/>
      <c r="D86" s="4"/>
      <c r="E86" s="4"/>
      <c r="F86" s="4"/>
      <c r="G86" s="4"/>
      <c r="H86" s="4"/>
      <c r="I86" s="4"/>
    </row>
    <row r="87" spans="1:9" ht="15.75" customHeight="1" x14ac:dyDescent="0.25">
      <c r="A87" s="4"/>
      <c r="B87" s="4"/>
      <c r="C87" s="4"/>
      <c r="D87" s="4"/>
      <c r="E87" s="4"/>
      <c r="F87" s="4"/>
      <c r="G87" s="4"/>
      <c r="H87" s="4"/>
      <c r="I87" s="4"/>
    </row>
    <row r="88" spans="1:9" ht="15.75" customHeight="1" x14ac:dyDescent="0.25">
      <c r="A88" s="4"/>
      <c r="B88" s="4"/>
      <c r="C88" s="4"/>
      <c r="D88" s="4"/>
      <c r="E88" s="4"/>
      <c r="F88" s="4"/>
      <c r="G88" s="4"/>
      <c r="H88" s="4"/>
      <c r="I88" s="4"/>
    </row>
    <row r="89" spans="1:9" ht="15.75" customHeight="1" x14ac:dyDescent="0.25">
      <c r="A89" s="4"/>
      <c r="B89" s="4"/>
      <c r="C89" s="4"/>
      <c r="D89" s="4"/>
      <c r="E89" s="4"/>
      <c r="F89" s="4"/>
      <c r="G89" s="4"/>
      <c r="H89" s="4"/>
      <c r="I89" s="4"/>
    </row>
    <row r="90" spans="1:9" ht="15.75" customHeight="1" x14ac:dyDescent="0.25">
      <c r="A90" s="4"/>
      <c r="B90" s="4"/>
      <c r="C90" s="4"/>
      <c r="D90" s="4"/>
      <c r="E90" s="4"/>
      <c r="F90" s="4"/>
      <c r="G90" s="4"/>
      <c r="H90" s="4"/>
      <c r="I90" s="4"/>
    </row>
    <row r="91" spans="1:9" ht="15.75" customHeight="1" x14ac:dyDescent="0.25">
      <c r="A91" s="4"/>
      <c r="B91" s="4"/>
      <c r="C91" s="4"/>
      <c r="D91" s="4"/>
      <c r="E91" s="4"/>
      <c r="F91" s="4"/>
      <c r="G91" s="4"/>
      <c r="H91" s="4"/>
      <c r="I91" s="4"/>
    </row>
    <row r="92" spans="1:9" ht="15.75" customHeight="1" x14ac:dyDescent="0.25">
      <c r="A92" s="4"/>
      <c r="B92" s="4"/>
      <c r="C92" s="4"/>
      <c r="D92" s="4"/>
      <c r="E92" s="4"/>
      <c r="F92" s="4"/>
      <c r="G92" s="4"/>
      <c r="H92" s="4"/>
      <c r="I92" s="4"/>
    </row>
    <row r="93" spans="1:9" ht="15.75" customHeight="1" x14ac:dyDescent="0.25">
      <c r="A93" s="4"/>
      <c r="B93" s="4"/>
      <c r="C93" s="4"/>
      <c r="D93" s="4"/>
      <c r="E93" s="4"/>
      <c r="F93" s="4"/>
      <c r="G93" s="4"/>
      <c r="H93" s="4"/>
      <c r="I93" s="4"/>
    </row>
    <row r="94" spans="1:9" ht="15.75" customHeight="1" x14ac:dyDescent="0.25">
      <c r="A94" s="4"/>
      <c r="B94" s="4"/>
      <c r="C94" s="4"/>
      <c r="D94" s="4"/>
      <c r="E94" s="4"/>
      <c r="F94" s="4"/>
      <c r="G94" s="4"/>
      <c r="H94" s="4"/>
      <c r="I94" s="4"/>
    </row>
    <row r="95" spans="1:9" ht="15.75" customHeight="1" x14ac:dyDescent="0.25">
      <c r="A95" s="4"/>
      <c r="B95" s="4"/>
      <c r="C95" s="4"/>
      <c r="D95" s="4"/>
      <c r="E95" s="4"/>
      <c r="F95" s="4"/>
      <c r="G95" s="4"/>
      <c r="H95" s="4"/>
      <c r="I95" s="4"/>
    </row>
    <row r="96" spans="1:9" ht="15.75" customHeight="1" x14ac:dyDescent="0.25">
      <c r="A96" s="4"/>
      <c r="B96" s="4"/>
      <c r="C96" s="4"/>
      <c r="D96" s="4"/>
      <c r="E96" s="4"/>
      <c r="F96" s="4"/>
      <c r="G96" s="4"/>
      <c r="H96" s="4"/>
      <c r="I96" s="4"/>
    </row>
    <row r="97" spans="1:9" ht="15.75" customHeight="1" x14ac:dyDescent="0.25">
      <c r="A97" s="4"/>
      <c r="B97" s="4"/>
      <c r="C97" s="4"/>
      <c r="D97" s="4"/>
      <c r="E97" s="4"/>
      <c r="F97" s="4"/>
      <c r="G97" s="4"/>
      <c r="H97" s="4"/>
      <c r="I97" s="4"/>
    </row>
    <row r="98" spans="1:9" ht="15.75" customHeight="1" x14ac:dyDescent="0.25">
      <c r="A98" s="4"/>
      <c r="B98" s="4"/>
      <c r="C98" s="4"/>
      <c r="D98" s="4"/>
      <c r="E98" s="4"/>
      <c r="F98" s="4"/>
      <c r="G98" s="4"/>
      <c r="H98" s="4"/>
      <c r="I98" s="4"/>
    </row>
    <row r="99" spans="1:9" ht="15.75" customHeight="1" x14ac:dyDescent="0.25">
      <c r="A99" s="4"/>
      <c r="B99" s="4"/>
      <c r="C99" s="4"/>
      <c r="D99" s="4"/>
      <c r="E99" s="4"/>
      <c r="F99" s="4"/>
      <c r="G99" s="4"/>
      <c r="H99" s="4"/>
      <c r="I99" s="4"/>
    </row>
    <row r="100" spans="1:9" ht="15.75" customHeight="1" x14ac:dyDescent="0.25">
      <c r="A100" s="4"/>
      <c r="B100" s="4"/>
      <c r="C100" s="4"/>
      <c r="D100" s="4"/>
      <c r="E100" s="4"/>
      <c r="F100" s="4"/>
      <c r="G100" s="4"/>
      <c r="H100" s="4"/>
      <c r="I100" s="4"/>
    </row>
    <row r="101" spans="1:9" ht="15.75" customHeight="1" x14ac:dyDescent="0.25">
      <c r="A101" s="4"/>
      <c r="B101" s="4"/>
      <c r="C101" s="4"/>
      <c r="D101" s="4"/>
      <c r="E101" s="4"/>
      <c r="F101" s="4"/>
      <c r="G101" s="4"/>
      <c r="H101" s="4"/>
      <c r="I101" s="4"/>
    </row>
    <row r="102" spans="1:9" ht="15.75" customHeight="1" x14ac:dyDescent="0.25">
      <c r="A102" s="4"/>
      <c r="B102" s="4"/>
      <c r="C102" s="4"/>
      <c r="D102" s="4"/>
      <c r="E102" s="4"/>
      <c r="F102" s="4"/>
      <c r="G102" s="4"/>
      <c r="H102" s="4"/>
      <c r="I102" s="4"/>
    </row>
    <row r="103" spans="1:9" ht="15.75" customHeight="1" x14ac:dyDescent="0.25">
      <c r="A103" s="4"/>
      <c r="B103" s="4"/>
      <c r="C103" s="4"/>
      <c r="D103" s="4"/>
      <c r="E103" s="4"/>
      <c r="F103" s="4"/>
      <c r="G103" s="4"/>
      <c r="H103" s="4"/>
      <c r="I103" s="4"/>
    </row>
    <row r="104" spans="1:9" ht="15.75" customHeight="1" x14ac:dyDescent="0.25">
      <c r="A104" s="4"/>
      <c r="B104" s="4"/>
      <c r="C104" s="4"/>
      <c r="D104" s="4"/>
      <c r="E104" s="4"/>
      <c r="F104" s="4"/>
      <c r="G104" s="4"/>
      <c r="H104" s="4"/>
      <c r="I104" s="4"/>
    </row>
    <row r="105" spans="1:9" ht="15.75" customHeight="1" x14ac:dyDescent="0.25">
      <c r="A105" s="4"/>
      <c r="B105" s="4"/>
      <c r="C105" s="4"/>
      <c r="D105" s="4"/>
      <c r="E105" s="4"/>
      <c r="F105" s="4"/>
      <c r="G105" s="4"/>
      <c r="H105" s="4"/>
      <c r="I105" s="4"/>
    </row>
    <row r="106" spans="1:9" ht="15.75" customHeight="1" x14ac:dyDescent="0.25">
      <c r="A106" s="4"/>
      <c r="B106" s="4"/>
      <c r="C106" s="4"/>
      <c r="D106" s="4"/>
      <c r="E106" s="4"/>
      <c r="F106" s="4"/>
      <c r="G106" s="4"/>
      <c r="H106" s="4"/>
      <c r="I106" s="4"/>
    </row>
    <row r="107" spans="1:9" ht="15.75" customHeight="1" x14ac:dyDescent="0.25">
      <c r="A107" s="4"/>
      <c r="B107" s="4"/>
      <c r="C107" s="4"/>
      <c r="D107" s="4"/>
      <c r="E107" s="4"/>
      <c r="F107" s="4"/>
      <c r="G107" s="4"/>
      <c r="H107" s="4"/>
      <c r="I107" s="4"/>
    </row>
    <row r="108" spans="1:9" ht="15.75" customHeight="1" x14ac:dyDescent="0.25">
      <c r="A108" s="4"/>
      <c r="B108" s="4"/>
      <c r="C108" s="4"/>
      <c r="D108" s="4"/>
      <c r="E108" s="4"/>
      <c r="F108" s="4"/>
      <c r="G108" s="4"/>
      <c r="H108" s="4"/>
      <c r="I108" s="4"/>
    </row>
    <row r="109" spans="1:9" ht="15.75" customHeight="1" x14ac:dyDescent="0.25">
      <c r="A109" s="4"/>
      <c r="B109" s="4"/>
      <c r="C109" s="4"/>
      <c r="D109" s="4"/>
      <c r="E109" s="4"/>
      <c r="F109" s="4"/>
      <c r="G109" s="4"/>
      <c r="H109" s="4"/>
      <c r="I109" s="4"/>
    </row>
    <row r="110" spans="1:9" ht="15.75" customHeight="1" x14ac:dyDescent="0.25">
      <c r="A110" s="4"/>
      <c r="B110" s="4"/>
      <c r="C110" s="4"/>
      <c r="D110" s="4"/>
      <c r="E110" s="4"/>
      <c r="F110" s="4"/>
      <c r="G110" s="4"/>
      <c r="H110" s="4"/>
      <c r="I110" s="4"/>
    </row>
    <row r="111" spans="1:9" ht="15.75" customHeight="1" x14ac:dyDescent="0.25">
      <c r="A111" s="4"/>
      <c r="B111" s="4"/>
      <c r="C111" s="4"/>
      <c r="D111" s="4"/>
      <c r="E111" s="4"/>
      <c r="F111" s="4"/>
      <c r="G111" s="4"/>
      <c r="H111" s="4"/>
      <c r="I111" s="4"/>
    </row>
    <row r="112" spans="1:9" ht="15.75" customHeight="1" x14ac:dyDescent="0.25">
      <c r="A112" s="4"/>
      <c r="B112" s="4"/>
      <c r="C112" s="4"/>
      <c r="D112" s="4"/>
      <c r="E112" s="4"/>
      <c r="F112" s="4"/>
      <c r="G112" s="4"/>
      <c r="H112" s="4"/>
      <c r="I112" s="4"/>
    </row>
    <row r="113" spans="1:9" ht="15.75" customHeight="1" x14ac:dyDescent="0.25">
      <c r="A113" s="4"/>
      <c r="B113" s="4"/>
      <c r="C113" s="4"/>
      <c r="D113" s="4"/>
      <c r="E113" s="4"/>
      <c r="F113" s="4"/>
      <c r="G113" s="4"/>
      <c r="H113" s="4"/>
      <c r="I113" s="4"/>
    </row>
    <row r="114" spans="1:9" ht="15.75" customHeight="1" x14ac:dyDescent="0.25">
      <c r="A114" s="4"/>
      <c r="B114" s="4"/>
      <c r="C114" s="4"/>
      <c r="D114" s="4"/>
      <c r="E114" s="4"/>
      <c r="F114" s="4"/>
      <c r="G114" s="4"/>
      <c r="H114" s="4"/>
      <c r="I114" s="4"/>
    </row>
    <row r="115" spans="1:9" ht="15.75" customHeight="1" x14ac:dyDescent="0.25">
      <c r="A115" s="4"/>
      <c r="B115" s="4"/>
      <c r="C115" s="4"/>
      <c r="D115" s="4"/>
      <c r="E115" s="4"/>
      <c r="F115" s="4"/>
      <c r="G115" s="4"/>
      <c r="H115" s="4"/>
      <c r="I115" s="4"/>
    </row>
    <row r="116" spans="1:9" ht="15.75" customHeight="1" x14ac:dyDescent="0.25">
      <c r="A116" s="4"/>
      <c r="B116" s="4"/>
      <c r="C116" s="4"/>
      <c r="D116" s="4"/>
      <c r="E116" s="4"/>
      <c r="F116" s="4"/>
      <c r="G116" s="4"/>
      <c r="H116" s="4"/>
      <c r="I116" s="4"/>
    </row>
    <row r="117" spans="1:9" ht="15.75" customHeight="1" x14ac:dyDescent="0.25">
      <c r="A117" s="4"/>
      <c r="B117" s="4"/>
      <c r="C117" s="4"/>
      <c r="D117" s="4"/>
      <c r="E117" s="4"/>
      <c r="F117" s="4"/>
      <c r="G117" s="4"/>
      <c r="H117" s="4"/>
      <c r="I117" s="4"/>
    </row>
    <row r="118" spans="1:9" ht="15.75" customHeight="1" x14ac:dyDescent="0.25">
      <c r="A118" s="4"/>
      <c r="B118" s="4"/>
      <c r="C118" s="4"/>
      <c r="D118" s="4"/>
      <c r="E118" s="4"/>
      <c r="F118" s="4"/>
      <c r="G118" s="4"/>
      <c r="H118" s="4"/>
      <c r="I118" s="4"/>
    </row>
    <row r="119" spans="1:9" ht="15.75" customHeight="1" x14ac:dyDescent="0.25">
      <c r="A119" s="4"/>
      <c r="B119" s="4"/>
      <c r="C119" s="4"/>
      <c r="D119" s="4"/>
      <c r="E119" s="4"/>
      <c r="F119" s="4"/>
      <c r="G119" s="4"/>
      <c r="H119" s="4"/>
      <c r="I119" s="4"/>
    </row>
    <row r="120" spans="1:9" ht="15.75" customHeight="1" x14ac:dyDescent="0.25">
      <c r="A120" s="4"/>
      <c r="B120" s="4"/>
      <c r="C120" s="4"/>
      <c r="D120" s="4"/>
      <c r="E120" s="4"/>
      <c r="F120" s="4"/>
      <c r="G120" s="4"/>
      <c r="H120" s="4"/>
      <c r="I120" s="4"/>
    </row>
    <row r="121" spans="1:9" ht="15.75" customHeight="1" x14ac:dyDescent="0.25">
      <c r="A121" s="4"/>
      <c r="B121" s="4"/>
      <c r="C121" s="4"/>
      <c r="D121" s="4"/>
      <c r="E121" s="4"/>
      <c r="F121" s="4"/>
      <c r="G121" s="4"/>
      <c r="H121" s="4"/>
      <c r="I121" s="4"/>
    </row>
    <row r="122" spans="1:9" ht="15.75" customHeight="1" x14ac:dyDescent="0.25">
      <c r="A122" s="4"/>
      <c r="B122" s="4"/>
      <c r="C122" s="4"/>
      <c r="D122" s="4"/>
      <c r="E122" s="4"/>
      <c r="F122" s="4"/>
      <c r="G122" s="4"/>
      <c r="H122" s="4"/>
      <c r="I122" s="4"/>
    </row>
    <row r="123" spans="1:9" ht="15.75" customHeight="1" x14ac:dyDescent="0.25">
      <c r="A123" s="4"/>
      <c r="B123" s="4"/>
      <c r="C123" s="4"/>
      <c r="D123" s="4"/>
      <c r="E123" s="4"/>
      <c r="F123" s="4"/>
      <c r="G123" s="4"/>
      <c r="H123" s="4"/>
      <c r="I123" s="4"/>
    </row>
    <row r="124" spans="1:9" ht="15.75" customHeight="1" x14ac:dyDescent="0.25">
      <c r="A124" s="4"/>
      <c r="B124" s="4"/>
      <c r="C124" s="4"/>
      <c r="D124" s="4"/>
      <c r="E124" s="4"/>
      <c r="F124" s="4"/>
      <c r="G124" s="4"/>
      <c r="H124" s="4"/>
      <c r="I124" s="4"/>
    </row>
    <row r="125" spans="1:9" ht="15.75" customHeight="1" x14ac:dyDescent="0.25">
      <c r="A125" s="4"/>
      <c r="B125" s="4"/>
      <c r="C125" s="4"/>
      <c r="D125" s="4"/>
      <c r="E125" s="4"/>
      <c r="F125" s="4"/>
      <c r="G125" s="4"/>
      <c r="H125" s="4"/>
      <c r="I125" s="4"/>
    </row>
    <row r="126" spans="1:9" ht="15.75" customHeight="1" x14ac:dyDescent="0.25">
      <c r="A126" s="4"/>
      <c r="B126" s="4"/>
      <c r="C126" s="4"/>
      <c r="D126" s="4"/>
      <c r="E126" s="4"/>
      <c r="F126" s="4"/>
      <c r="G126" s="4"/>
      <c r="H126" s="4"/>
      <c r="I126" s="4"/>
    </row>
    <row r="127" spans="1:9" ht="15.75" customHeight="1" x14ac:dyDescent="0.25">
      <c r="A127" s="4"/>
      <c r="B127" s="4"/>
      <c r="C127" s="4"/>
      <c r="D127" s="4"/>
      <c r="E127" s="4"/>
      <c r="F127" s="4"/>
      <c r="G127" s="4"/>
      <c r="H127" s="4"/>
      <c r="I127" s="4"/>
    </row>
    <row r="128" spans="1:9" ht="15.75" customHeight="1" x14ac:dyDescent="0.25">
      <c r="A128" s="4"/>
      <c r="B128" s="4"/>
      <c r="C128" s="4"/>
      <c r="D128" s="4"/>
      <c r="E128" s="4"/>
      <c r="F128" s="4"/>
      <c r="G128" s="4"/>
      <c r="H128" s="4"/>
      <c r="I128" s="4"/>
    </row>
    <row r="129" spans="1:9" ht="15.75" customHeight="1" x14ac:dyDescent="0.25">
      <c r="A129" s="4"/>
      <c r="B129" s="4"/>
      <c r="C129" s="4"/>
      <c r="D129" s="4"/>
      <c r="E129" s="4"/>
      <c r="F129" s="4"/>
      <c r="G129" s="4"/>
      <c r="H129" s="4"/>
      <c r="I129" s="4"/>
    </row>
    <row r="130" spans="1:9" ht="15.75" customHeight="1" x14ac:dyDescent="0.25">
      <c r="A130" s="4"/>
      <c r="B130" s="4"/>
      <c r="C130" s="4"/>
      <c r="D130" s="4"/>
      <c r="E130" s="4"/>
      <c r="F130" s="4"/>
      <c r="G130" s="4"/>
      <c r="H130" s="4"/>
      <c r="I130" s="4"/>
    </row>
    <row r="131" spans="1:9" ht="15.75" customHeight="1" x14ac:dyDescent="0.25">
      <c r="A131" s="4"/>
      <c r="B131" s="4"/>
      <c r="C131" s="4"/>
      <c r="D131" s="4"/>
      <c r="E131" s="4"/>
      <c r="F131" s="4"/>
      <c r="G131" s="4"/>
      <c r="H131" s="4"/>
      <c r="I131" s="4"/>
    </row>
    <row r="132" spans="1:9" ht="15.75" customHeight="1" x14ac:dyDescent="0.25">
      <c r="A132" s="4"/>
      <c r="B132" s="4"/>
      <c r="C132" s="4"/>
      <c r="D132" s="4"/>
      <c r="E132" s="4"/>
      <c r="F132" s="4"/>
      <c r="G132" s="4"/>
      <c r="H132" s="4"/>
      <c r="I132" s="4"/>
    </row>
    <row r="133" spans="1:9" ht="15.75" customHeight="1" x14ac:dyDescent="0.25">
      <c r="A133" s="4"/>
      <c r="B133" s="4"/>
      <c r="C133" s="4"/>
      <c r="D133" s="4"/>
      <c r="E133" s="4"/>
      <c r="F133" s="4"/>
      <c r="G133" s="4"/>
      <c r="H133" s="4"/>
      <c r="I133" s="4"/>
    </row>
    <row r="134" spans="1:9" ht="15.75" customHeight="1" x14ac:dyDescent="0.25">
      <c r="A134" s="4"/>
      <c r="B134" s="4"/>
      <c r="C134" s="4"/>
      <c r="D134" s="4"/>
      <c r="E134" s="4"/>
      <c r="F134" s="4"/>
      <c r="G134" s="4"/>
      <c r="H134" s="4"/>
      <c r="I134" s="4"/>
    </row>
    <row r="135" spans="1:9" ht="15.75" customHeight="1" x14ac:dyDescent="0.25">
      <c r="A135" s="4"/>
      <c r="B135" s="4"/>
      <c r="C135" s="4"/>
      <c r="D135" s="4"/>
      <c r="E135" s="4"/>
      <c r="F135" s="4"/>
      <c r="G135" s="4"/>
      <c r="H135" s="4"/>
      <c r="I135" s="4"/>
    </row>
    <row r="136" spans="1:9" ht="15.75" customHeight="1" x14ac:dyDescent="0.25">
      <c r="A136" s="4"/>
      <c r="B136" s="4"/>
      <c r="C136" s="4"/>
      <c r="D136" s="4"/>
      <c r="E136" s="4"/>
      <c r="F136" s="4"/>
      <c r="G136" s="4"/>
      <c r="H136" s="4"/>
      <c r="I136" s="4"/>
    </row>
    <row r="137" spans="1:9" ht="15.75" customHeight="1" x14ac:dyDescent="0.25">
      <c r="A137" s="4"/>
      <c r="B137" s="4"/>
      <c r="C137" s="4"/>
      <c r="D137" s="4"/>
      <c r="E137" s="4"/>
      <c r="F137" s="4"/>
      <c r="G137" s="4"/>
      <c r="H137" s="4"/>
      <c r="I137" s="4"/>
    </row>
    <row r="138" spans="1:9" ht="15.75" customHeight="1" x14ac:dyDescent="0.25">
      <c r="A138" s="4"/>
      <c r="B138" s="4"/>
      <c r="C138" s="4"/>
      <c r="D138" s="4"/>
      <c r="E138" s="4"/>
      <c r="F138" s="4"/>
      <c r="G138" s="4"/>
      <c r="H138" s="4"/>
      <c r="I138" s="4"/>
    </row>
    <row r="139" spans="1:9" ht="15.75" customHeight="1" x14ac:dyDescent="0.25">
      <c r="A139" s="4"/>
      <c r="B139" s="4"/>
      <c r="C139" s="4"/>
      <c r="D139" s="4"/>
      <c r="E139" s="4"/>
      <c r="F139" s="4"/>
      <c r="G139" s="4"/>
      <c r="H139" s="4"/>
      <c r="I139" s="4"/>
    </row>
    <row r="140" spans="1:9" ht="15.75" customHeight="1" x14ac:dyDescent="0.25">
      <c r="A140" s="4"/>
      <c r="B140" s="4"/>
      <c r="C140" s="4"/>
      <c r="D140" s="4"/>
      <c r="E140" s="4"/>
      <c r="F140" s="4"/>
      <c r="G140" s="4"/>
      <c r="H140" s="4"/>
      <c r="I140" s="4"/>
    </row>
    <row r="141" spans="1:9" ht="15.75" customHeight="1" x14ac:dyDescent="0.25">
      <c r="A141" s="4"/>
      <c r="B141" s="4"/>
      <c r="C141" s="4"/>
      <c r="D141" s="4"/>
      <c r="E141" s="4"/>
      <c r="F141" s="4"/>
      <c r="G141" s="4"/>
      <c r="H141" s="4"/>
      <c r="I141" s="4"/>
    </row>
    <row r="142" spans="1:9" ht="15.75" customHeight="1" x14ac:dyDescent="0.25">
      <c r="A142" s="4"/>
      <c r="B142" s="4"/>
      <c r="C142" s="4"/>
      <c r="D142" s="4"/>
      <c r="E142" s="4"/>
      <c r="F142" s="4"/>
      <c r="G142" s="4"/>
      <c r="H142" s="4"/>
      <c r="I142" s="4"/>
    </row>
    <row r="143" spans="1:9" ht="15.75" customHeight="1" x14ac:dyDescent="0.25">
      <c r="A143" s="4"/>
      <c r="B143" s="4"/>
      <c r="C143" s="4"/>
      <c r="D143" s="4"/>
      <c r="E143" s="4"/>
      <c r="F143" s="4"/>
      <c r="G143" s="4"/>
      <c r="H143" s="4"/>
      <c r="I143" s="4"/>
    </row>
    <row r="144" spans="1:9" ht="15.75" customHeight="1" x14ac:dyDescent="0.25">
      <c r="A144" s="4"/>
      <c r="B144" s="4"/>
      <c r="C144" s="4"/>
      <c r="D144" s="4"/>
      <c r="E144" s="4"/>
      <c r="F144" s="4"/>
      <c r="G144" s="4"/>
      <c r="H144" s="4"/>
      <c r="I144" s="4"/>
    </row>
    <row r="145" spans="1:9" ht="15.75" customHeight="1" x14ac:dyDescent="0.25">
      <c r="A145" s="4"/>
      <c r="B145" s="4"/>
      <c r="C145" s="4"/>
      <c r="D145" s="4"/>
      <c r="E145" s="4"/>
      <c r="F145" s="4"/>
      <c r="G145" s="4"/>
      <c r="H145" s="4"/>
      <c r="I145" s="4"/>
    </row>
    <row r="146" spans="1:9" ht="15.75" customHeight="1" x14ac:dyDescent="0.25">
      <c r="A146" s="4"/>
      <c r="B146" s="4"/>
      <c r="C146" s="4"/>
      <c r="D146" s="4"/>
      <c r="E146" s="4"/>
      <c r="F146" s="4"/>
      <c r="G146" s="4"/>
      <c r="H146" s="4"/>
      <c r="I146" s="4"/>
    </row>
    <row r="147" spans="1:9" ht="15.75" customHeight="1" x14ac:dyDescent="0.25">
      <c r="A147" s="4"/>
      <c r="B147" s="4"/>
      <c r="C147" s="4"/>
      <c r="D147" s="4"/>
      <c r="E147" s="4"/>
      <c r="F147" s="4"/>
      <c r="G147" s="4"/>
      <c r="H147" s="4"/>
      <c r="I147" s="4"/>
    </row>
    <row r="148" spans="1:9" ht="15.75" customHeight="1" x14ac:dyDescent="0.25">
      <c r="A148" s="4"/>
      <c r="B148" s="4"/>
      <c r="C148" s="4"/>
      <c r="D148" s="4"/>
      <c r="E148" s="4"/>
      <c r="F148" s="4"/>
      <c r="G148" s="4"/>
      <c r="H148" s="4"/>
      <c r="I148" s="4"/>
    </row>
    <row r="149" spans="1:9" ht="15.75" customHeight="1" x14ac:dyDescent="0.25">
      <c r="A149" s="4"/>
      <c r="B149" s="4"/>
      <c r="C149" s="4"/>
      <c r="D149" s="4"/>
      <c r="E149" s="4"/>
      <c r="F149" s="4"/>
      <c r="G149" s="4"/>
      <c r="H149" s="4"/>
      <c r="I149" s="4"/>
    </row>
    <row r="150" spans="1:9" ht="15.75" customHeight="1" x14ac:dyDescent="0.25">
      <c r="A150" s="4"/>
      <c r="B150" s="4"/>
      <c r="C150" s="4"/>
      <c r="D150" s="4"/>
      <c r="E150" s="4"/>
      <c r="F150" s="4"/>
      <c r="G150" s="4"/>
      <c r="H150" s="4"/>
      <c r="I150" s="4"/>
    </row>
    <row r="151" spans="1:9" ht="15.75" customHeight="1" x14ac:dyDescent="0.25">
      <c r="A151" s="4"/>
      <c r="B151" s="4"/>
      <c r="C151" s="4"/>
      <c r="D151" s="4"/>
      <c r="E151" s="4"/>
      <c r="F151" s="4"/>
      <c r="G151" s="4"/>
      <c r="H151" s="4"/>
      <c r="I151" s="4"/>
    </row>
    <row r="152" spans="1:9" ht="15.75" customHeight="1" x14ac:dyDescent="0.25">
      <c r="A152" s="4"/>
      <c r="B152" s="4"/>
      <c r="C152" s="4"/>
      <c r="D152" s="4"/>
      <c r="E152" s="4"/>
      <c r="F152" s="4"/>
      <c r="G152" s="4"/>
      <c r="H152" s="4"/>
      <c r="I152" s="4"/>
    </row>
    <row r="153" spans="1:9" ht="15.75" customHeight="1" x14ac:dyDescent="0.25">
      <c r="A153" s="4"/>
      <c r="B153" s="4"/>
      <c r="C153" s="4"/>
      <c r="D153" s="4"/>
      <c r="E153" s="4"/>
      <c r="F153" s="4"/>
      <c r="G153" s="4"/>
      <c r="H153" s="4"/>
      <c r="I153" s="4"/>
    </row>
    <row r="154" spans="1:9" ht="15.75" customHeight="1" x14ac:dyDescent="0.25">
      <c r="A154" s="4"/>
      <c r="B154" s="4"/>
      <c r="C154" s="4"/>
      <c r="D154" s="4"/>
      <c r="E154" s="4"/>
      <c r="F154" s="4"/>
      <c r="G154" s="4"/>
      <c r="H154" s="4"/>
      <c r="I154" s="4"/>
    </row>
    <row r="155" spans="1:9" ht="15.75" customHeight="1" x14ac:dyDescent="0.25">
      <c r="A155" s="4"/>
      <c r="B155" s="4"/>
      <c r="C155" s="4"/>
      <c r="D155" s="4"/>
      <c r="E155" s="4"/>
      <c r="F155" s="4"/>
      <c r="G155" s="4"/>
      <c r="H155" s="4"/>
      <c r="I155" s="4"/>
    </row>
    <row r="156" spans="1:9" ht="15.75" customHeight="1" x14ac:dyDescent="0.25">
      <c r="A156" s="4"/>
      <c r="B156" s="4"/>
      <c r="C156" s="4"/>
      <c r="D156" s="4"/>
      <c r="E156" s="4"/>
      <c r="F156" s="4"/>
      <c r="G156" s="4"/>
      <c r="H156" s="4"/>
      <c r="I156" s="4"/>
    </row>
    <row r="157" spans="1:9" ht="15.75" customHeight="1" x14ac:dyDescent="0.25">
      <c r="A157" s="4"/>
      <c r="B157" s="4"/>
      <c r="C157" s="4"/>
      <c r="D157" s="4"/>
      <c r="E157" s="4"/>
      <c r="F157" s="4"/>
      <c r="G157" s="4"/>
      <c r="H157" s="4"/>
      <c r="I157" s="4"/>
    </row>
    <row r="158" spans="1:9" ht="15.75" customHeight="1" x14ac:dyDescent="0.25">
      <c r="A158" s="4"/>
      <c r="B158" s="4"/>
      <c r="C158" s="4"/>
      <c r="D158" s="4"/>
      <c r="E158" s="4"/>
      <c r="F158" s="4"/>
      <c r="G158" s="4"/>
      <c r="H158" s="4"/>
      <c r="I158" s="4"/>
    </row>
    <row r="159" spans="1:9" ht="15.75" customHeight="1" x14ac:dyDescent="0.25">
      <c r="A159" s="4"/>
      <c r="B159" s="4"/>
      <c r="C159" s="4"/>
      <c r="D159" s="4"/>
      <c r="E159" s="4"/>
      <c r="F159" s="4"/>
      <c r="G159" s="4"/>
      <c r="H159" s="4"/>
      <c r="I159" s="4"/>
    </row>
    <row r="160" spans="1:9" ht="15.75" customHeight="1" x14ac:dyDescent="0.25">
      <c r="A160" s="4"/>
      <c r="B160" s="4"/>
      <c r="C160" s="4"/>
      <c r="D160" s="4"/>
      <c r="E160" s="4"/>
      <c r="F160" s="4"/>
      <c r="G160" s="4"/>
      <c r="H160" s="4"/>
      <c r="I160" s="4"/>
    </row>
    <row r="161" spans="1:9" ht="15.75" customHeight="1" x14ac:dyDescent="0.25">
      <c r="A161" s="4"/>
      <c r="B161" s="4"/>
      <c r="C161" s="4"/>
      <c r="D161" s="4"/>
      <c r="E161" s="4"/>
      <c r="F161" s="4"/>
      <c r="G161" s="4"/>
      <c r="H161" s="4"/>
      <c r="I161" s="4"/>
    </row>
    <row r="162" spans="1:9" ht="15.75" customHeight="1" x14ac:dyDescent="0.25">
      <c r="A162" s="4"/>
      <c r="B162" s="4"/>
      <c r="C162" s="4"/>
      <c r="D162" s="4"/>
      <c r="E162" s="4"/>
      <c r="F162" s="4"/>
      <c r="G162" s="4"/>
      <c r="H162" s="4"/>
      <c r="I162" s="4"/>
    </row>
    <row r="163" spans="1:9" ht="15.75" customHeight="1" x14ac:dyDescent="0.25">
      <c r="A163" s="4"/>
      <c r="B163" s="4"/>
      <c r="C163" s="4"/>
      <c r="D163" s="4"/>
      <c r="E163" s="4"/>
      <c r="F163" s="4"/>
      <c r="G163" s="4"/>
      <c r="H163" s="4"/>
      <c r="I163" s="4"/>
    </row>
    <row r="164" spans="1:9" ht="15.75" customHeight="1" x14ac:dyDescent="0.25">
      <c r="A164" s="4"/>
      <c r="B164" s="4"/>
      <c r="C164" s="4"/>
      <c r="D164" s="4"/>
      <c r="E164" s="4"/>
      <c r="F164" s="4"/>
      <c r="G164" s="4"/>
      <c r="H164" s="4"/>
      <c r="I164" s="4"/>
    </row>
    <row r="165" spans="1:9" ht="15.75" customHeight="1" x14ac:dyDescent="0.25">
      <c r="A165" s="4"/>
      <c r="B165" s="4"/>
      <c r="C165" s="4"/>
      <c r="D165" s="4"/>
      <c r="E165" s="4"/>
      <c r="F165" s="4"/>
      <c r="G165" s="4"/>
      <c r="H165" s="4"/>
      <c r="I165" s="4"/>
    </row>
    <row r="166" spans="1:9" ht="15.75" customHeight="1" x14ac:dyDescent="0.25">
      <c r="A166" s="4"/>
      <c r="B166" s="4"/>
      <c r="C166" s="4"/>
      <c r="D166" s="4"/>
      <c r="E166" s="4"/>
      <c r="F166" s="4"/>
      <c r="G166" s="4"/>
      <c r="H166" s="4"/>
      <c r="I166" s="4"/>
    </row>
    <row r="167" spans="1:9" ht="15.75" customHeight="1" x14ac:dyDescent="0.25">
      <c r="A167" s="4"/>
      <c r="B167" s="4"/>
      <c r="C167" s="4"/>
      <c r="D167" s="4"/>
      <c r="E167" s="4"/>
      <c r="F167" s="4"/>
      <c r="G167" s="4"/>
      <c r="H167" s="4"/>
      <c r="I167" s="4"/>
    </row>
    <row r="168" spans="1:9" ht="15.75" customHeight="1" x14ac:dyDescent="0.25">
      <c r="A168" s="4"/>
      <c r="B168" s="4"/>
      <c r="C168" s="4"/>
      <c r="D168" s="4"/>
      <c r="E168" s="4"/>
      <c r="F168" s="4"/>
      <c r="G168" s="4"/>
      <c r="H168" s="4"/>
      <c r="I168" s="4"/>
    </row>
    <row r="169" spans="1:9" ht="15.75" customHeight="1" x14ac:dyDescent="0.25">
      <c r="A169" s="4"/>
      <c r="B169" s="4"/>
      <c r="C169" s="4"/>
      <c r="D169" s="4"/>
      <c r="E169" s="4"/>
      <c r="F169" s="4"/>
      <c r="G169" s="4"/>
      <c r="H169" s="4"/>
      <c r="I169" s="4"/>
    </row>
    <row r="170" spans="1:9" ht="15.75" customHeight="1" x14ac:dyDescent="0.25">
      <c r="A170" s="4"/>
      <c r="B170" s="4"/>
      <c r="C170" s="4"/>
      <c r="D170" s="4"/>
      <c r="E170" s="4"/>
      <c r="F170" s="4"/>
      <c r="G170" s="4"/>
      <c r="H170" s="4"/>
      <c r="I170" s="4"/>
    </row>
    <row r="171" spans="1:9" ht="15.75" customHeight="1" x14ac:dyDescent="0.25">
      <c r="A171" s="4"/>
      <c r="B171" s="4"/>
      <c r="C171" s="4"/>
      <c r="D171" s="4"/>
      <c r="E171" s="4"/>
      <c r="F171" s="4"/>
      <c r="G171" s="4"/>
      <c r="H171" s="4"/>
      <c r="I171" s="4"/>
    </row>
    <row r="172" spans="1:9" ht="15.75" customHeight="1" x14ac:dyDescent="0.25">
      <c r="A172" s="4"/>
      <c r="B172" s="4"/>
      <c r="C172" s="4"/>
      <c r="D172" s="4"/>
      <c r="E172" s="4"/>
      <c r="F172" s="4"/>
      <c r="G172" s="4"/>
      <c r="H172" s="4"/>
      <c r="I172" s="4"/>
    </row>
    <row r="173" spans="1:9" ht="15.75" customHeight="1" x14ac:dyDescent="0.25">
      <c r="A173" s="4"/>
      <c r="B173" s="4"/>
      <c r="C173" s="4"/>
      <c r="D173" s="4"/>
      <c r="E173" s="4"/>
      <c r="F173" s="4"/>
      <c r="G173" s="4"/>
      <c r="H173" s="4"/>
      <c r="I173" s="4"/>
    </row>
    <row r="174" spans="1:9" ht="15.75" customHeight="1" x14ac:dyDescent="0.25">
      <c r="A174" s="4"/>
      <c r="B174" s="4"/>
      <c r="C174" s="4"/>
      <c r="D174" s="4"/>
      <c r="E174" s="4"/>
      <c r="F174" s="4"/>
      <c r="G174" s="4"/>
      <c r="H174" s="4"/>
      <c r="I174" s="4"/>
    </row>
    <row r="175" spans="1:9" ht="15.75" customHeight="1" x14ac:dyDescent="0.25">
      <c r="A175" s="4"/>
      <c r="B175" s="4"/>
      <c r="C175" s="4"/>
      <c r="D175" s="4"/>
      <c r="E175" s="4"/>
      <c r="F175" s="4"/>
      <c r="G175" s="4"/>
      <c r="H175" s="4"/>
      <c r="I175" s="4"/>
    </row>
    <row r="176" spans="1:9" ht="15.75" customHeight="1" x14ac:dyDescent="0.25">
      <c r="A176" s="4"/>
      <c r="B176" s="4"/>
      <c r="C176" s="4"/>
      <c r="D176" s="4"/>
      <c r="E176" s="4"/>
      <c r="F176" s="4"/>
      <c r="G176" s="4"/>
      <c r="H176" s="4"/>
      <c r="I176" s="4"/>
    </row>
    <row r="177" spans="1:9" ht="15.75" customHeight="1" x14ac:dyDescent="0.25">
      <c r="A177" s="4"/>
      <c r="B177" s="4"/>
      <c r="C177" s="4"/>
      <c r="D177" s="4"/>
      <c r="E177" s="4"/>
      <c r="F177" s="4"/>
      <c r="G177" s="4"/>
      <c r="H177" s="4"/>
      <c r="I177" s="4"/>
    </row>
    <row r="178" spans="1:9" ht="15.75" customHeight="1" x14ac:dyDescent="0.25">
      <c r="A178" s="4"/>
      <c r="B178" s="4"/>
      <c r="C178" s="4"/>
      <c r="D178" s="4"/>
      <c r="E178" s="4"/>
      <c r="F178" s="4"/>
      <c r="G178" s="4"/>
      <c r="H178" s="4"/>
      <c r="I178" s="4"/>
    </row>
    <row r="179" spans="1:9" ht="15.75" customHeight="1" x14ac:dyDescent="0.25">
      <c r="A179" s="4"/>
      <c r="B179" s="4"/>
      <c r="C179" s="4"/>
      <c r="D179" s="4"/>
      <c r="E179" s="4"/>
      <c r="F179" s="4"/>
      <c r="G179" s="4"/>
      <c r="H179" s="4"/>
      <c r="I179" s="4"/>
    </row>
    <row r="180" spans="1:9" ht="15.75" customHeight="1" x14ac:dyDescent="0.25">
      <c r="A180" s="4"/>
      <c r="B180" s="4"/>
      <c r="C180" s="4"/>
      <c r="D180" s="4"/>
      <c r="E180" s="4"/>
      <c r="F180" s="4"/>
      <c r="G180" s="4"/>
      <c r="H180" s="4"/>
      <c r="I180" s="4"/>
    </row>
    <row r="181" spans="1:9" ht="15.75" customHeight="1" x14ac:dyDescent="0.25">
      <c r="A181" s="4"/>
      <c r="B181" s="4"/>
      <c r="C181" s="4"/>
      <c r="D181" s="4"/>
      <c r="E181" s="4"/>
      <c r="F181" s="4"/>
      <c r="G181" s="4"/>
      <c r="H181" s="4"/>
      <c r="I181" s="4"/>
    </row>
    <row r="182" spans="1:9" ht="15.75" customHeight="1" x14ac:dyDescent="0.25">
      <c r="A182" s="4"/>
      <c r="B182" s="4"/>
      <c r="C182" s="4"/>
      <c r="D182" s="4"/>
      <c r="E182" s="4"/>
      <c r="F182" s="4"/>
      <c r="G182" s="4"/>
      <c r="H182" s="4"/>
      <c r="I182" s="4"/>
    </row>
    <row r="183" spans="1:9" ht="15.75" customHeight="1" x14ac:dyDescent="0.25">
      <c r="A183" s="4"/>
      <c r="B183" s="4"/>
      <c r="C183" s="4"/>
      <c r="D183" s="4"/>
      <c r="E183" s="4"/>
      <c r="F183" s="4"/>
      <c r="G183" s="4"/>
      <c r="H183" s="4"/>
      <c r="I183" s="4"/>
    </row>
    <row r="184" spans="1:9" ht="15.75" customHeight="1" x14ac:dyDescent="0.25">
      <c r="A184" s="4"/>
      <c r="B184" s="4"/>
      <c r="C184" s="4"/>
      <c r="D184" s="4"/>
      <c r="E184" s="4"/>
      <c r="F184" s="4"/>
      <c r="G184" s="4"/>
      <c r="H184" s="4"/>
      <c r="I184" s="4"/>
    </row>
    <row r="185" spans="1:9" ht="15.75" customHeight="1" x14ac:dyDescent="0.25">
      <c r="A185" s="4"/>
      <c r="B185" s="4"/>
      <c r="C185" s="4"/>
      <c r="D185" s="4"/>
      <c r="E185" s="4"/>
      <c r="F185" s="4"/>
      <c r="G185" s="4"/>
      <c r="H185" s="4"/>
      <c r="I185" s="4"/>
    </row>
    <row r="186" spans="1:9" ht="15.75" customHeight="1" x14ac:dyDescent="0.25">
      <c r="A186" s="4"/>
      <c r="B186" s="4"/>
      <c r="C186" s="4"/>
      <c r="D186" s="4"/>
      <c r="E186" s="4"/>
      <c r="F186" s="4"/>
      <c r="G186" s="4"/>
      <c r="H186" s="4"/>
      <c r="I186" s="4"/>
    </row>
    <row r="187" spans="1:9" ht="15.75" customHeight="1" x14ac:dyDescent="0.25">
      <c r="A187" s="4"/>
      <c r="B187" s="4"/>
      <c r="C187" s="4"/>
      <c r="D187" s="4"/>
      <c r="E187" s="4"/>
      <c r="F187" s="4"/>
      <c r="G187" s="4"/>
      <c r="H187" s="4"/>
      <c r="I187" s="4"/>
    </row>
    <row r="188" spans="1:9" ht="15.75" customHeight="1" x14ac:dyDescent="0.25">
      <c r="A188" s="4"/>
      <c r="B188" s="4"/>
      <c r="C188" s="4"/>
      <c r="D188" s="4"/>
      <c r="E188" s="4"/>
      <c r="F188" s="4"/>
      <c r="G188" s="4"/>
      <c r="H188" s="4"/>
      <c r="I188" s="4"/>
    </row>
    <row r="189" spans="1:9" ht="15.75" customHeight="1" x14ac:dyDescent="0.25">
      <c r="A189" s="4"/>
      <c r="B189" s="4"/>
      <c r="C189" s="4"/>
      <c r="D189" s="4"/>
      <c r="E189" s="4"/>
      <c r="F189" s="4"/>
      <c r="G189" s="4"/>
      <c r="H189" s="4"/>
      <c r="I189" s="4"/>
    </row>
    <row r="190" spans="1:9" ht="15.75" customHeight="1" x14ac:dyDescent="0.25">
      <c r="A190" s="4"/>
      <c r="B190" s="4"/>
      <c r="C190" s="4"/>
      <c r="D190" s="4"/>
      <c r="E190" s="4"/>
      <c r="F190" s="4"/>
      <c r="G190" s="4"/>
      <c r="H190" s="4"/>
      <c r="I190" s="4"/>
    </row>
    <row r="191" spans="1:9" ht="15.75" customHeight="1" x14ac:dyDescent="0.25">
      <c r="A191" s="4"/>
      <c r="B191" s="4"/>
      <c r="C191" s="4"/>
      <c r="D191" s="4"/>
      <c r="E191" s="4"/>
      <c r="F191" s="4"/>
      <c r="G191" s="4"/>
      <c r="H191" s="4"/>
      <c r="I191" s="4"/>
    </row>
    <row r="192" spans="1:9" ht="15.75" customHeight="1" x14ac:dyDescent="0.25">
      <c r="A192" s="4"/>
      <c r="B192" s="4"/>
      <c r="C192" s="4"/>
      <c r="D192" s="4"/>
      <c r="E192" s="4"/>
      <c r="F192" s="4"/>
      <c r="G192" s="4"/>
      <c r="H192" s="4"/>
      <c r="I192" s="4"/>
    </row>
    <row r="193" spans="1:9" ht="15.75" customHeight="1" x14ac:dyDescent="0.25">
      <c r="A193" s="4"/>
      <c r="B193" s="4"/>
      <c r="C193" s="4"/>
      <c r="D193" s="4"/>
      <c r="E193" s="4"/>
      <c r="F193" s="4"/>
      <c r="G193" s="4"/>
      <c r="H193" s="4"/>
      <c r="I193" s="4"/>
    </row>
    <row r="194" spans="1:9" ht="15.75" customHeight="1" x14ac:dyDescent="0.25">
      <c r="A194" s="4"/>
      <c r="B194" s="4"/>
      <c r="C194" s="4"/>
      <c r="D194" s="4"/>
      <c r="E194" s="4"/>
      <c r="F194" s="4"/>
      <c r="G194" s="4"/>
      <c r="H194" s="4"/>
      <c r="I194" s="4"/>
    </row>
    <row r="195" spans="1:9" ht="15.75" customHeight="1" x14ac:dyDescent="0.25">
      <c r="A195" s="4"/>
      <c r="B195" s="4"/>
      <c r="C195" s="4"/>
      <c r="D195" s="4"/>
      <c r="E195" s="4"/>
      <c r="F195" s="4"/>
      <c r="G195" s="4"/>
      <c r="H195" s="4"/>
      <c r="I195" s="4"/>
    </row>
    <row r="196" spans="1:9" ht="15.75" customHeight="1" x14ac:dyDescent="0.25">
      <c r="A196" s="4"/>
      <c r="B196" s="4"/>
      <c r="C196" s="4"/>
      <c r="D196" s="4"/>
      <c r="E196" s="4"/>
      <c r="F196" s="4"/>
      <c r="G196" s="4"/>
      <c r="H196" s="4"/>
      <c r="I196" s="4"/>
    </row>
    <row r="197" spans="1:9" ht="15.75" customHeight="1" x14ac:dyDescent="0.25">
      <c r="A197" s="4"/>
      <c r="B197" s="4"/>
      <c r="C197" s="4"/>
      <c r="D197" s="4"/>
      <c r="E197" s="4"/>
      <c r="F197" s="4"/>
      <c r="G197" s="4"/>
      <c r="H197" s="4"/>
      <c r="I197" s="4"/>
    </row>
    <row r="198" spans="1:9" ht="15.75" customHeight="1" x14ac:dyDescent="0.25">
      <c r="A198" s="4"/>
      <c r="B198" s="4"/>
      <c r="C198" s="4"/>
      <c r="D198" s="4"/>
      <c r="E198" s="4"/>
      <c r="F198" s="4"/>
      <c r="G198" s="4"/>
      <c r="H198" s="4"/>
      <c r="I198" s="4"/>
    </row>
    <row r="199" spans="1:9" ht="15.75" customHeight="1" x14ac:dyDescent="0.25">
      <c r="A199" s="4"/>
      <c r="B199" s="4"/>
      <c r="C199" s="4"/>
      <c r="D199" s="4"/>
      <c r="E199" s="4"/>
      <c r="F199" s="4"/>
      <c r="G199" s="4"/>
      <c r="H199" s="4"/>
      <c r="I199" s="4"/>
    </row>
    <row r="200" spans="1:9" ht="15.75" customHeight="1" x14ac:dyDescent="0.25">
      <c r="A200" s="4"/>
      <c r="B200" s="4"/>
      <c r="C200" s="4"/>
      <c r="D200" s="4"/>
      <c r="E200" s="4"/>
      <c r="F200" s="4"/>
      <c r="G200" s="4"/>
      <c r="H200" s="4"/>
      <c r="I200" s="4"/>
    </row>
    <row r="201" spans="1:9" ht="15.75" customHeight="1" x14ac:dyDescent="0.25">
      <c r="A201" s="4"/>
      <c r="B201" s="4"/>
      <c r="C201" s="4"/>
      <c r="D201" s="4"/>
      <c r="E201" s="4"/>
      <c r="F201" s="4"/>
      <c r="G201" s="4"/>
      <c r="H201" s="4"/>
      <c r="I201" s="4"/>
    </row>
    <row r="202" spans="1:9" ht="15.75" customHeight="1" x14ac:dyDescent="0.25">
      <c r="A202" s="4"/>
      <c r="B202" s="4"/>
      <c r="C202" s="4"/>
      <c r="D202" s="4"/>
      <c r="E202" s="4"/>
      <c r="F202" s="4"/>
      <c r="G202" s="4"/>
      <c r="H202" s="4"/>
      <c r="I202" s="4"/>
    </row>
    <row r="203" spans="1:9" ht="15.75" customHeight="1" x14ac:dyDescent="0.25">
      <c r="A203" s="4"/>
      <c r="B203" s="4"/>
      <c r="C203" s="4"/>
      <c r="D203" s="4"/>
      <c r="E203" s="4"/>
      <c r="F203" s="4"/>
      <c r="G203" s="4"/>
      <c r="H203" s="4"/>
      <c r="I203" s="4"/>
    </row>
    <row r="204" spans="1:9" ht="15.75" customHeight="1" x14ac:dyDescent="0.25">
      <c r="A204" s="4"/>
      <c r="B204" s="4"/>
      <c r="C204" s="4"/>
      <c r="D204" s="4"/>
      <c r="E204" s="4"/>
      <c r="F204" s="4"/>
      <c r="G204" s="4"/>
      <c r="H204" s="4"/>
      <c r="I204" s="4"/>
    </row>
    <row r="205" spans="1:9" ht="15.75" customHeight="1" x14ac:dyDescent="0.25">
      <c r="A205" s="4"/>
      <c r="B205" s="4"/>
      <c r="C205" s="4"/>
      <c r="D205" s="4"/>
      <c r="E205" s="4"/>
      <c r="F205" s="4"/>
      <c r="G205" s="4"/>
      <c r="H205" s="4"/>
      <c r="I205" s="4"/>
    </row>
    <row r="206" spans="1:9" ht="15.75" customHeight="1" x14ac:dyDescent="0.25">
      <c r="A206" s="4"/>
      <c r="B206" s="4"/>
      <c r="C206" s="4"/>
      <c r="D206" s="4"/>
      <c r="E206" s="4"/>
      <c r="F206" s="4"/>
      <c r="G206" s="4"/>
      <c r="H206" s="4"/>
      <c r="I206" s="4"/>
    </row>
    <row r="207" spans="1:9" ht="15.75" customHeight="1" x14ac:dyDescent="0.25">
      <c r="A207" s="4"/>
      <c r="B207" s="4"/>
      <c r="C207" s="4"/>
      <c r="D207" s="4"/>
      <c r="E207" s="4"/>
      <c r="F207" s="4"/>
      <c r="G207" s="4"/>
      <c r="H207" s="4"/>
      <c r="I207" s="4"/>
    </row>
    <row r="208" spans="1:9" ht="15.75" customHeight="1" x14ac:dyDescent="0.25">
      <c r="A208" s="4"/>
      <c r="B208" s="4"/>
      <c r="C208" s="4"/>
      <c r="D208" s="4"/>
      <c r="E208" s="4"/>
      <c r="F208" s="4"/>
      <c r="G208" s="4"/>
      <c r="H208" s="4"/>
      <c r="I208" s="4"/>
    </row>
    <row r="209" spans="1:9" ht="15.75" customHeight="1" x14ac:dyDescent="0.25">
      <c r="A209" s="4"/>
      <c r="B209" s="4"/>
      <c r="C209" s="4"/>
      <c r="D209" s="4"/>
      <c r="E209" s="4"/>
      <c r="F209" s="4"/>
      <c r="G209" s="4"/>
      <c r="H209" s="4"/>
      <c r="I209" s="4"/>
    </row>
    <row r="210" spans="1:9" ht="15.75" customHeight="1" x14ac:dyDescent="0.25">
      <c r="A210" s="4"/>
      <c r="B210" s="4"/>
      <c r="C210" s="4"/>
      <c r="D210" s="4"/>
      <c r="E210" s="4"/>
      <c r="F210" s="4"/>
      <c r="G210" s="4"/>
      <c r="H210" s="4"/>
      <c r="I210" s="4"/>
    </row>
    <row r="211" spans="1:9" ht="15.75" customHeight="1" x14ac:dyDescent="0.25">
      <c r="A211" s="4"/>
      <c r="B211" s="4"/>
      <c r="C211" s="4"/>
      <c r="D211" s="4"/>
      <c r="E211" s="4"/>
      <c r="F211" s="4"/>
      <c r="G211" s="4"/>
      <c r="H211" s="4"/>
      <c r="I211" s="4"/>
    </row>
    <row r="212" spans="1:9" ht="15.75" customHeight="1" x14ac:dyDescent="0.25">
      <c r="A212" s="4"/>
      <c r="B212" s="4"/>
      <c r="C212" s="4"/>
      <c r="D212" s="4"/>
      <c r="E212" s="4"/>
      <c r="F212" s="4"/>
      <c r="G212" s="4"/>
      <c r="H212" s="4"/>
      <c r="I212" s="4"/>
    </row>
    <row r="213" spans="1:9" ht="15.75" customHeight="1" x14ac:dyDescent="0.25">
      <c r="A213" s="4"/>
      <c r="B213" s="4"/>
      <c r="C213" s="4"/>
      <c r="D213" s="4"/>
      <c r="E213" s="4"/>
      <c r="F213" s="4"/>
      <c r="G213" s="4"/>
      <c r="H213" s="4"/>
      <c r="I213" s="4"/>
    </row>
    <row r="214" spans="1:9" ht="15.75" customHeight="1" x14ac:dyDescent="0.25">
      <c r="A214" s="4"/>
      <c r="B214" s="4"/>
      <c r="C214" s="4"/>
      <c r="D214" s="4"/>
      <c r="E214" s="4"/>
      <c r="F214" s="4"/>
      <c r="G214" s="4"/>
      <c r="H214" s="4"/>
      <c r="I214" s="4"/>
    </row>
    <row r="215" spans="1:9" ht="15.75" customHeight="1" x14ac:dyDescent="0.25">
      <c r="A215" s="4"/>
      <c r="B215" s="4"/>
      <c r="C215" s="4"/>
      <c r="D215" s="4"/>
      <c r="E215" s="4"/>
      <c r="F215" s="4"/>
      <c r="G215" s="4"/>
      <c r="H215" s="4"/>
      <c r="I215" s="4"/>
    </row>
    <row r="216" spans="1:9" ht="15.75" customHeight="1" x14ac:dyDescent="0.25">
      <c r="A216" s="4"/>
      <c r="B216" s="4"/>
      <c r="C216" s="4"/>
      <c r="D216" s="4"/>
      <c r="E216" s="4"/>
      <c r="F216" s="4"/>
      <c r="G216" s="4"/>
      <c r="H216" s="4"/>
      <c r="I216" s="4"/>
    </row>
    <row r="217" spans="1:9" ht="15.75" customHeight="1" x14ac:dyDescent="0.25">
      <c r="A217" s="4"/>
      <c r="B217" s="4"/>
      <c r="C217" s="4"/>
      <c r="D217" s="4"/>
      <c r="E217" s="4"/>
      <c r="F217" s="4"/>
      <c r="G217" s="4"/>
      <c r="H217" s="4"/>
      <c r="I217" s="4"/>
    </row>
    <row r="218" spans="1:9" ht="15.75" customHeight="1" x14ac:dyDescent="0.25">
      <c r="A218" s="4"/>
      <c r="B218" s="4"/>
      <c r="C218" s="4"/>
      <c r="D218" s="4"/>
      <c r="E218" s="4"/>
      <c r="F218" s="4"/>
      <c r="G218" s="4"/>
      <c r="H218" s="4"/>
      <c r="I218" s="4"/>
    </row>
    <row r="219" spans="1:9" ht="15.75" customHeight="1" x14ac:dyDescent="0.25">
      <c r="A219" s="4"/>
      <c r="B219" s="4"/>
      <c r="C219" s="4"/>
      <c r="D219" s="4"/>
      <c r="E219" s="4"/>
      <c r="F219" s="4"/>
      <c r="G219" s="4"/>
      <c r="H219" s="4"/>
      <c r="I219" s="4"/>
    </row>
    <row r="220" spans="1:9" ht="15.75" customHeight="1" x14ac:dyDescent="0.25">
      <c r="A220" s="4"/>
      <c r="B220" s="4"/>
      <c r="C220" s="4"/>
      <c r="D220" s="4"/>
      <c r="E220" s="4"/>
      <c r="F220" s="4"/>
      <c r="G220" s="4"/>
      <c r="H220" s="4"/>
      <c r="I220" s="4"/>
    </row>
    <row r="221" spans="1:9" ht="15.75" customHeight="1" x14ac:dyDescent="0.25">
      <c r="A221" s="4"/>
      <c r="B221" s="4"/>
      <c r="C221" s="4"/>
      <c r="D221" s="4"/>
      <c r="E221" s="4"/>
      <c r="F221" s="4"/>
      <c r="G221" s="4"/>
      <c r="H221" s="4"/>
      <c r="I221" s="4"/>
    </row>
    <row r="222" spans="1:9" ht="15.75" customHeight="1" x14ac:dyDescent="0.25">
      <c r="A222" s="4"/>
      <c r="B222" s="4"/>
      <c r="C222" s="4"/>
      <c r="D222" s="4"/>
      <c r="E222" s="4"/>
      <c r="F222" s="4"/>
      <c r="G222" s="4"/>
      <c r="H222" s="4"/>
      <c r="I222" s="4"/>
    </row>
    <row r="223" spans="1:9" ht="15.75" customHeight="1" x14ac:dyDescent="0.25">
      <c r="A223" s="4"/>
      <c r="B223" s="4"/>
      <c r="C223" s="4"/>
      <c r="D223" s="4"/>
      <c r="E223" s="4"/>
      <c r="F223" s="4"/>
      <c r="G223" s="4"/>
      <c r="H223" s="4"/>
      <c r="I223" s="4"/>
    </row>
    <row r="224" spans="1:9" ht="15.75" customHeight="1" x14ac:dyDescent="0.25">
      <c r="A224" s="4"/>
      <c r="B224" s="4"/>
      <c r="C224" s="4"/>
      <c r="D224" s="4"/>
      <c r="E224" s="4"/>
      <c r="F224" s="4"/>
      <c r="G224" s="4"/>
      <c r="H224" s="4"/>
      <c r="I224" s="4"/>
    </row>
    <row r="225" spans="1:9" ht="15.75" customHeight="1" x14ac:dyDescent="0.25">
      <c r="A225" s="4"/>
      <c r="B225" s="4"/>
      <c r="C225" s="4"/>
      <c r="D225" s="4"/>
      <c r="E225" s="4"/>
      <c r="F225" s="4"/>
      <c r="G225" s="4"/>
      <c r="H225" s="4"/>
      <c r="I225" s="4"/>
    </row>
    <row r="226" spans="1:9" ht="15.75" customHeight="1" x14ac:dyDescent="0.25">
      <c r="A226" s="4"/>
      <c r="B226" s="4"/>
      <c r="C226" s="4"/>
      <c r="D226" s="4"/>
      <c r="E226" s="4"/>
      <c r="F226" s="4"/>
      <c r="G226" s="4"/>
      <c r="H226" s="4"/>
      <c r="I226" s="4"/>
    </row>
    <row r="227" spans="1:9" ht="15.75" customHeight="1" x14ac:dyDescent="0.25">
      <c r="A227" s="4"/>
      <c r="B227" s="4"/>
      <c r="C227" s="4"/>
      <c r="D227" s="4"/>
      <c r="E227" s="4"/>
      <c r="F227" s="4"/>
      <c r="G227" s="4"/>
      <c r="H227" s="4"/>
      <c r="I227" s="4"/>
    </row>
    <row r="228" spans="1:9" ht="15.75" customHeight="1" x14ac:dyDescent="0.25">
      <c r="A228" s="4"/>
      <c r="B228" s="4"/>
      <c r="C228" s="4"/>
      <c r="D228" s="4"/>
      <c r="E228" s="4"/>
      <c r="F228" s="4"/>
      <c r="G228" s="4"/>
      <c r="H228" s="4"/>
      <c r="I228" s="4"/>
    </row>
    <row r="229" spans="1:9" ht="15.75" customHeight="1" x14ac:dyDescent="0.25">
      <c r="A229" s="4"/>
      <c r="B229" s="4"/>
      <c r="C229" s="4"/>
      <c r="D229" s="4"/>
      <c r="E229" s="4"/>
      <c r="F229" s="4"/>
      <c r="G229" s="4"/>
      <c r="H229" s="4"/>
      <c r="I229" s="4"/>
    </row>
    <row r="230" spans="1:9" ht="15.75" customHeight="1" x14ac:dyDescent="0.25">
      <c r="A230" s="4"/>
      <c r="B230" s="4"/>
      <c r="C230" s="4"/>
      <c r="D230" s="4"/>
      <c r="E230" s="4"/>
      <c r="F230" s="4"/>
      <c r="G230" s="4"/>
      <c r="H230" s="4"/>
      <c r="I230" s="4"/>
    </row>
    <row r="231" spans="1:9" ht="15.75" customHeight="1" x14ac:dyDescent="0.25">
      <c r="A231" s="4"/>
      <c r="B231" s="4"/>
      <c r="C231" s="4"/>
      <c r="D231" s="4"/>
      <c r="E231" s="4"/>
      <c r="F231" s="4"/>
      <c r="G231" s="4"/>
      <c r="H231" s="4"/>
      <c r="I231" s="4"/>
    </row>
    <row r="232" spans="1:9" ht="15.75" customHeight="1" x14ac:dyDescent="0.25">
      <c r="A232" s="4"/>
      <c r="B232" s="4"/>
      <c r="C232" s="4"/>
      <c r="D232" s="4"/>
      <c r="E232" s="4"/>
      <c r="F232" s="4"/>
      <c r="G232" s="4"/>
      <c r="H232" s="4"/>
      <c r="I232" s="4"/>
    </row>
    <row r="233" spans="1:9" ht="15.75" customHeight="1" x14ac:dyDescent="0.25">
      <c r="A233" s="4"/>
      <c r="B233" s="4"/>
      <c r="C233" s="4"/>
      <c r="D233" s="4"/>
      <c r="E233" s="4"/>
      <c r="F233" s="4"/>
      <c r="G233" s="4"/>
      <c r="H233" s="4"/>
      <c r="I233" s="4"/>
    </row>
    <row r="234" spans="1:9" ht="15.75" customHeight="1" x14ac:dyDescent="0.25">
      <c r="A234" s="4"/>
      <c r="B234" s="4"/>
      <c r="C234" s="4"/>
      <c r="D234" s="4"/>
      <c r="E234" s="4"/>
      <c r="F234" s="4"/>
      <c r="G234" s="4"/>
      <c r="H234" s="4"/>
      <c r="I234" s="4"/>
    </row>
    <row r="235" spans="1:9" ht="15.75" customHeight="1" x14ac:dyDescent="0.25">
      <c r="A235" s="4"/>
      <c r="B235" s="4"/>
      <c r="C235" s="4"/>
      <c r="D235" s="4"/>
      <c r="E235" s="4"/>
      <c r="F235" s="4"/>
      <c r="G235" s="4"/>
      <c r="H235" s="4"/>
      <c r="I235" s="4"/>
    </row>
    <row r="236" spans="1:9" ht="15.75" customHeight="1" x14ac:dyDescent="0.25">
      <c r="A236" s="4"/>
      <c r="B236" s="4"/>
      <c r="C236" s="4"/>
      <c r="D236" s="4"/>
      <c r="E236" s="4"/>
      <c r="F236" s="4"/>
      <c r="G236" s="4"/>
      <c r="H236" s="4"/>
      <c r="I236" s="4"/>
    </row>
    <row r="237" spans="1:9" ht="15.75" customHeight="1" x14ac:dyDescent="0.25">
      <c r="A237" s="4"/>
      <c r="B237" s="4"/>
      <c r="C237" s="4"/>
      <c r="D237" s="4"/>
      <c r="E237" s="4"/>
      <c r="F237" s="4"/>
      <c r="G237" s="4"/>
      <c r="H237" s="4"/>
      <c r="I237" s="4"/>
    </row>
    <row r="238" spans="1:9" ht="15.75" customHeight="1" x14ac:dyDescent="0.25">
      <c r="A238" s="4"/>
      <c r="B238" s="4"/>
      <c r="C238" s="4"/>
      <c r="D238" s="4"/>
      <c r="E238" s="4"/>
      <c r="F238" s="4"/>
      <c r="G238" s="4"/>
      <c r="H238" s="4"/>
      <c r="I238" s="4"/>
    </row>
    <row r="239" spans="1:9" ht="15.75" customHeight="1" x14ac:dyDescent="0.25">
      <c r="A239" s="4"/>
      <c r="B239" s="4"/>
      <c r="C239" s="4"/>
      <c r="D239" s="4"/>
      <c r="E239" s="4"/>
      <c r="F239" s="4"/>
      <c r="G239" s="4"/>
      <c r="H239" s="4"/>
      <c r="I239" s="4"/>
    </row>
    <row r="240" spans="1:9" ht="15.75" customHeight="1" x14ac:dyDescent="0.25">
      <c r="A240" s="4"/>
      <c r="B240" s="4"/>
      <c r="C240" s="4"/>
      <c r="D240" s="4"/>
      <c r="E240" s="4"/>
      <c r="F240" s="4"/>
      <c r="G240" s="4"/>
      <c r="H240" s="4"/>
      <c r="I240" s="4"/>
    </row>
    <row r="241" spans="1:9" ht="15.75" customHeight="1" x14ac:dyDescent="0.25">
      <c r="A241" s="4"/>
      <c r="B241" s="4"/>
      <c r="C241" s="4"/>
      <c r="D241" s="4"/>
      <c r="E241" s="4"/>
      <c r="F241" s="4"/>
      <c r="G241" s="4"/>
      <c r="H241" s="4"/>
      <c r="I241" s="4"/>
    </row>
    <row r="242" spans="1:9" ht="15.75" customHeight="1" x14ac:dyDescent="0.25">
      <c r="A242" s="4"/>
      <c r="B242" s="4"/>
      <c r="C242" s="4"/>
      <c r="D242" s="4"/>
      <c r="E242" s="4"/>
      <c r="F242" s="4"/>
      <c r="G242" s="4"/>
      <c r="H242" s="4"/>
      <c r="I242" s="4"/>
    </row>
    <row r="243" spans="1:9" ht="15.75" customHeight="1" x14ac:dyDescent="0.25">
      <c r="A243" s="4"/>
      <c r="B243" s="4"/>
      <c r="C243" s="4"/>
      <c r="D243" s="4"/>
      <c r="E243" s="4"/>
      <c r="F243" s="4"/>
      <c r="G243" s="4"/>
      <c r="H243" s="4"/>
      <c r="I243" s="4"/>
    </row>
    <row r="244" spans="1:9" ht="15.75" customHeight="1" x14ac:dyDescent="0.25">
      <c r="A244" s="4"/>
      <c r="B244" s="4"/>
      <c r="C244" s="4"/>
      <c r="D244" s="4"/>
      <c r="E244" s="4"/>
      <c r="F244" s="4"/>
      <c r="G244" s="4"/>
      <c r="H244" s="4"/>
      <c r="I244" s="4"/>
    </row>
    <row r="245" spans="1:9" ht="15.75" customHeight="1" x14ac:dyDescent="0.25">
      <c r="A245" s="4"/>
      <c r="B245" s="4"/>
      <c r="C245" s="4"/>
      <c r="D245" s="4"/>
      <c r="E245" s="4"/>
      <c r="F245" s="4"/>
      <c r="G245" s="4"/>
      <c r="H245" s="4"/>
      <c r="I245" s="4"/>
    </row>
    <row r="246" spans="1:9" ht="15.75" customHeight="1" x14ac:dyDescent="0.25">
      <c r="A246" s="4"/>
      <c r="B246" s="4"/>
      <c r="C246" s="4"/>
      <c r="D246" s="4"/>
      <c r="E246" s="4"/>
      <c r="F246" s="4"/>
      <c r="G246" s="4"/>
      <c r="H246" s="4"/>
      <c r="I246" s="4"/>
    </row>
    <row r="247" spans="1:9" ht="15.75" customHeight="1" x14ac:dyDescent="0.25">
      <c r="A247" s="4"/>
      <c r="B247" s="4"/>
      <c r="C247" s="4"/>
      <c r="D247" s="4"/>
      <c r="E247" s="4"/>
      <c r="F247" s="4"/>
      <c r="G247" s="4"/>
      <c r="H247" s="4"/>
      <c r="I247" s="4"/>
    </row>
    <row r="248" spans="1:9" ht="15.75" customHeight="1" x14ac:dyDescent="0.25">
      <c r="A248" s="4"/>
      <c r="B248" s="4"/>
      <c r="C248" s="4"/>
      <c r="D248" s="4"/>
      <c r="E248" s="4"/>
      <c r="F248" s="4"/>
      <c r="G248" s="4"/>
      <c r="H248" s="4"/>
      <c r="I248" s="4"/>
    </row>
    <row r="249" spans="1:9" ht="15.75" customHeight="1" x14ac:dyDescent="0.25">
      <c r="A249" s="4"/>
      <c r="B249" s="4"/>
      <c r="C249" s="4"/>
      <c r="D249" s="4"/>
      <c r="E249" s="4"/>
      <c r="F249" s="4"/>
      <c r="G249" s="4"/>
      <c r="H249" s="4"/>
      <c r="I249" s="4"/>
    </row>
    <row r="250" spans="1:9" ht="15.75" customHeight="1" x14ac:dyDescent="0.25">
      <c r="A250" s="4"/>
      <c r="B250" s="4"/>
      <c r="C250" s="4"/>
      <c r="D250" s="4"/>
      <c r="E250" s="4"/>
      <c r="F250" s="4"/>
      <c r="G250" s="4"/>
      <c r="H250" s="4"/>
      <c r="I250" s="4"/>
    </row>
    <row r="251" spans="1:9" ht="15.75" customHeight="1" x14ac:dyDescent="0.25">
      <c r="A251" s="4"/>
      <c r="B251" s="4"/>
      <c r="C251" s="4"/>
      <c r="D251" s="4"/>
      <c r="E251" s="4"/>
      <c r="F251" s="4"/>
      <c r="G251" s="4"/>
      <c r="H251" s="4"/>
      <c r="I251" s="4"/>
    </row>
    <row r="252" spans="1:9" ht="15.75" customHeight="1" x14ac:dyDescent="0.25">
      <c r="A252" s="4"/>
      <c r="B252" s="4"/>
      <c r="C252" s="4"/>
      <c r="D252" s="4"/>
      <c r="E252" s="4"/>
      <c r="F252" s="4"/>
      <c r="G252" s="4"/>
      <c r="H252" s="4"/>
      <c r="I252" s="4"/>
    </row>
    <row r="253" spans="1:9" ht="15.75" customHeight="1" x14ac:dyDescent="0.25">
      <c r="A253" s="4"/>
      <c r="B253" s="4"/>
      <c r="C253" s="4"/>
      <c r="D253" s="4"/>
      <c r="E253" s="4"/>
      <c r="F253" s="4"/>
      <c r="G253" s="4"/>
      <c r="H253" s="4"/>
      <c r="I253" s="4"/>
    </row>
    <row r="254" spans="1:9" ht="15.75" customHeight="1" x14ac:dyDescent="0.25">
      <c r="A254" s="4"/>
      <c r="B254" s="4"/>
      <c r="C254" s="4"/>
      <c r="D254" s="4"/>
      <c r="E254" s="4"/>
      <c r="F254" s="4"/>
      <c r="G254" s="4"/>
      <c r="H254" s="4"/>
      <c r="I254" s="4"/>
    </row>
    <row r="255" spans="1:9" ht="15.75" customHeight="1" x14ac:dyDescent="0.25">
      <c r="A255" s="4"/>
      <c r="B255" s="4"/>
      <c r="C255" s="4"/>
      <c r="D255" s="4"/>
      <c r="E255" s="4"/>
      <c r="F255" s="4"/>
      <c r="G255" s="4"/>
      <c r="H255" s="4"/>
      <c r="I255" s="4"/>
    </row>
    <row r="256" spans="1:9" ht="15.75" customHeight="1" x14ac:dyDescent="0.25">
      <c r="A256" s="4"/>
      <c r="B256" s="4"/>
      <c r="C256" s="4"/>
      <c r="D256" s="4"/>
      <c r="E256" s="4"/>
      <c r="F256" s="4"/>
      <c r="G256" s="4"/>
      <c r="H256" s="4"/>
      <c r="I256" s="4"/>
    </row>
    <row r="257" spans="1:9" ht="15.75" customHeight="1" x14ac:dyDescent="0.25">
      <c r="A257" s="4"/>
      <c r="B257" s="4"/>
      <c r="C257" s="4"/>
      <c r="D257" s="4"/>
      <c r="E257" s="4"/>
      <c r="F257" s="4"/>
      <c r="G257" s="4"/>
      <c r="H257" s="4"/>
      <c r="I257" s="4"/>
    </row>
    <row r="258" spans="1:9" ht="15.75" customHeight="1" x14ac:dyDescent="0.25">
      <c r="A258" s="4"/>
      <c r="B258" s="4"/>
      <c r="C258" s="4"/>
      <c r="D258" s="4"/>
      <c r="E258" s="4"/>
      <c r="F258" s="4"/>
      <c r="G258" s="4"/>
      <c r="H258" s="4"/>
      <c r="I258" s="4"/>
    </row>
    <row r="259" spans="1:9" ht="15.75" customHeight="1" x14ac:dyDescent="0.25">
      <c r="A259" s="4"/>
      <c r="B259" s="4"/>
      <c r="C259" s="4"/>
      <c r="D259" s="4"/>
      <c r="E259" s="4"/>
      <c r="F259" s="4"/>
      <c r="G259" s="4"/>
      <c r="H259" s="4"/>
      <c r="I259" s="4"/>
    </row>
    <row r="260" spans="1:9" ht="15.75" customHeight="1" x14ac:dyDescent="0.25">
      <c r="A260" s="4"/>
      <c r="B260" s="4"/>
      <c r="C260" s="4"/>
      <c r="D260" s="4"/>
      <c r="E260" s="4"/>
      <c r="F260" s="4"/>
      <c r="G260" s="4"/>
      <c r="H260" s="4"/>
      <c r="I260" s="4"/>
    </row>
    <row r="261" spans="1:9" ht="15.75" customHeight="1" x14ac:dyDescent="0.25">
      <c r="A261" s="4"/>
      <c r="B261" s="4"/>
      <c r="C261" s="4"/>
      <c r="D261" s="4"/>
      <c r="E261" s="4"/>
      <c r="F261" s="4"/>
      <c r="G261" s="4"/>
      <c r="H261" s="4"/>
      <c r="I261" s="4"/>
    </row>
    <row r="262" spans="1:9" ht="15.75" customHeight="1" x14ac:dyDescent="0.25">
      <c r="A262" s="4"/>
      <c r="B262" s="4"/>
      <c r="C262" s="4"/>
      <c r="D262" s="4"/>
      <c r="E262" s="4"/>
      <c r="F262" s="4"/>
      <c r="G262" s="4"/>
      <c r="H262" s="4"/>
      <c r="I262" s="4"/>
    </row>
    <row r="263" spans="1:9" ht="15.75" customHeight="1" x14ac:dyDescent="0.25">
      <c r="A263" s="4"/>
      <c r="B263" s="4"/>
      <c r="C263" s="4"/>
      <c r="D263" s="4"/>
      <c r="E263" s="4"/>
      <c r="F263" s="4"/>
      <c r="G263" s="4"/>
      <c r="H263" s="4"/>
      <c r="I263" s="4"/>
    </row>
    <row r="264" spans="1:9" ht="15.75" customHeight="1" x14ac:dyDescent="0.25">
      <c r="A264" s="4"/>
      <c r="B264" s="4"/>
      <c r="C264" s="4"/>
      <c r="D264" s="4"/>
      <c r="E264" s="4"/>
      <c r="F264" s="4"/>
      <c r="G264" s="4"/>
      <c r="H264" s="4"/>
      <c r="I264" s="4"/>
    </row>
    <row r="265" spans="1:9" ht="15.75" customHeight="1" x14ac:dyDescent="0.25">
      <c r="A265" s="4"/>
      <c r="B265" s="4"/>
      <c r="C265" s="4"/>
      <c r="D265" s="4"/>
      <c r="E265" s="4"/>
      <c r="F265" s="4"/>
      <c r="G265" s="4"/>
      <c r="H265" s="4"/>
      <c r="I265" s="4"/>
    </row>
    <row r="266" spans="1:9" ht="15.75" customHeight="1" x14ac:dyDescent="0.25">
      <c r="A266" s="4"/>
      <c r="B266" s="4"/>
      <c r="C266" s="4"/>
      <c r="D266" s="4"/>
      <c r="E266" s="4"/>
      <c r="F266" s="4"/>
      <c r="G266" s="4"/>
      <c r="H266" s="4"/>
      <c r="I266" s="4"/>
    </row>
    <row r="267" spans="1:9" ht="15.75" customHeight="1" x14ac:dyDescent="0.25">
      <c r="A267" s="4"/>
      <c r="B267" s="4"/>
      <c r="C267" s="4"/>
      <c r="D267" s="4"/>
      <c r="E267" s="4"/>
      <c r="F267" s="4"/>
      <c r="G267" s="4"/>
      <c r="H267" s="4"/>
      <c r="I267" s="4"/>
    </row>
    <row r="268" spans="1:9" ht="15.75" customHeight="1" x14ac:dyDescent="0.25">
      <c r="A268" s="4"/>
      <c r="B268" s="4"/>
      <c r="C268" s="4"/>
      <c r="D268" s="4"/>
      <c r="E268" s="4"/>
      <c r="F268" s="4"/>
      <c r="G268" s="4"/>
      <c r="H268" s="4"/>
      <c r="I268" s="4"/>
    </row>
    <row r="269" spans="1:9" ht="15.75" customHeight="1" x14ac:dyDescent="0.25">
      <c r="A269" s="4"/>
      <c r="B269" s="4"/>
      <c r="C269" s="4"/>
      <c r="D269" s="4"/>
      <c r="E269" s="4"/>
      <c r="F269" s="4"/>
      <c r="G269" s="4"/>
      <c r="H269" s="4"/>
      <c r="I269" s="4"/>
    </row>
    <row r="270" spans="1:9" ht="15.75" customHeight="1" x14ac:dyDescent="0.25">
      <c r="A270" s="4"/>
      <c r="B270" s="4"/>
      <c r="C270" s="4"/>
      <c r="D270" s="4"/>
      <c r="E270" s="4"/>
      <c r="F270" s="4"/>
      <c r="G270" s="4"/>
      <c r="H270" s="4"/>
      <c r="I270" s="4"/>
    </row>
    <row r="271" spans="1:9" ht="15.75" customHeight="1" x14ac:dyDescent="0.25">
      <c r="A271" s="4"/>
      <c r="B271" s="4"/>
      <c r="C271" s="4"/>
      <c r="D271" s="4"/>
      <c r="E271" s="4"/>
      <c r="F271" s="4"/>
      <c r="G271" s="4"/>
      <c r="H271" s="4"/>
      <c r="I271" s="4"/>
    </row>
    <row r="272" spans="1:9" ht="15.75" customHeight="1" x14ac:dyDescent="0.25">
      <c r="A272" s="4"/>
      <c r="B272" s="4"/>
      <c r="C272" s="4"/>
      <c r="D272" s="4"/>
      <c r="E272" s="4"/>
      <c r="F272" s="4"/>
      <c r="G272" s="4"/>
      <c r="H272" s="4"/>
      <c r="I272" s="4"/>
    </row>
    <row r="273" spans="1:9" ht="15.75" customHeight="1" x14ac:dyDescent="0.25">
      <c r="A273" s="4"/>
      <c r="B273" s="4"/>
      <c r="C273" s="4"/>
      <c r="D273" s="4"/>
      <c r="E273" s="4"/>
      <c r="F273" s="4"/>
      <c r="G273" s="4"/>
      <c r="H273" s="4"/>
      <c r="I273" s="4"/>
    </row>
    <row r="274" spans="1:9" ht="15.75" customHeight="1" x14ac:dyDescent="0.25">
      <c r="A274" s="4"/>
      <c r="B274" s="4"/>
      <c r="C274" s="4"/>
      <c r="D274" s="4"/>
      <c r="E274" s="4"/>
      <c r="F274" s="4"/>
      <c r="G274" s="4"/>
      <c r="H274" s="4"/>
      <c r="I274" s="4"/>
    </row>
    <row r="275" spans="1:9" ht="15.75" customHeight="1" x14ac:dyDescent="0.25">
      <c r="A275" s="4"/>
      <c r="B275" s="4"/>
      <c r="C275" s="4"/>
      <c r="D275" s="4"/>
      <c r="E275" s="4"/>
      <c r="F275" s="4"/>
      <c r="G275" s="4"/>
      <c r="H275" s="4"/>
      <c r="I275" s="4"/>
    </row>
    <row r="276" spans="1:9" ht="15.75" customHeight="1" x14ac:dyDescent="0.25">
      <c r="A276" s="4"/>
      <c r="B276" s="4"/>
      <c r="C276" s="4"/>
      <c r="D276" s="4"/>
      <c r="E276" s="4"/>
      <c r="F276" s="4"/>
      <c r="G276" s="4"/>
      <c r="H276" s="4"/>
      <c r="I276" s="4"/>
    </row>
    <row r="277" spans="1:9" ht="15.75" customHeight="1" x14ac:dyDescent="0.25">
      <c r="A277" s="4"/>
      <c r="B277" s="4"/>
      <c r="C277" s="4"/>
      <c r="D277" s="4"/>
      <c r="E277" s="4"/>
      <c r="F277" s="4"/>
      <c r="G277" s="4"/>
      <c r="H277" s="4"/>
      <c r="I277" s="4"/>
    </row>
    <row r="278" spans="1:9" ht="15.75" customHeight="1" x14ac:dyDescent="0.25">
      <c r="A278" s="4"/>
      <c r="B278" s="4"/>
      <c r="C278" s="4"/>
      <c r="D278" s="4"/>
      <c r="E278" s="4"/>
      <c r="F278" s="4"/>
      <c r="G278" s="4"/>
      <c r="H278" s="4"/>
      <c r="I278" s="4"/>
    </row>
    <row r="279" spans="1:9" ht="15.75" customHeight="1" x14ac:dyDescent="0.25">
      <c r="A279" s="4"/>
      <c r="B279" s="4"/>
      <c r="C279" s="4"/>
      <c r="D279" s="4"/>
      <c r="E279" s="4"/>
      <c r="F279" s="4"/>
      <c r="G279" s="4"/>
      <c r="H279" s="4"/>
      <c r="I279" s="4"/>
    </row>
    <row r="280" spans="1:9" ht="15.75" customHeight="1" x14ac:dyDescent="0.25">
      <c r="A280" s="4"/>
      <c r="B280" s="4"/>
      <c r="C280" s="4"/>
      <c r="D280" s="4"/>
      <c r="E280" s="4"/>
      <c r="F280" s="4"/>
      <c r="G280" s="4"/>
      <c r="H280" s="4"/>
      <c r="I280" s="4"/>
    </row>
    <row r="281" spans="1:9" ht="15.75" customHeight="1" x14ac:dyDescent="0.25">
      <c r="A281" s="4"/>
      <c r="B281" s="4"/>
      <c r="C281" s="4"/>
      <c r="D281" s="4"/>
      <c r="E281" s="4"/>
      <c r="F281" s="4"/>
      <c r="G281" s="4"/>
      <c r="H281" s="4"/>
      <c r="I281" s="4"/>
    </row>
    <row r="282" spans="1:9" ht="15.75" customHeight="1" x14ac:dyDescent="0.25">
      <c r="A282" s="4"/>
      <c r="B282" s="4"/>
      <c r="C282" s="4"/>
      <c r="D282" s="4"/>
      <c r="E282" s="4"/>
      <c r="F282" s="4"/>
      <c r="G282" s="4"/>
      <c r="H282" s="4"/>
      <c r="I282" s="4"/>
    </row>
    <row r="283" spans="1:9" ht="15.75" customHeight="1" x14ac:dyDescent="0.25">
      <c r="A283" s="4"/>
      <c r="B283" s="4"/>
      <c r="C283" s="4"/>
      <c r="D283" s="4"/>
      <c r="E283" s="4"/>
      <c r="F283" s="4"/>
      <c r="G283" s="4"/>
      <c r="H283" s="4"/>
      <c r="I283" s="4"/>
    </row>
    <row r="284" spans="1:9" ht="15.75" customHeight="1" x14ac:dyDescent="0.25">
      <c r="A284" s="4"/>
      <c r="B284" s="4"/>
      <c r="C284" s="4"/>
      <c r="D284" s="4"/>
      <c r="E284" s="4"/>
      <c r="F284" s="4"/>
      <c r="G284" s="4"/>
      <c r="H284" s="4"/>
      <c r="I284" s="4"/>
    </row>
    <row r="285" spans="1:9" ht="15.75" customHeight="1" x14ac:dyDescent="0.25">
      <c r="A285" s="4"/>
      <c r="B285" s="4"/>
      <c r="C285" s="4"/>
      <c r="D285" s="4"/>
      <c r="E285" s="4"/>
      <c r="F285" s="4"/>
      <c r="G285" s="4"/>
      <c r="H285" s="4"/>
      <c r="I285" s="4"/>
    </row>
    <row r="286" spans="1:9" ht="15.75" customHeight="1" x14ac:dyDescent="0.25">
      <c r="A286" s="4"/>
      <c r="B286" s="4"/>
      <c r="C286" s="4"/>
      <c r="D286" s="4"/>
      <c r="E286" s="4"/>
      <c r="F286" s="4"/>
      <c r="G286" s="4"/>
      <c r="H286" s="4"/>
      <c r="I286" s="4"/>
    </row>
    <row r="287" spans="1:9" ht="15.75" customHeight="1" x14ac:dyDescent="0.25">
      <c r="A287" s="4"/>
      <c r="B287" s="4"/>
      <c r="C287" s="4"/>
      <c r="D287" s="4"/>
      <c r="E287" s="4"/>
      <c r="F287" s="4"/>
      <c r="G287" s="4"/>
      <c r="H287" s="4"/>
      <c r="I287" s="4"/>
    </row>
    <row r="288" spans="1:9" ht="15.75" customHeight="1" x14ac:dyDescent="0.25">
      <c r="A288" s="4"/>
      <c r="B288" s="4"/>
      <c r="C288" s="4"/>
      <c r="D288" s="4"/>
      <c r="E288" s="4"/>
      <c r="F288" s="4"/>
      <c r="G288" s="4"/>
      <c r="H288" s="4"/>
      <c r="I288" s="4"/>
    </row>
    <row r="289" spans="1:9" ht="15.75" customHeight="1" x14ac:dyDescent="0.25">
      <c r="A289" s="4"/>
      <c r="B289" s="4"/>
      <c r="C289" s="4"/>
      <c r="D289" s="4"/>
      <c r="E289" s="4"/>
      <c r="F289" s="4"/>
      <c r="G289" s="4"/>
      <c r="H289" s="4"/>
      <c r="I289" s="4"/>
    </row>
    <row r="290" spans="1:9" ht="15.75" customHeight="1" x14ac:dyDescent="0.25">
      <c r="A290" s="4"/>
      <c r="B290" s="4"/>
      <c r="C290" s="4"/>
      <c r="D290" s="4"/>
      <c r="E290" s="4"/>
      <c r="F290" s="4"/>
      <c r="G290" s="4"/>
      <c r="H290" s="4"/>
      <c r="I290" s="4"/>
    </row>
    <row r="291" spans="1:9" ht="15.75" customHeight="1" x14ac:dyDescent="0.25">
      <c r="A291" s="4"/>
      <c r="B291" s="4"/>
      <c r="C291" s="4"/>
      <c r="D291" s="4"/>
      <c r="E291" s="4"/>
      <c r="F291" s="4"/>
      <c r="G291" s="4"/>
      <c r="H291" s="4"/>
      <c r="I291" s="4"/>
    </row>
    <row r="292" spans="1:9" ht="15.75" customHeight="1" x14ac:dyDescent="0.25">
      <c r="A292" s="4"/>
      <c r="B292" s="4"/>
      <c r="C292" s="4"/>
      <c r="D292" s="4"/>
      <c r="E292" s="4"/>
      <c r="F292" s="4"/>
      <c r="G292" s="4"/>
      <c r="H292" s="4"/>
      <c r="I292" s="4"/>
    </row>
    <row r="293" spans="1:9" ht="15.75" customHeight="1" x14ac:dyDescent="0.25">
      <c r="A293" s="4"/>
      <c r="B293" s="4"/>
      <c r="C293" s="4"/>
      <c r="D293" s="4"/>
      <c r="E293" s="4"/>
      <c r="F293" s="4"/>
      <c r="G293" s="4"/>
      <c r="H293" s="4"/>
      <c r="I293" s="4"/>
    </row>
    <row r="294" spans="1:9" ht="15.75" customHeight="1" x14ac:dyDescent="0.25">
      <c r="A294" s="4"/>
      <c r="B294" s="4"/>
      <c r="C294" s="4"/>
      <c r="D294" s="4"/>
      <c r="E294" s="4"/>
      <c r="F294" s="4"/>
      <c r="G294" s="4"/>
      <c r="H294" s="4"/>
      <c r="I294" s="4"/>
    </row>
    <row r="295" spans="1:9" ht="15.75" customHeight="1" x14ac:dyDescent="0.25">
      <c r="A295" s="4"/>
      <c r="B295" s="4"/>
      <c r="C295" s="4"/>
      <c r="D295" s="4"/>
      <c r="E295" s="4"/>
      <c r="F295" s="4"/>
      <c r="G295" s="4"/>
      <c r="H295" s="4"/>
      <c r="I295" s="4"/>
    </row>
    <row r="296" spans="1:9" ht="15.75" customHeight="1" x14ac:dyDescent="0.25">
      <c r="A296" s="4"/>
      <c r="B296" s="4"/>
      <c r="C296" s="4"/>
      <c r="D296" s="4"/>
      <c r="E296" s="4"/>
      <c r="F296" s="4"/>
      <c r="G296" s="4"/>
      <c r="H296" s="4"/>
      <c r="I296" s="4"/>
    </row>
    <row r="297" spans="1:9" ht="15.75" customHeight="1" x14ac:dyDescent="0.25">
      <c r="A297" s="4"/>
      <c r="B297" s="4"/>
      <c r="C297" s="4"/>
      <c r="D297" s="4"/>
      <c r="E297" s="4"/>
      <c r="F297" s="4"/>
      <c r="G297" s="4"/>
      <c r="H297" s="4"/>
      <c r="I297" s="4"/>
    </row>
    <row r="298" spans="1:9" ht="15.75" customHeight="1" x14ac:dyDescent="0.25">
      <c r="A298" s="4"/>
      <c r="B298" s="4"/>
      <c r="C298" s="4"/>
      <c r="D298" s="4"/>
      <c r="E298" s="4"/>
      <c r="F298" s="4"/>
      <c r="G298" s="4"/>
      <c r="H298" s="4"/>
      <c r="I298" s="4"/>
    </row>
    <row r="299" spans="1:9" ht="15.75" customHeight="1" x14ac:dyDescent="0.25">
      <c r="A299" s="4"/>
      <c r="B299" s="4"/>
      <c r="C299" s="4"/>
      <c r="D299" s="4"/>
      <c r="E299" s="4"/>
      <c r="F299" s="4"/>
      <c r="G299" s="4"/>
      <c r="H299" s="4"/>
      <c r="I299" s="4"/>
    </row>
    <row r="300" spans="1:9" ht="15.75" customHeight="1" x14ac:dyDescent="0.25">
      <c r="A300" s="4"/>
      <c r="B300" s="4"/>
      <c r="C300" s="4"/>
      <c r="D300" s="4"/>
      <c r="E300" s="4"/>
      <c r="F300" s="4"/>
      <c r="G300" s="4"/>
      <c r="H300" s="4"/>
      <c r="I300" s="4"/>
    </row>
    <row r="301" spans="1:9" ht="15.75" customHeight="1" x14ac:dyDescent="0.25">
      <c r="A301" s="4"/>
      <c r="B301" s="4"/>
      <c r="C301" s="4"/>
      <c r="D301" s="4"/>
      <c r="E301" s="4"/>
      <c r="F301" s="4"/>
      <c r="G301" s="4"/>
      <c r="H301" s="4"/>
      <c r="I301" s="4"/>
    </row>
    <row r="302" spans="1:9" ht="15.75" customHeight="1" x14ac:dyDescent="0.25">
      <c r="A302" s="4"/>
      <c r="B302" s="4"/>
      <c r="C302" s="4"/>
      <c r="D302" s="4"/>
      <c r="E302" s="4"/>
      <c r="F302" s="4"/>
      <c r="G302" s="4"/>
      <c r="H302" s="4"/>
      <c r="I302" s="4"/>
    </row>
    <row r="303" spans="1:9" ht="15.75" customHeight="1" x14ac:dyDescent="0.25">
      <c r="A303" s="4"/>
      <c r="B303" s="4"/>
      <c r="C303" s="4"/>
      <c r="D303" s="4"/>
      <c r="E303" s="4"/>
      <c r="F303" s="4"/>
      <c r="G303" s="4"/>
      <c r="H303" s="4"/>
      <c r="I303" s="4"/>
    </row>
    <row r="304" spans="1:9" ht="15.75" customHeight="1" x14ac:dyDescent="0.25">
      <c r="A304" s="4"/>
      <c r="B304" s="4"/>
      <c r="C304" s="4"/>
      <c r="D304" s="4"/>
      <c r="E304" s="4"/>
      <c r="F304" s="4"/>
      <c r="G304" s="4"/>
      <c r="H304" s="4"/>
      <c r="I304" s="4"/>
    </row>
    <row r="305" spans="1:9" ht="15.75" customHeight="1" x14ac:dyDescent="0.25">
      <c r="A305" s="4"/>
      <c r="B305" s="4"/>
      <c r="C305" s="4"/>
      <c r="D305" s="4"/>
      <c r="E305" s="4"/>
      <c r="F305" s="4"/>
      <c r="G305" s="4"/>
      <c r="H305" s="4"/>
      <c r="I305" s="4"/>
    </row>
    <row r="306" spans="1:9" ht="15.75" customHeight="1" x14ac:dyDescent="0.25">
      <c r="A306" s="4"/>
      <c r="B306" s="4"/>
      <c r="C306" s="4"/>
      <c r="D306" s="4"/>
      <c r="E306" s="4"/>
      <c r="F306" s="4"/>
      <c r="G306" s="4"/>
      <c r="H306" s="4"/>
      <c r="I306" s="4"/>
    </row>
    <row r="307" spans="1:9" ht="15.75" customHeight="1" x14ac:dyDescent="0.25">
      <c r="A307" s="4"/>
      <c r="B307" s="4"/>
      <c r="C307" s="4"/>
      <c r="D307" s="4"/>
      <c r="E307" s="4"/>
      <c r="F307" s="4"/>
      <c r="G307" s="4"/>
      <c r="H307" s="4"/>
      <c r="I307" s="4"/>
    </row>
    <row r="308" spans="1:9" ht="15.75" customHeight="1" x14ac:dyDescent="0.25">
      <c r="A308" s="4"/>
      <c r="B308" s="4"/>
      <c r="C308" s="4"/>
      <c r="D308" s="4"/>
      <c r="E308" s="4"/>
      <c r="F308" s="4"/>
      <c r="G308" s="4"/>
      <c r="H308" s="4"/>
      <c r="I308" s="4"/>
    </row>
    <row r="309" spans="1:9" ht="15.75" customHeight="1" x14ac:dyDescent="0.25">
      <c r="A309" s="4"/>
      <c r="B309" s="4"/>
      <c r="C309" s="4"/>
      <c r="D309" s="4"/>
      <c r="E309" s="4"/>
      <c r="F309" s="4"/>
      <c r="G309" s="4"/>
      <c r="H309" s="4"/>
      <c r="I309" s="4"/>
    </row>
    <row r="310" spans="1:9" ht="15.75" customHeight="1" x14ac:dyDescent="0.25">
      <c r="A310" s="4"/>
      <c r="B310" s="4"/>
      <c r="C310" s="4"/>
      <c r="D310" s="4"/>
      <c r="E310" s="4"/>
      <c r="F310" s="4"/>
      <c r="G310" s="4"/>
      <c r="H310" s="4"/>
      <c r="I310" s="4"/>
    </row>
    <row r="311" spans="1:9" ht="15.75" customHeight="1" x14ac:dyDescent="0.25">
      <c r="A311" s="4"/>
      <c r="B311" s="4"/>
      <c r="C311" s="4"/>
      <c r="D311" s="4"/>
      <c r="E311" s="4"/>
      <c r="F311" s="4"/>
      <c r="G311" s="4"/>
      <c r="H311" s="4"/>
      <c r="I311" s="4"/>
    </row>
    <row r="312" spans="1:9" ht="15.75" customHeight="1" x14ac:dyDescent="0.25">
      <c r="A312" s="4"/>
      <c r="B312" s="4"/>
      <c r="C312" s="4"/>
      <c r="D312" s="4"/>
      <c r="E312" s="4"/>
      <c r="F312" s="4"/>
      <c r="G312" s="4"/>
      <c r="H312" s="4"/>
      <c r="I312" s="4"/>
    </row>
    <row r="313" spans="1:9" ht="15.75" customHeight="1" x14ac:dyDescent="0.25">
      <c r="A313" s="4"/>
      <c r="B313" s="4"/>
      <c r="C313" s="4"/>
      <c r="D313" s="4"/>
      <c r="E313" s="4"/>
      <c r="F313" s="4"/>
      <c r="G313" s="4"/>
      <c r="H313" s="4"/>
      <c r="I313" s="4"/>
    </row>
    <row r="314" spans="1:9" ht="15.75" customHeight="1" x14ac:dyDescent="0.25">
      <c r="A314" s="4"/>
      <c r="B314" s="4"/>
      <c r="C314" s="4"/>
      <c r="D314" s="4"/>
      <c r="E314" s="4"/>
      <c r="F314" s="4"/>
      <c r="G314" s="4"/>
      <c r="H314" s="4"/>
      <c r="I314" s="4"/>
    </row>
    <row r="315" spans="1:9" ht="15.75" customHeight="1" x14ac:dyDescent="0.25">
      <c r="A315" s="4"/>
      <c r="B315" s="4"/>
      <c r="C315" s="4"/>
      <c r="D315" s="4"/>
      <c r="E315" s="4"/>
      <c r="F315" s="4"/>
      <c r="G315" s="4"/>
      <c r="H315" s="4"/>
      <c r="I315" s="4"/>
    </row>
    <row r="316" spans="1:9" ht="15.75" customHeight="1" x14ac:dyDescent="0.25">
      <c r="A316" s="4"/>
      <c r="B316" s="4"/>
      <c r="C316" s="4"/>
      <c r="D316" s="4"/>
      <c r="E316" s="4"/>
      <c r="F316" s="4"/>
      <c r="G316" s="4"/>
      <c r="H316" s="4"/>
      <c r="I316" s="4"/>
    </row>
    <row r="317" spans="1:9" ht="15.75" customHeight="1" x14ac:dyDescent="0.25">
      <c r="A317" s="4"/>
      <c r="B317" s="4"/>
      <c r="C317" s="4"/>
      <c r="D317" s="4"/>
      <c r="E317" s="4"/>
      <c r="F317" s="4"/>
      <c r="G317" s="4"/>
      <c r="H317" s="4"/>
      <c r="I317" s="4"/>
    </row>
    <row r="318" spans="1:9" ht="15.75" customHeight="1" x14ac:dyDescent="0.25">
      <c r="A318" s="4"/>
      <c r="B318" s="4"/>
      <c r="C318" s="4"/>
      <c r="D318" s="4"/>
      <c r="E318" s="4"/>
      <c r="F318" s="4"/>
      <c r="G318" s="4"/>
      <c r="H318" s="4"/>
      <c r="I318" s="4"/>
    </row>
    <row r="319" spans="1:9" ht="15.75" customHeight="1" x14ac:dyDescent="0.25">
      <c r="A319" s="4"/>
      <c r="B319" s="4"/>
      <c r="C319" s="4"/>
      <c r="D319" s="4"/>
      <c r="E319" s="4"/>
      <c r="F319" s="4"/>
      <c r="G319" s="4"/>
      <c r="H319" s="4"/>
      <c r="I319" s="4"/>
    </row>
    <row r="320" spans="1:9" ht="15.75" customHeight="1" x14ac:dyDescent="0.25">
      <c r="A320" s="4"/>
      <c r="B320" s="4"/>
      <c r="C320" s="4"/>
      <c r="D320" s="4"/>
      <c r="E320" s="4"/>
      <c r="F320" s="4"/>
      <c r="G320" s="4"/>
      <c r="H320" s="4"/>
      <c r="I320" s="4"/>
    </row>
    <row r="321" spans="1:9" ht="15.75" customHeight="1" x14ac:dyDescent="0.25">
      <c r="A321" s="4"/>
      <c r="B321" s="4"/>
      <c r="C321" s="4"/>
      <c r="D321" s="4"/>
      <c r="E321" s="4"/>
      <c r="F321" s="4"/>
      <c r="G321" s="4"/>
      <c r="H321" s="4"/>
      <c r="I321" s="4"/>
    </row>
    <row r="322" spans="1:9" ht="15.75" customHeight="1" x14ac:dyDescent="0.25">
      <c r="A322" s="4"/>
      <c r="B322" s="4"/>
      <c r="C322" s="4"/>
      <c r="D322" s="4"/>
      <c r="E322" s="4"/>
      <c r="F322" s="4"/>
      <c r="G322" s="4"/>
      <c r="H322" s="4"/>
      <c r="I322" s="4"/>
    </row>
    <row r="323" spans="1:9" ht="15.75" customHeight="1" x14ac:dyDescent="0.25">
      <c r="A323" s="4"/>
      <c r="B323" s="4"/>
      <c r="C323" s="4"/>
      <c r="D323" s="4"/>
      <c r="E323" s="4"/>
      <c r="F323" s="4"/>
      <c r="G323" s="4"/>
      <c r="H323" s="4"/>
      <c r="I323" s="4"/>
    </row>
    <row r="324" spans="1:9" ht="15.75" customHeight="1" x14ac:dyDescent="0.25">
      <c r="A324" s="4"/>
      <c r="B324" s="4"/>
      <c r="C324" s="4"/>
      <c r="D324" s="4"/>
      <c r="E324" s="4"/>
      <c r="F324" s="4"/>
      <c r="G324" s="4"/>
      <c r="H324" s="4"/>
      <c r="I324" s="4"/>
    </row>
    <row r="325" spans="1:9" ht="15.75" customHeight="1" x14ac:dyDescent="0.25">
      <c r="A325" s="4"/>
      <c r="B325" s="4"/>
      <c r="C325" s="4"/>
      <c r="D325" s="4"/>
      <c r="E325" s="4"/>
      <c r="F325" s="4"/>
      <c r="G325" s="4"/>
      <c r="H325" s="4"/>
      <c r="I325" s="4"/>
    </row>
    <row r="326" spans="1:9" ht="15.75" customHeight="1" x14ac:dyDescent="0.25">
      <c r="A326" s="4"/>
      <c r="B326" s="4"/>
      <c r="C326" s="4"/>
      <c r="D326" s="4"/>
      <c r="E326" s="4"/>
      <c r="F326" s="4"/>
      <c r="G326" s="4"/>
      <c r="H326" s="4"/>
      <c r="I326" s="4"/>
    </row>
    <row r="327" spans="1:9" ht="15.75" customHeight="1" x14ac:dyDescent="0.25">
      <c r="A327" s="4"/>
      <c r="B327" s="4"/>
      <c r="C327" s="4"/>
      <c r="D327" s="4"/>
      <c r="E327" s="4"/>
      <c r="F327" s="4"/>
      <c r="G327" s="4"/>
      <c r="H327" s="4"/>
      <c r="I327" s="4"/>
    </row>
    <row r="328" spans="1:9" ht="15.75" customHeight="1" x14ac:dyDescent="0.25">
      <c r="A328" s="4"/>
      <c r="B328" s="4"/>
      <c r="C328" s="4"/>
      <c r="D328" s="4"/>
      <c r="E328" s="4"/>
      <c r="F328" s="4"/>
      <c r="G328" s="4"/>
      <c r="H328" s="4"/>
      <c r="I328" s="4"/>
    </row>
    <row r="329" spans="1:9" ht="15.75" customHeight="1" x14ac:dyDescent="0.25">
      <c r="A329" s="4"/>
      <c r="B329" s="4"/>
      <c r="C329" s="4"/>
      <c r="D329" s="4"/>
      <c r="E329" s="4"/>
      <c r="F329" s="4"/>
      <c r="G329" s="4"/>
      <c r="H329" s="4"/>
      <c r="I329" s="4"/>
    </row>
    <row r="330" spans="1:9" ht="15.75" customHeight="1" x14ac:dyDescent="0.25">
      <c r="A330" s="4"/>
      <c r="B330" s="4"/>
      <c r="C330" s="4"/>
      <c r="D330" s="4"/>
      <c r="E330" s="4"/>
      <c r="F330" s="4"/>
      <c r="G330" s="4"/>
      <c r="H330" s="4"/>
      <c r="I330" s="4"/>
    </row>
    <row r="331" spans="1:9" ht="15.75" customHeight="1" x14ac:dyDescent="0.25">
      <c r="A331" s="4"/>
      <c r="B331" s="4"/>
      <c r="C331" s="4"/>
      <c r="D331" s="4"/>
      <c r="E331" s="4"/>
      <c r="F331" s="4"/>
      <c r="G331" s="4"/>
      <c r="H331" s="4"/>
      <c r="I331" s="4"/>
    </row>
    <row r="332" spans="1:9" ht="15.75" customHeight="1" x14ac:dyDescent="0.25">
      <c r="A332" s="4"/>
      <c r="B332" s="4"/>
      <c r="C332" s="4"/>
      <c r="D332" s="4"/>
      <c r="E332" s="4"/>
      <c r="F332" s="4"/>
      <c r="G332" s="4"/>
      <c r="H332" s="4"/>
      <c r="I332" s="4"/>
    </row>
    <row r="333" spans="1:9" ht="15.75" customHeight="1" x14ac:dyDescent="0.25">
      <c r="A333" s="4"/>
      <c r="B333" s="4"/>
      <c r="C333" s="4"/>
      <c r="D333" s="4"/>
      <c r="E333" s="4"/>
      <c r="F333" s="4"/>
      <c r="G333" s="4"/>
      <c r="H333" s="4"/>
      <c r="I333" s="4"/>
    </row>
    <row r="334" spans="1:9" ht="15.75" customHeight="1" x14ac:dyDescent="0.25">
      <c r="A334" s="4"/>
      <c r="B334" s="4"/>
      <c r="C334" s="4"/>
      <c r="D334" s="4"/>
      <c r="E334" s="4"/>
      <c r="F334" s="4"/>
      <c r="G334" s="4"/>
      <c r="H334" s="4"/>
      <c r="I334" s="4"/>
    </row>
    <row r="335" spans="1:9" ht="15.75" customHeight="1" x14ac:dyDescent="0.25">
      <c r="A335" s="4"/>
      <c r="B335" s="4"/>
      <c r="C335" s="4"/>
      <c r="D335" s="4"/>
      <c r="E335" s="4"/>
      <c r="F335" s="4"/>
      <c r="G335" s="4"/>
      <c r="H335" s="4"/>
      <c r="I335" s="4"/>
    </row>
    <row r="336" spans="1:9" ht="15.75" customHeight="1" x14ac:dyDescent="0.25">
      <c r="A336" s="4"/>
      <c r="B336" s="4"/>
      <c r="C336" s="4"/>
      <c r="D336" s="4"/>
      <c r="E336" s="4"/>
      <c r="F336" s="4"/>
      <c r="G336" s="4"/>
      <c r="H336" s="4"/>
      <c r="I336" s="4"/>
    </row>
    <row r="337" spans="1:9" ht="15.75" customHeight="1" x14ac:dyDescent="0.25">
      <c r="A337" s="4"/>
      <c r="B337" s="4"/>
      <c r="C337" s="4"/>
      <c r="D337" s="4"/>
      <c r="E337" s="4"/>
      <c r="F337" s="4"/>
      <c r="G337" s="4"/>
      <c r="H337" s="4"/>
      <c r="I337" s="4"/>
    </row>
    <row r="338" spans="1:9" ht="15.75" customHeight="1" x14ac:dyDescent="0.25">
      <c r="A338" s="4"/>
      <c r="B338" s="4"/>
      <c r="C338" s="4"/>
      <c r="D338" s="4"/>
      <c r="E338" s="4"/>
      <c r="F338" s="4"/>
      <c r="G338" s="4"/>
      <c r="H338" s="4"/>
      <c r="I338" s="4"/>
    </row>
    <row r="339" spans="1:9" ht="15.75" customHeight="1" x14ac:dyDescent="0.25">
      <c r="A339" s="4"/>
      <c r="B339" s="4"/>
      <c r="C339" s="4"/>
      <c r="D339" s="4"/>
      <c r="E339" s="4"/>
      <c r="F339" s="4"/>
      <c r="G339" s="4"/>
      <c r="H339" s="4"/>
      <c r="I339" s="4"/>
    </row>
    <row r="340" spans="1:9" ht="15.75" customHeight="1" x14ac:dyDescent="0.25">
      <c r="A340" s="4"/>
      <c r="B340" s="4"/>
      <c r="C340" s="4"/>
      <c r="D340" s="4"/>
      <c r="E340" s="4"/>
      <c r="F340" s="4"/>
      <c r="G340" s="4"/>
      <c r="H340" s="4"/>
      <c r="I340" s="4"/>
    </row>
    <row r="341" spans="1:9" ht="15.75" customHeight="1" x14ac:dyDescent="0.25">
      <c r="A341" s="4"/>
      <c r="B341" s="4"/>
      <c r="C341" s="4"/>
      <c r="D341" s="4"/>
      <c r="E341" s="4"/>
      <c r="F341" s="4"/>
      <c r="G341" s="4"/>
      <c r="H341" s="4"/>
      <c r="I341" s="4"/>
    </row>
    <row r="342" spans="1:9" ht="15.75" customHeight="1" x14ac:dyDescent="0.25">
      <c r="A342" s="4"/>
      <c r="B342" s="4"/>
      <c r="C342" s="4"/>
      <c r="D342" s="4"/>
      <c r="E342" s="4"/>
      <c r="F342" s="4"/>
      <c r="G342" s="4"/>
      <c r="H342" s="4"/>
      <c r="I342" s="4"/>
    </row>
    <row r="343" spans="1:9" ht="15.75" customHeight="1" x14ac:dyDescent="0.25">
      <c r="A343" s="4"/>
      <c r="B343" s="4"/>
      <c r="C343" s="4"/>
      <c r="D343" s="4"/>
      <c r="E343" s="4"/>
      <c r="F343" s="4"/>
      <c r="G343" s="4"/>
      <c r="H343" s="4"/>
      <c r="I343" s="4"/>
    </row>
    <row r="344" spans="1:9" ht="15.75" customHeight="1" x14ac:dyDescent="0.25">
      <c r="A344" s="4"/>
      <c r="B344" s="4"/>
      <c r="C344" s="4"/>
      <c r="D344" s="4"/>
      <c r="E344" s="4"/>
      <c r="F344" s="4"/>
      <c r="G344" s="4"/>
      <c r="H344" s="4"/>
      <c r="I344" s="4"/>
    </row>
    <row r="345" spans="1:9" ht="15.75" customHeight="1" x14ac:dyDescent="0.25">
      <c r="A345" s="4"/>
      <c r="B345" s="4"/>
      <c r="C345" s="4"/>
      <c r="D345" s="4"/>
      <c r="E345" s="4"/>
      <c r="F345" s="4"/>
      <c r="G345" s="4"/>
      <c r="H345" s="4"/>
      <c r="I345" s="4"/>
    </row>
    <row r="346" spans="1:9" ht="15.75" customHeight="1" x14ac:dyDescent="0.25">
      <c r="A346" s="4"/>
      <c r="B346" s="4"/>
      <c r="C346" s="4"/>
      <c r="D346" s="4"/>
      <c r="E346" s="4"/>
      <c r="F346" s="4"/>
      <c r="G346" s="4"/>
      <c r="H346" s="4"/>
      <c r="I346" s="4"/>
    </row>
    <row r="347" spans="1:9" ht="15.75" customHeight="1" x14ac:dyDescent="0.25">
      <c r="A347" s="4"/>
      <c r="B347" s="4"/>
      <c r="C347" s="4"/>
      <c r="D347" s="4"/>
      <c r="E347" s="4"/>
      <c r="F347" s="4"/>
      <c r="G347" s="4"/>
      <c r="H347" s="4"/>
      <c r="I347" s="4"/>
    </row>
    <row r="348" spans="1:9" ht="15.75" customHeight="1" x14ac:dyDescent="0.25">
      <c r="A348" s="4"/>
      <c r="B348" s="4"/>
      <c r="C348" s="4"/>
      <c r="D348" s="4"/>
      <c r="E348" s="4"/>
      <c r="F348" s="4"/>
      <c r="G348" s="4"/>
      <c r="H348" s="4"/>
      <c r="I348" s="4"/>
    </row>
    <row r="349" spans="1:9" ht="15.75" customHeight="1" x14ac:dyDescent="0.25">
      <c r="A349" s="4"/>
      <c r="B349" s="4"/>
      <c r="C349" s="4"/>
      <c r="D349" s="4"/>
      <c r="E349" s="4"/>
      <c r="F349" s="4"/>
      <c r="G349" s="4"/>
      <c r="H349" s="4"/>
      <c r="I349" s="4"/>
    </row>
    <row r="350" spans="1:9" ht="15.75" customHeight="1" x14ac:dyDescent="0.25">
      <c r="A350" s="4"/>
      <c r="B350" s="4"/>
      <c r="C350" s="4"/>
      <c r="D350" s="4"/>
      <c r="E350" s="4"/>
      <c r="F350" s="4"/>
      <c r="G350" s="4"/>
      <c r="H350" s="4"/>
      <c r="I350" s="4"/>
    </row>
    <row r="351" spans="1:9" ht="15.75" customHeight="1" x14ac:dyDescent="0.25">
      <c r="A351" s="4"/>
      <c r="B351" s="4"/>
      <c r="C351" s="4"/>
      <c r="D351" s="4"/>
      <c r="E351" s="4"/>
      <c r="F351" s="4"/>
      <c r="G351" s="4"/>
      <c r="H351" s="4"/>
      <c r="I351" s="4"/>
    </row>
    <row r="352" spans="1:9" ht="15.75" customHeight="1" x14ac:dyDescent="0.25">
      <c r="A352" s="4"/>
      <c r="B352" s="4"/>
      <c r="C352" s="4"/>
      <c r="D352" s="4"/>
      <c r="E352" s="4"/>
      <c r="F352" s="4"/>
      <c r="G352" s="4"/>
      <c r="H352" s="4"/>
      <c r="I352" s="4"/>
    </row>
    <row r="353" spans="1:9" ht="15.75" customHeight="1" x14ac:dyDescent="0.25">
      <c r="A353" s="4"/>
      <c r="B353" s="4"/>
      <c r="C353" s="4"/>
      <c r="D353" s="4"/>
      <c r="E353" s="4"/>
      <c r="F353" s="4"/>
      <c r="G353" s="4"/>
      <c r="H353" s="4"/>
      <c r="I353" s="4"/>
    </row>
    <row r="354" spans="1:9" ht="15.75" customHeight="1" x14ac:dyDescent="0.25">
      <c r="A354" s="4"/>
      <c r="B354" s="4"/>
      <c r="C354" s="4"/>
      <c r="D354" s="4"/>
      <c r="E354" s="4"/>
      <c r="F354" s="4"/>
      <c r="G354" s="4"/>
      <c r="H354" s="4"/>
      <c r="I354" s="4"/>
    </row>
    <row r="355" spans="1:9" ht="15.75" customHeight="1" x14ac:dyDescent="0.25">
      <c r="A355" s="4"/>
      <c r="B355" s="4"/>
      <c r="C355" s="4"/>
      <c r="D355" s="4"/>
      <c r="E355" s="4"/>
      <c r="F355" s="4"/>
      <c r="G355" s="4"/>
      <c r="H355" s="4"/>
      <c r="I355" s="4"/>
    </row>
    <row r="356" spans="1:9" ht="15.75" customHeight="1" x14ac:dyDescent="0.25">
      <c r="A356" s="4"/>
      <c r="B356" s="4"/>
      <c r="C356" s="4"/>
      <c r="D356" s="4"/>
      <c r="E356" s="4"/>
      <c r="F356" s="4"/>
      <c r="G356" s="4"/>
      <c r="H356" s="4"/>
      <c r="I356" s="4"/>
    </row>
    <row r="357" spans="1:9" ht="15.75" customHeight="1" x14ac:dyDescent="0.25">
      <c r="A357" s="4"/>
      <c r="B357" s="4"/>
      <c r="C357" s="4"/>
      <c r="D357" s="4"/>
      <c r="E357" s="4"/>
      <c r="F357" s="4"/>
      <c r="G357" s="4"/>
      <c r="H357" s="4"/>
      <c r="I357" s="4"/>
    </row>
    <row r="358" spans="1:9" ht="15.75" customHeight="1" x14ac:dyDescent="0.25">
      <c r="A358" s="4"/>
      <c r="B358" s="4"/>
      <c r="C358" s="4"/>
      <c r="D358" s="4"/>
      <c r="E358" s="4"/>
      <c r="F358" s="4"/>
      <c r="G358" s="4"/>
      <c r="H358" s="4"/>
      <c r="I358" s="4"/>
    </row>
    <row r="359" spans="1:9" ht="15.75" customHeight="1" x14ac:dyDescent="0.25">
      <c r="A359" s="4"/>
      <c r="B359" s="4"/>
      <c r="C359" s="4"/>
      <c r="D359" s="4"/>
      <c r="E359" s="4"/>
      <c r="F359" s="4"/>
      <c r="G359" s="4"/>
      <c r="H359" s="4"/>
      <c r="I359" s="4"/>
    </row>
    <row r="360" spans="1:9" ht="15.75" customHeight="1" x14ac:dyDescent="0.25">
      <c r="A360" s="4"/>
      <c r="B360" s="4"/>
      <c r="C360" s="4"/>
      <c r="D360" s="4"/>
      <c r="E360" s="4"/>
      <c r="F360" s="4"/>
      <c r="G360" s="4"/>
      <c r="H360" s="4"/>
      <c r="I360" s="4"/>
    </row>
    <row r="361" spans="1:9" ht="15.75" customHeight="1" x14ac:dyDescent="0.25">
      <c r="A361" s="4"/>
      <c r="B361" s="4"/>
      <c r="C361" s="4"/>
      <c r="D361" s="4"/>
      <c r="E361" s="4"/>
      <c r="F361" s="4"/>
      <c r="G361" s="4"/>
      <c r="H361" s="4"/>
      <c r="I361" s="4"/>
    </row>
    <row r="362" spans="1:9" ht="15.75" customHeight="1" x14ac:dyDescent="0.25">
      <c r="A362" s="4"/>
      <c r="B362" s="4"/>
      <c r="C362" s="4"/>
      <c r="D362" s="4"/>
      <c r="E362" s="4"/>
      <c r="F362" s="4"/>
      <c r="G362" s="4"/>
      <c r="H362" s="4"/>
      <c r="I362" s="4"/>
    </row>
    <row r="363" spans="1:9" ht="15.75" customHeight="1" x14ac:dyDescent="0.25">
      <c r="A363" s="4"/>
      <c r="B363" s="4"/>
      <c r="C363" s="4"/>
      <c r="D363" s="4"/>
      <c r="E363" s="4"/>
      <c r="F363" s="4"/>
      <c r="G363" s="4"/>
      <c r="H363" s="4"/>
      <c r="I363" s="4"/>
    </row>
    <row r="364" spans="1:9" ht="15.75" customHeight="1" x14ac:dyDescent="0.25">
      <c r="A364" s="4"/>
      <c r="B364" s="4"/>
      <c r="C364" s="4"/>
      <c r="D364" s="4"/>
      <c r="E364" s="4"/>
      <c r="F364" s="4"/>
      <c r="G364" s="4"/>
      <c r="H364" s="4"/>
      <c r="I364" s="4"/>
    </row>
    <row r="365" spans="1:9" ht="15.75" customHeight="1" x14ac:dyDescent="0.25">
      <c r="A365" s="4"/>
      <c r="B365" s="4"/>
      <c r="C365" s="4"/>
      <c r="D365" s="4"/>
      <c r="E365" s="4"/>
      <c r="F365" s="4"/>
      <c r="G365" s="4"/>
      <c r="H365" s="4"/>
      <c r="I365" s="4"/>
    </row>
    <row r="366" spans="1:9" ht="15.75" customHeight="1" x14ac:dyDescent="0.25">
      <c r="A366" s="4"/>
      <c r="B366" s="4"/>
      <c r="C366" s="4"/>
      <c r="D366" s="4"/>
      <c r="E366" s="4"/>
      <c r="F366" s="4"/>
      <c r="G366" s="4"/>
      <c r="H366" s="4"/>
      <c r="I366" s="4"/>
    </row>
    <row r="367" spans="1:9" ht="15.75" customHeight="1" x14ac:dyDescent="0.25">
      <c r="A367" s="4"/>
      <c r="B367" s="4"/>
      <c r="C367" s="4"/>
      <c r="D367" s="4"/>
      <c r="E367" s="4"/>
      <c r="F367" s="4"/>
      <c r="G367" s="4"/>
      <c r="H367" s="4"/>
      <c r="I367" s="4"/>
    </row>
    <row r="368" spans="1:9" ht="15.75" customHeight="1" x14ac:dyDescent="0.25">
      <c r="A368" s="4"/>
      <c r="B368" s="4"/>
      <c r="C368" s="4"/>
      <c r="D368" s="4"/>
      <c r="E368" s="4"/>
      <c r="F368" s="4"/>
      <c r="G368" s="4"/>
      <c r="H368" s="4"/>
      <c r="I368" s="4"/>
    </row>
    <row r="369" spans="1:9" ht="15.75" customHeight="1" x14ac:dyDescent="0.25">
      <c r="A369" s="4"/>
      <c r="B369" s="4"/>
      <c r="C369" s="4"/>
      <c r="D369" s="4"/>
      <c r="E369" s="4"/>
      <c r="F369" s="4"/>
      <c r="G369" s="4"/>
      <c r="H369" s="4"/>
      <c r="I369" s="4"/>
    </row>
    <row r="370" spans="1:9" ht="15.75" customHeight="1" x14ac:dyDescent="0.25">
      <c r="A370" s="4"/>
      <c r="B370" s="4"/>
      <c r="C370" s="4"/>
      <c r="D370" s="4"/>
      <c r="E370" s="4"/>
      <c r="F370" s="4"/>
      <c r="G370" s="4"/>
      <c r="H370" s="4"/>
      <c r="I370" s="4"/>
    </row>
    <row r="371" spans="1:9" ht="15.75" customHeight="1" x14ac:dyDescent="0.25">
      <c r="A371" s="4"/>
      <c r="B371" s="4"/>
      <c r="C371" s="4"/>
      <c r="D371" s="4"/>
      <c r="E371" s="4"/>
      <c r="F371" s="4"/>
      <c r="G371" s="4"/>
      <c r="H371" s="4"/>
      <c r="I371" s="4"/>
    </row>
    <row r="372" spans="1:9" ht="15.75" customHeight="1" x14ac:dyDescent="0.25">
      <c r="A372" s="4"/>
      <c r="B372" s="4"/>
      <c r="C372" s="4"/>
      <c r="D372" s="4"/>
      <c r="E372" s="4"/>
      <c r="F372" s="4"/>
      <c r="G372" s="4"/>
      <c r="H372" s="4"/>
      <c r="I372" s="4"/>
    </row>
    <row r="373" spans="1:9" ht="15.75" customHeight="1" x14ac:dyDescent="0.25">
      <c r="A373" s="4"/>
      <c r="B373" s="4"/>
      <c r="C373" s="4"/>
      <c r="D373" s="4"/>
      <c r="E373" s="4"/>
      <c r="F373" s="4"/>
      <c r="G373" s="4"/>
      <c r="H373" s="4"/>
      <c r="I373" s="4"/>
    </row>
    <row r="374" spans="1:9" ht="15.75" customHeight="1" x14ac:dyDescent="0.25">
      <c r="A374" s="4"/>
      <c r="B374" s="4"/>
      <c r="C374" s="4"/>
      <c r="D374" s="4"/>
      <c r="E374" s="4"/>
      <c r="F374" s="4"/>
      <c r="G374" s="4"/>
      <c r="H374" s="4"/>
      <c r="I374" s="4"/>
    </row>
    <row r="375" spans="1:9" ht="15.75" customHeight="1" x14ac:dyDescent="0.25">
      <c r="A375" s="4"/>
      <c r="B375" s="4"/>
      <c r="C375" s="4"/>
      <c r="D375" s="4"/>
      <c r="E375" s="4"/>
      <c r="F375" s="4"/>
      <c r="G375" s="4"/>
      <c r="H375" s="4"/>
      <c r="I375" s="4"/>
    </row>
    <row r="376" spans="1:9" ht="15.75" customHeight="1" x14ac:dyDescent="0.25">
      <c r="A376" s="4"/>
      <c r="B376" s="4"/>
      <c r="C376" s="4"/>
      <c r="D376" s="4"/>
      <c r="E376" s="4"/>
      <c r="F376" s="4"/>
      <c r="G376" s="4"/>
      <c r="H376" s="4"/>
      <c r="I376" s="4"/>
    </row>
    <row r="377" spans="1:9" ht="15.75" customHeight="1" x14ac:dyDescent="0.25">
      <c r="A377" s="4"/>
      <c r="B377" s="4"/>
      <c r="C377" s="4"/>
      <c r="D377" s="4"/>
      <c r="E377" s="4"/>
      <c r="F377" s="4"/>
      <c r="G377" s="4"/>
      <c r="H377" s="4"/>
      <c r="I377" s="4"/>
    </row>
    <row r="378" spans="1:9" ht="15.75" customHeight="1" x14ac:dyDescent="0.25">
      <c r="A378" s="4"/>
      <c r="B378" s="4"/>
      <c r="C378" s="4"/>
      <c r="D378" s="4"/>
      <c r="E378" s="4"/>
      <c r="F378" s="4"/>
      <c r="G378" s="4"/>
      <c r="H378" s="4"/>
      <c r="I378" s="4"/>
    </row>
    <row r="379" spans="1:9" ht="15.75" customHeight="1" x14ac:dyDescent="0.25">
      <c r="A379" s="4"/>
      <c r="B379" s="4"/>
      <c r="C379" s="4"/>
      <c r="D379" s="4"/>
      <c r="E379" s="4"/>
      <c r="F379" s="4"/>
      <c r="G379" s="4"/>
      <c r="H379" s="4"/>
      <c r="I379" s="4"/>
    </row>
    <row r="380" spans="1:9" ht="15.75" customHeight="1" x14ac:dyDescent="0.25">
      <c r="A380" s="4"/>
      <c r="B380" s="4"/>
      <c r="C380" s="4"/>
      <c r="D380" s="4"/>
      <c r="E380" s="4"/>
      <c r="F380" s="4"/>
      <c r="G380" s="4"/>
      <c r="H380" s="4"/>
      <c r="I380" s="4"/>
    </row>
    <row r="381" spans="1:9" ht="15.75" customHeight="1" x14ac:dyDescent="0.25">
      <c r="A381" s="4"/>
      <c r="B381" s="4"/>
      <c r="C381" s="4"/>
      <c r="D381" s="4"/>
      <c r="E381" s="4"/>
      <c r="F381" s="4"/>
      <c r="G381" s="4"/>
      <c r="H381" s="4"/>
      <c r="I381" s="4"/>
    </row>
    <row r="382" spans="1:9" ht="15.75" customHeight="1" x14ac:dyDescent="0.25">
      <c r="A382" s="4"/>
      <c r="B382" s="4"/>
      <c r="C382" s="4"/>
      <c r="D382" s="4"/>
      <c r="E382" s="4"/>
      <c r="F382" s="4"/>
      <c r="G382" s="4"/>
      <c r="H382" s="4"/>
      <c r="I382" s="4"/>
    </row>
    <row r="383" spans="1:9" ht="15.75" customHeight="1" x14ac:dyDescent="0.25">
      <c r="A383" s="4"/>
      <c r="B383" s="4"/>
      <c r="C383" s="4"/>
      <c r="D383" s="4"/>
      <c r="E383" s="4"/>
      <c r="F383" s="4"/>
      <c r="G383" s="4"/>
      <c r="H383" s="4"/>
      <c r="I383" s="4"/>
    </row>
    <row r="384" spans="1:9" ht="15.75" customHeight="1" x14ac:dyDescent="0.25">
      <c r="A384" s="4"/>
      <c r="B384" s="4"/>
      <c r="C384" s="4"/>
      <c r="D384" s="4"/>
      <c r="E384" s="4"/>
      <c r="F384" s="4"/>
      <c r="G384" s="4"/>
      <c r="H384" s="4"/>
      <c r="I384" s="4"/>
    </row>
    <row r="385" spans="1:9" ht="15.75" customHeight="1" x14ac:dyDescent="0.25">
      <c r="A385" s="4"/>
      <c r="B385" s="4"/>
      <c r="C385" s="4"/>
      <c r="D385" s="4"/>
      <c r="E385" s="4"/>
      <c r="F385" s="4"/>
      <c r="G385" s="4"/>
      <c r="H385" s="4"/>
      <c r="I385" s="4"/>
    </row>
    <row r="386" spans="1:9" ht="15.75" customHeight="1" x14ac:dyDescent="0.25">
      <c r="A386" s="4"/>
      <c r="B386" s="4"/>
      <c r="C386" s="4"/>
      <c r="D386" s="4"/>
      <c r="E386" s="4"/>
      <c r="F386" s="4"/>
      <c r="G386" s="4"/>
      <c r="H386" s="4"/>
      <c r="I386" s="4"/>
    </row>
    <row r="387" spans="1:9" ht="15.75" customHeight="1" x14ac:dyDescent="0.25">
      <c r="A387" s="4"/>
      <c r="B387" s="4"/>
      <c r="C387" s="4"/>
      <c r="D387" s="4"/>
      <c r="E387" s="4"/>
      <c r="F387" s="4"/>
      <c r="G387" s="4"/>
      <c r="H387" s="4"/>
      <c r="I387" s="4"/>
    </row>
    <row r="388" spans="1:9" ht="15.75" customHeight="1" x14ac:dyDescent="0.25">
      <c r="A388" s="4"/>
      <c r="B388" s="4"/>
      <c r="C388" s="4"/>
      <c r="D388" s="4"/>
      <c r="E388" s="4"/>
      <c r="F388" s="4"/>
      <c r="G388" s="4"/>
      <c r="H388" s="4"/>
      <c r="I388" s="4"/>
    </row>
    <row r="389" spans="1:9" ht="15.75" customHeight="1" x14ac:dyDescent="0.25">
      <c r="A389" s="4"/>
      <c r="B389" s="4"/>
      <c r="C389" s="4"/>
      <c r="D389" s="4"/>
      <c r="E389" s="4"/>
      <c r="F389" s="4"/>
      <c r="G389" s="4"/>
      <c r="H389" s="4"/>
      <c r="I389" s="4"/>
    </row>
    <row r="390" spans="1:9" ht="15.75" customHeight="1" x14ac:dyDescent="0.25">
      <c r="A390" s="4"/>
      <c r="B390" s="4"/>
      <c r="C390" s="4"/>
      <c r="D390" s="4"/>
      <c r="E390" s="4"/>
      <c r="F390" s="4"/>
      <c r="G390" s="4"/>
      <c r="H390" s="4"/>
      <c r="I390" s="4"/>
    </row>
    <row r="391" spans="1:9" ht="15.75" customHeight="1" x14ac:dyDescent="0.25">
      <c r="A391" s="4"/>
      <c r="B391" s="4"/>
      <c r="C391" s="4"/>
      <c r="D391" s="4"/>
      <c r="E391" s="4"/>
      <c r="F391" s="4"/>
      <c r="G391" s="4"/>
      <c r="H391" s="4"/>
      <c r="I391" s="4"/>
    </row>
    <row r="392" spans="1:9" ht="15.75" customHeight="1" x14ac:dyDescent="0.25">
      <c r="A392" s="4"/>
      <c r="B392" s="4"/>
      <c r="C392" s="4"/>
      <c r="D392" s="4"/>
      <c r="E392" s="4"/>
      <c r="F392" s="4"/>
      <c r="G392" s="4"/>
      <c r="H392" s="4"/>
      <c r="I392" s="4"/>
    </row>
    <row r="393" spans="1:9" ht="15.75" customHeight="1" x14ac:dyDescent="0.25">
      <c r="A393" s="4"/>
      <c r="B393" s="4"/>
      <c r="C393" s="4"/>
      <c r="D393" s="4"/>
      <c r="E393" s="4"/>
      <c r="F393" s="4"/>
      <c r="G393" s="4"/>
      <c r="H393" s="4"/>
      <c r="I393" s="4"/>
    </row>
    <row r="394" spans="1:9" ht="15.75" customHeight="1" x14ac:dyDescent="0.25">
      <c r="A394" s="4"/>
      <c r="B394" s="4"/>
      <c r="C394" s="4"/>
      <c r="D394" s="4"/>
      <c r="E394" s="4"/>
      <c r="F394" s="4"/>
      <c r="G394" s="4"/>
      <c r="H394" s="4"/>
      <c r="I394" s="4"/>
    </row>
    <row r="395" spans="1:9" ht="15.75" customHeight="1" x14ac:dyDescent="0.25">
      <c r="A395" s="4"/>
      <c r="B395" s="4"/>
      <c r="C395" s="4"/>
      <c r="D395" s="4"/>
      <c r="E395" s="4"/>
      <c r="F395" s="4"/>
      <c r="G395" s="4"/>
      <c r="H395" s="4"/>
      <c r="I395" s="4"/>
    </row>
    <row r="396" spans="1:9" ht="15.75" customHeight="1" x14ac:dyDescent="0.25">
      <c r="A396" s="4"/>
      <c r="B396" s="4"/>
      <c r="C396" s="4"/>
      <c r="D396" s="4"/>
      <c r="E396" s="4"/>
      <c r="F396" s="4"/>
      <c r="G396" s="4"/>
      <c r="H396" s="4"/>
      <c r="I396" s="4"/>
    </row>
    <row r="397" spans="1:9" ht="15.75" customHeight="1" x14ac:dyDescent="0.25">
      <c r="A397" s="4"/>
      <c r="B397" s="4"/>
      <c r="C397" s="4"/>
      <c r="D397" s="4"/>
      <c r="E397" s="4"/>
      <c r="F397" s="4"/>
      <c r="G397" s="4"/>
      <c r="H397" s="4"/>
      <c r="I397" s="4"/>
    </row>
    <row r="398" spans="1:9" ht="15.75" customHeight="1" x14ac:dyDescent="0.25">
      <c r="A398" s="4"/>
      <c r="B398" s="4"/>
      <c r="C398" s="4"/>
      <c r="D398" s="4"/>
      <c r="E398" s="4"/>
      <c r="F398" s="4"/>
      <c r="G398" s="4"/>
      <c r="H398" s="4"/>
      <c r="I398" s="4"/>
    </row>
    <row r="399" spans="1:9" ht="15.75" customHeight="1" x14ac:dyDescent="0.25">
      <c r="A399" s="4"/>
      <c r="B399" s="4"/>
      <c r="C399" s="4"/>
      <c r="D399" s="4"/>
      <c r="E399" s="4"/>
      <c r="F399" s="4"/>
      <c r="G399" s="4"/>
      <c r="H399" s="4"/>
      <c r="I399" s="4"/>
    </row>
    <row r="400" spans="1:9" ht="15.75" customHeight="1" x14ac:dyDescent="0.25">
      <c r="A400" s="4"/>
      <c r="B400" s="4"/>
      <c r="C400" s="4"/>
      <c r="D400" s="4"/>
      <c r="E400" s="4"/>
      <c r="F400" s="4"/>
      <c r="G400" s="4"/>
      <c r="H400" s="4"/>
      <c r="I400" s="4"/>
    </row>
    <row r="401" spans="1:9" ht="15.75" customHeight="1" x14ac:dyDescent="0.25">
      <c r="A401" s="4"/>
      <c r="B401" s="4"/>
      <c r="C401" s="4"/>
      <c r="D401" s="4"/>
      <c r="E401" s="4"/>
      <c r="F401" s="4"/>
      <c r="G401" s="4"/>
      <c r="H401" s="4"/>
      <c r="I401" s="4"/>
    </row>
    <row r="402" spans="1:9" ht="15.75" customHeight="1" x14ac:dyDescent="0.25">
      <c r="A402" s="4"/>
      <c r="B402" s="4"/>
      <c r="C402" s="4"/>
      <c r="D402" s="4"/>
      <c r="E402" s="4"/>
      <c r="F402" s="4"/>
      <c r="G402" s="4"/>
      <c r="H402" s="4"/>
      <c r="I402" s="4"/>
    </row>
    <row r="403" spans="1:9" ht="15.75" customHeight="1" x14ac:dyDescent="0.25">
      <c r="A403" s="4"/>
      <c r="B403" s="4"/>
      <c r="C403" s="4"/>
      <c r="D403" s="4"/>
      <c r="E403" s="4"/>
      <c r="F403" s="4"/>
      <c r="G403" s="4"/>
      <c r="H403" s="4"/>
      <c r="I403" s="4"/>
    </row>
    <row r="404" spans="1:9" ht="15.75" customHeight="1" x14ac:dyDescent="0.25">
      <c r="A404" s="4"/>
      <c r="B404" s="4"/>
      <c r="C404" s="4"/>
      <c r="D404" s="4"/>
      <c r="E404" s="4"/>
      <c r="F404" s="4"/>
      <c r="G404" s="4"/>
      <c r="H404" s="4"/>
      <c r="I404" s="4"/>
    </row>
    <row r="405" spans="1:9" ht="15.75" customHeight="1" x14ac:dyDescent="0.25">
      <c r="A405" s="4"/>
      <c r="B405" s="4"/>
      <c r="C405" s="4"/>
      <c r="D405" s="4"/>
      <c r="E405" s="4"/>
      <c r="F405" s="4"/>
      <c r="G405" s="4"/>
      <c r="H405" s="4"/>
      <c r="I405" s="4"/>
    </row>
    <row r="406" spans="1:9" ht="15.75" customHeight="1" x14ac:dyDescent="0.25">
      <c r="A406" s="4"/>
      <c r="B406" s="4"/>
      <c r="C406" s="4"/>
      <c r="D406" s="4"/>
      <c r="E406" s="4"/>
      <c r="F406" s="4"/>
      <c r="G406" s="4"/>
      <c r="H406" s="4"/>
      <c r="I406" s="4"/>
    </row>
    <row r="407" spans="1:9" ht="15.75" customHeight="1" x14ac:dyDescent="0.25">
      <c r="A407" s="4"/>
      <c r="B407" s="4"/>
      <c r="C407" s="4"/>
      <c r="D407" s="4"/>
      <c r="E407" s="4"/>
      <c r="F407" s="4"/>
      <c r="G407" s="4"/>
      <c r="H407" s="4"/>
      <c r="I407" s="4"/>
    </row>
    <row r="408" spans="1:9" ht="15.75" customHeight="1" x14ac:dyDescent="0.25">
      <c r="A408" s="4"/>
      <c r="B408" s="4"/>
      <c r="C408" s="4"/>
      <c r="D408" s="4"/>
      <c r="E408" s="4"/>
      <c r="F408" s="4"/>
      <c r="G408" s="4"/>
      <c r="H408" s="4"/>
      <c r="I408" s="4"/>
    </row>
    <row r="409" spans="1:9" ht="15.75" customHeight="1" x14ac:dyDescent="0.25">
      <c r="A409" s="4"/>
      <c r="B409" s="4"/>
      <c r="C409" s="4"/>
      <c r="D409" s="4"/>
      <c r="E409" s="4"/>
      <c r="F409" s="4"/>
      <c r="G409" s="4"/>
      <c r="H409" s="4"/>
      <c r="I409" s="4"/>
    </row>
    <row r="410" spans="1:9" ht="15.75" customHeight="1" x14ac:dyDescent="0.25">
      <c r="A410" s="4"/>
      <c r="B410" s="4"/>
      <c r="C410" s="4"/>
      <c r="D410" s="4"/>
      <c r="E410" s="4"/>
      <c r="F410" s="4"/>
      <c r="G410" s="4"/>
      <c r="H410" s="4"/>
      <c r="I410" s="4"/>
    </row>
    <row r="411" spans="1:9" ht="15.75" customHeight="1" x14ac:dyDescent="0.25">
      <c r="A411" s="4"/>
      <c r="B411" s="4"/>
      <c r="C411" s="4"/>
      <c r="D411" s="4"/>
      <c r="E411" s="4"/>
      <c r="F411" s="4"/>
      <c r="G411" s="4"/>
      <c r="H411" s="4"/>
      <c r="I411" s="4"/>
    </row>
    <row r="412" spans="1:9" ht="15.75" customHeight="1" x14ac:dyDescent="0.25">
      <c r="A412" s="4"/>
      <c r="B412" s="4"/>
      <c r="C412" s="4"/>
      <c r="D412" s="4"/>
      <c r="E412" s="4"/>
      <c r="F412" s="4"/>
      <c r="G412" s="4"/>
      <c r="H412" s="4"/>
      <c r="I412" s="4"/>
    </row>
    <row r="413" spans="1:9" ht="15.75" customHeight="1" x14ac:dyDescent="0.25">
      <c r="A413" s="4"/>
      <c r="B413" s="4"/>
      <c r="C413" s="4"/>
      <c r="D413" s="4"/>
      <c r="E413" s="4"/>
      <c r="F413" s="4"/>
      <c r="G413" s="4"/>
      <c r="H413" s="4"/>
      <c r="I413" s="4"/>
    </row>
    <row r="414" spans="1:9" ht="15.75" customHeight="1" x14ac:dyDescent="0.25">
      <c r="A414" s="4"/>
      <c r="B414" s="4"/>
      <c r="C414" s="4"/>
      <c r="D414" s="4"/>
      <c r="E414" s="4"/>
      <c r="F414" s="4"/>
      <c r="G414" s="4"/>
      <c r="H414" s="4"/>
      <c r="I414" s="4"/>
    </row>
    <row r="415" spans="1:9" ht="15.75" customHeight="1" x14ac:dyDescent="0.25">
      <c r="A415" s="4"/>
      <c r="B415" s="4"/>
      <c r="C415" s="4"/>
      <c r="D415" s="4"/>
      <c r="E415" s="4"/>
      <c r="F415" s="4"/>
      <c r="G415" s="4"/>
      <c r="H415" s="4"/>
      <c r="I415" s="4"/>
    </row>
    <row r="416" spans="1:9" ht="15.75" customHeight="1" x14ac:dyDescent="0.25">
      <c r="A416" s="4"/>
      <c r="B416" s="4"/>
      <c r="C416" s="4"/>
      <c r="D416" s="4"/>
      <c r="E416" s="4"/>
      <c r="F416" s="4"/>
      <c r="G416" s="4"/>
      <c r="H416" s="4"/>
      <c r="I416" s="4"/>
    </row>
    <row r="417" spans="1:9" ht="15.75" customHeight="1" x14ac:dyDescent="0.25">
      <c r="A417" s="4"/>
      <c r="B417" s="4"/>
      <c r="C417" s="4"/>
      <c r="D417" s="4"/>
      <c r="E417" s="4"/>
      <c r="F417" s="4"/>
      <c r="G417" s="4"/>
      <c r="H417" s="4"/>
      <c r="I417" s="4"/>
    </row>
    <row r="418" spans="1:9" ht="15.75" customHeight="1" x14ac:dyDescent="0.25">
      <c r="A418" s="4"/>
      <c r="B418" s="4"/>
      <c r="C418" s="4"/>
      <c r="D418" s="4"/>
      <c r="E418" s="4"/>
      <c r="F418" s="4"/>
      <c r="G418" s="4"/>
      <c r="H418" s="4"/>
      <c r="I418" s="4"/>
    </row>
    <row r="419" spans="1:9" ht="15.75" customHeight="1" x14ac:dyDescent="0.25">
      <c r="A419" s="4"/>
      <c r="B419" s="4"/>
      <c r="C419" s="4"/>
      <c r="D419" s="4"/>
      <c r="E419" s="4"/>
      <c r="F419" s="4"/>
      <c r="G419" s="4"/>
      <c r="H419" s="4"/>
      <c r="I419" s="4"/>
    </row>
    <row r="420" spans="1:9" ht="15.75" customHeight="1" x14ac:dyDescent="0.25">
      <c r="A420" s="4"/>
      <c r="B420" s="4"/>
      <c r="C420" s="4"/>
      <c r="D420" s="4"/>
      <c r="E420" s="4"/>
      <c r="F420" s="4"/>
      <c r="G420" s="4"/>
      <c r="H420" s="4"/>
      <c r="I420" s="4"/>
    </row>
    <row r="421" spans="1:9" ht="15.75" customHeight="1" x14ac:dyDescent="0.25">
      <c r="A421" s="4"/>
      <c r="B421" s="4"/>
      <c r="C421" s="4"/>
      <c r="D421" s="4"/>
      <c r="E421" s="4"/>
      <c r="F421" s="4"/>
      <c r="G421" s="4"/>
      <c r="H421" s="4"/>
      <c r="I421" s="4"/>
    </row>
    <row r="422" spans="1:9" ht="15.75" customHeight="1" x14ac:dyDescent="0.25">
      <c r="A422" s="4"/>
      <c r="B422" s="4"/>
      <c r="C422" s="4"/>
      <c r="D422" s="4"/>
      <c r="E422" s="4"/>
      <c r="F422" s="4"/>
      <c r="G422" s="4"/>
      <c r="H422" s="4"/>
      <c r="I422" s="4"/>
    </row>
    <row r="423" spans="1:9" ht="15.75" customHeight="1" x14ac:dyDescent="0.25">
      <c r="A423" s="4"/>
      <c r="B423" s="4"/>
      <c r="C423" s="4"/>
      <c r="D423" s="4"/>
      <c r="E423" s="4"/>
      <c r="F423" s="4"/>
      <c r="G423" s="4"/>
      <c r="H423" s="4"/>
      <c r="I423" s="4"/>
    </row>
    <row r="424" spans="1:9" ht="15.75" customHeight="1" x14ac:dyDescent="0.25">
      <c r="A424" s="4"/>
      <c r="B424" s="4"/>
      <c r="C424" s="4"/>
      <c r="D424" s="4"/>
      <c r="E424" s="4"/>
      <c r="F424" s="4"/>
      <c r="G424" s="4"/>
      <c r="H424" s="4"/>
      <c r="I424" s="4"/>
    </row>
    <row r="425" spans="1:9" ht="15.75" customHeight="1" x14ac:dyDescent="0.25">
      <c r="A425" s="4"/>
      <c r="B425" s="4"/>
      <c r="C425" s="4"/>
      <c r="D425" s="4"/>
      <c r="E425" s="4"/>
      <c r="F425" s="4"/>
      <c r="G425" s="4"/>
      <c r="H425" s="4"/>
      <c r="I425" s="4"/>
    </row>
    <row r="426" spans="1:9" ht="15.75" customHeight="1" x14ac:dyDescent="0.25">
      <c r="A426" s="4"/>
      <c r="B426" s="4"/>
      <c r="C426" s="4"/>
      <c r="D426" s="4"/>
      <c r="E426" s="4"/>
      <c r="F426" s="4"/>
      <c r="G426" s="4"/>
      <c r="H426" s="4"/>
      <c r="I426" s="4"/>
    </row>
    <row r="427" spans="1:9" ht="15.75" customHeight="1" x14ac:dyDescent="0.25">
      <c r="A427" s="4"/>
      <c r="B427" s="4"/>
      <c r="C427" s="4"/>
      <c r="D427" s="4"/>
      <c r="E427" s="4"/>
      <c r="F427" s="4"/>
      <c r="G427" s="4"/>
      <c r="H427" s="4"/>
      <c r="I427" s="4"/>
    </row>
    <row r="428" spans="1:9" ht="15.75" customHeight="1" x14ac:dyDescent="0.25">
      <c r="A428" s="4"/>
      <c r="B428" s="4"/>
      <c r="C428" s="4"/>
      <c r="D428" s="4"/>
      <c r="E428" s="4"/>
      <c r="F428" s="4"/>
      <c r="G428" s="4"/>
      <c r="H428" s="4"/>
      <c r="I428" s="4"/>
    </row>
    <row r="429" spans="1:9" ht="15.75" customHeight="1" x14ac:dyDescent="0.25">
      <c r="A429" s="4"/>
      <c r="B429" s="4"/>
      <c r="C429" s="4"/>
      <c r="D429" s="4"/>
      <c r="E429" s="4"/>
      <c r="F429" s="4"/>
      <c r="G429" s="4"/>
      <c r="H429" s="4"/>
      <c r="I429" s="4"/>
    </row>
    <row r="430" spans="1:9" ht="15.75" customHeight="1" x14ac:dyDescent="0.25">
      <c r="A430" s="4"/>
      <c r="B430" s="4"/>
      <c r="C430" s="4"/>
      <c r="D430" s="4"/>
      <c r="E430" s="4"/>
      <c r="F430" s="4"/>
      <c r="G430" s="4"/>
      <c r="H430" s="4"/>
      <c r="I430" s="4"/>
    </row>
    <row r="431" spans="1:9" ht="15.75" customHeight="1" x14ac:dyDescent="0.25">
      <c r="A431" s="4"/>
      <c r="B431" s="4"/>
      <c r="C431" s="4"/>
      <c r="D431" s="4"/>
      <c r="E431" s="4"/>
      <c r="F431" s="4"/>
      <c r="G431" s="4"/>
      <c r="H431" s="4"/>
      <c r="I431" s="4"/>
    </row>
    <row r="432" spans="1:9" ht="15.75" customHeight="1" x14ac:dyDescent="0.25">
      <c r="A432" s="4"/>
      <c r="B432" s="4"/>
      <c r="C432" s="4"/>
      <c r="D432" s="4"/>
      <c r="E432" s="4"/>
      <c r="F432" s="4"/>
      <c r="G432" s="4"/>
      <c r="H432" s="4"/>
      <c r="I432" s="4"/>
    </row>
    <row r="433" spans="1:9" ht="15.75" customHeight="1" x14ac:dyDescent="0.25">
      <c r="A433" s="4"/>
      <c r="B433" s="4"/>
      <c r="C433" s="4"/>
      <c r="D433" s="4"/>
      <c r="E433" s="4"/>
      <c r="F433" s="4"/>
      <c r="G433" s="4"/>
      <c r="H433" s="4"/>
      <c r="I433" s="4"/>
    </row>
    <row r="434" spans="1:9" ht="15.75" customHeight="1" x14ac:dyDescent="0.25">
      <c r="A434" s="4"/>
      <c r="B434" s="4"/>
      <c r="C434" s="4"/>
      <c r="D434" s="4"/>
      <c r="E434" s="4"/>
      <c r="F434" s="4"/>
      <c r="G434" s="4"/>
      <c r="H434" s="4"/>
      <c r="I434" s="4"/>
    </row>
    <row r="435" spans="1:9" ht="15.75" customHeight="1" x14ac:dyDescent="0.25">
      <c r="A435" s="4"/>
      <c r="B435" s="4"/>
      <c r="C435" s="4"/>
      <c r="D435" s="4"/>
      <c r="E435" s="4"/>
      <c r="F435" s="4"/>
      <c r="G435" s="4"/>
      <c r="H435" s="4"/>
      <c r="I435" s="4"/>
    </row>
    <row r="436" spans="1:9" ht="15.75" customHeight="1" x14ac:dyDescent="0.25">
      <c r="A436" s="4"/>
      <c r="B436" s="4"/>
      <c r="C436" s="4"/>
      <c r="D436" s="4"/>
      <c r="E436" s="4"/>
      <c r="F436" s="4"/>
      <c r="G436" s="4"/>
      <c r="H436" s="4"/>
      <c r="I436" s="4"/>
    </row>
    <row r="437" spans="1:9" ht="15.75" customHeight="1" x14ac:dyDescent="0.25">
      <c r="A437" s="4"/>
      <c r="B437" s="4"/>
      <c r="C437" s="4"/>
      <c r="D437" s="4"/>
      <c r="E437" s="4"/>
      <c r="F437" s="4"/>
      <c r="G437" s="4"/>
      <c r="H437" s="4"/>
      <c r="I437" s="4"/>
    </row>
    <row r="438" spans="1:9" ht="15.75" customHeight="1" x14ac:dyDescent="0.25">
      <c r="A438" s="4"/>
      <c r="B438" s="4"/>
      <c r="C438" s="4"/>
      <c r="D438" s="4"/>
      <c r="E438" s="4"/>
      <c r="F438" s="4"/>
      <c r="G438" s="4"/>
      <c r="H438" s="4"/>
      <c r="I438" s="4"/>
    </row>
    <row r="439" spans="1:9" ht="15.75" customHeight="1" x14ac:dyDescent="0.25">
      <c r="A439" s="4"/>
      <c r="B439" s="4"/>
      <c r="C439" s="4"/>
      <c r="D439" s="4"/>
      <c r="E439" s="4"/>
      <c r="F439" s="4"/>
      <c r="G439" s="4"/>
      <c r="H439" s="4"/>
      <c r="I439" s="4"/>
    </row>
    <row r="440" spans="1:9" ht="15.75" customHeight="1" x14ac:dyDescent="0.25">
      <c r="A440" s="4"/>
      <c r="B440" s="4"/>
      <c r="C440" s="4"/>
      <c r="D440" s="4"/>
      <c r="E440" s="4"/>
      <c r="F440" s="4"/>
      <c r="G440" s="4"/>
      <c r="H440" s="4"/>
      <c r="I440" s="4"/>
    </row>
    <row r="441" spans="1:9" ht="15.75" customHeight="1" x14ac:dyDescent="0.25">
      <c r="A441" s="4"/>
      <c r="B441" s="4"/>
      <c r="C441" s="4"/>
      <c r="D441" s="4"/>
      <c r="E441" s="4"/>
      <c r="F441" s="4"/>
      <c r="G441" s="4"/>
      <c r="H441" s="4"/>
      <c r="I441" s="4"/>
    </row>
    <row r="442" spans="1:9" ht="15.75" customHeight="1" x14ac:dyDescent="0.25">
      <c r="A442" s="4"/>
      <c r="B442" s="4"/>
      <c r="C442" s="4"/>
      <c r="D442" s="4"/>
      <c r="E442" s="4"/>
      <c r="F442" s="4"/>
      <c r="G442" s="4"/>
      <c r="H442" s="4"/>
      <c r="I442" s="4"/>
    </row>
    <row r="443" spans="1:9" ht="15.75" customHeight="1" x14ac:dyDescent="0.25">
      <c r="A443" s="4"/>
      <c r="B443" s="4"/>
      <c r="C443" s="4"/>
      <c r="D443" s="4"/>
      <c r="E443" s="4"/>
      <c r="F443" s="4"/>
      <c r="G443" s="4"/>
      <c r="H443" s="4"/>
      <c r="I443" s="4"/>
    </row>
    <row r="444" spans="1:9" ht="15.75" customHeight="1" x14ac:dyDescent="0.25">
      <c r="A444" s="4"/>
      <c r="B444" s="4"/>
      <c r="C444" s="4"/>
      <c r="D444" s="4"/>
      <c r="E444" s="4"/>
      <c r="F444" s="4"/>
      <c r="G444" s="4"/>
      <c r="H444" s="4"/>
      <c r="I444" s="4"/>
    </row>
    <row r="445" spans="1:9" ht="15.75" customHeight="1" x14ac:dyDescent="0.25">
      <c r="A445" s="4"/>
      <c r="B445" s="4"/>
      <c r="C445" s="4"/>
      <c r="D445" s="4"/>
      <c r="E445" s="4"/>
      <c r="F445" s="4"/>
      <c r="G445" s="4"/>
      <c r="H445" s="4"/>
      <c r="I445" s="4"/>
    </row>
    <row r="446" spans="1:9" ht="15.75" customHeight="1" x14ac:dyDescent="0.25">
      <c r="A446" s="4"/>
      <c r="B446" s="4"/>
      <c r="C446" s="4"/>
      <c r="D446" s="4"/>
      <c r="E446" s="4"/>
      <c r="F446" s="4"/>
      <c r="G446" s="4"/>
      <c r="H446" s="4"/>
      <c r="I446" s="4"/>
    </row>
    <row r="447" spans="1:9" ht="15.75" customHeight="1" x14ac:dyDescent="0.25">
      <c r="A447" s="4"/>
      <c r="B447" s="4"/>
      <c r="C447" s="4"/>
      <c r="D447" s="4"/>
      <c r="E447" s="4"/>
      <c r="F447" s="4"/>
      <c r="G447" s="4"/>
      <c r="H447" s="4"/>
      <c r="I447" s="4"/>
    </row>
    <row r="448" spans="1:9" ht="15.75" customHeight="1" x14ac:dyDescent="0.25">
      <c r="A448" s="4"/>
      <c r="B448" s="4"/>
      <c r="C448" s="4"/>
      <c r="D448" s="4"/>
      <c r="E448" s="4"/>
      <c r="F448" s="4"/>
      <c r="G448" s="4"/>
      <c r="H448" s="4"/>
      <c r="I448" s="4"/>
    </row>
    <row r="449" spans="1:9" ht="15.75" customHeight="1" x14ac:dyDescent="0.25">
      <c r="A449" s="4"/>
      <c r="B449" s="4"/>
      <c r="C449" s="4"/>
      <c r="D449" s="4"/>
      <c r="E449" s="4"/>
      <c r="F449" s="4"/>
      <c r="G449" s="4"/>
      <c r="H449" s="4"/>
      <c r="I449" s="4"/>
    </row>
    <row r="450" spans="1:9" ht="15.75" customHeight="1" x14ac:dyDescent="0.25">
      <c r="A450" s="4"/>
      <c r="B450" s="4"/>
      <c r="C450" s="4"/>
      <c r="D450" s="4"/>
      <c r="E450" s="4"/>
      <c r="F450" s="4"/>
      <c r="G450" s="4"/>
      <c r="H450" s="4"/>
      <c r="I450" s="4"/>
    </row>
    <row r="451" spans="1:9" ht="15.75" customHeight="1" x14ac:dyDescent="0.25">
      <c r="A451" s="4"/>
      <c r="B451" s="4"/>
      <c r="C451" s="4"/>
      <c r="D451" s="4"/>
      <c r="E451" s="4"/>
      <c r="F451" s="4"/>
      <c r="G451" s="4"/>
      <c r="H451" s="4"/>
      <c r="I451" s="4"/>
    </row>
    <row r="452" spans="1:9" ht="15.75" customHeight="1" x14ac:dyDescent="0.25">
      <c r="A452" s="4"/>
      <c r="B452" s="4"/>
      <c r="C452" s="4"/>
      <c r="D452" s="4"/>
      <c r="E452" s="4"/>
      <c r="F452" s="4"/>
      <c r="G452" s="4"/>
      <c r="H452" s="4"/>
      <c r="I452" s="4"/>
    </row>
    <row r="453" spans="1:9" ht="15.75" customHeight="1" x14ac:dyDescent="0.25">
      <c r="A453" s="4"/>
      <c r="B453" s="4"/>
      <c r="C453" s="4"/>
      <c r="D453" s="4"/>
      <c r="E453" s="4"/>
      <c r="F453" s="4"/>
      <c r="G453" s="4"/>
      <c r="H453" s="4"/>
      <c r="I453" s="4"/>
    </row>
    <row r="454" spans="1:9" ht="15.75" customHeight="1" x14ac:dyDescent="0.25">
      <c r="A454" s="4"/>
      <c r="B454" s="4"/>
      <c r="C454" s="4"/>
      <c r="D454" s="4"/>
      <c r="E454" s="4"/>
      <c r="F454" s="4"/>
      <c r="G454" s="4"/>
      <c r="H454" s="4"/>
      <c r="I454" s="4"/>
    </row>
    <row r="455" spans="1:9" ht="15.75" customHeight="1" x14ac:dyDescent="0.25">
      <c r="A455" s="4"/>
      <c r="B455" s="4"/>
      <c r="C455" s="4"/>
      <c r="D455" s="4"/>
      <c r="E455" s="4"/>
      <c r="F455" s="4"/>
      <c r="G455" s="4"/>
      <c r="H455" s="4"/>
      <c r="I455" s="4"/>
    </row>
    <row r="456" spans="1:9" ht="15.75" customHeight="1" x14ac:dyDescent="0.25">
      <c r="A456" s="4"/>
      <c r="B456" s="4"/>
      <c r="C456" s="4"/>
      <c r="D456" s="4"/>
      <c r="E456" s="4"/>
      <c r="F456" s="4"/>
      <c r="G456" s="4"/>
      <c r="H456" s="4"/>
      <c r="I456" s="4"/>
    </row>
    <row r="457" spans="1:9" ht="15.75" customHeight="1" x14ac:dyDescent="0.25">
      <c r="A457" s="4"/>
      <c r="B457" s="4"/>
      <c r="C457" s="4"/>
      <c r="D457" s="4"/>
      <c r="E457" s="4"/>
      <c r="F457" s="4"/>
      <c r="G457" s="4"/>
      <c r="H457" s="4"/>
      <c r="I457" s="4"/>
    </row>
    <row r="458" spans="1:9" ht="15.75" customHeight="1" x14ac:dyDescent="0.25">
      <c r="A458" s="4"/>
      <c r="B458" s="4"/>
      <c r="C458" s="4"/>
      <c r="D458" s="4"/>
      <c r="E458" s="4"/>
      <c r="F458" s="4"/>
      <c r="G458" s="4"/>
      <c r="H458" s="4"/>
      <c r="I458" s="4"/>
    </row>
    <row r="459" spans="1:9" ht="15.75" customHeight="1" x14ac:dyDescent="0.25">
      <c r="A459" s="4"/>
      <c r="B459" s="4"/>
      <c r="C459" s="4"/>
      <c r="D459" s="4"/>
      <c r="E459" s="4"/>
      <c r="F459" s="4"/>
      <c r="G459" s="4"/>
      <c r="H459" s="4"/>
      <c r="I459" s="4"/>
    </row>
    <row r="460" spans="1:9" ht="15.75" customHeight="1" x14ac:dyDescent="0.25">
      <c r="A460" s="4"/>
      <c r="B460" s="4"/>
      <c r="C460" s="4"/>
      <c r="D460" s="4"/>
      <c r="E460" s="4"/>
      <c r="F460" s="4"/>
      <c r="G460" s="4"/>
      <c r="H460" s="4"/>
      <c r="I460" s="4"/>
    </row>
    <row r="461" spans="1:9" ht="15.75" customHeight="1" x14ac:dyDescent="0.25">
      <c r="A461" s="4"/>
      <c r="B461" s="4"/>
      <c r="C461" s="4"/>
      <c r="D461" s="4"/>
      <c r="E461" s="4"/>
      <c r="F461" s="4"/>
      <c r="G461" s="4"/>
      <c r="H461" s="4"/>
      <c r="I461" s="4"/>
    </row>
    <row r="462" spans="1:9" ht="15.75" customHeight="1" x14ac:dyDescent="0.25">
      <c r="A462" s="4"/>
      <c r="B462" s="4"/>
      <c r="C462" s="4"/>
      <c r="D462" s="4"/>
      <c r="E462" s="4"/>
      <c r="F462" s="4"/>
      <c r="G462" s="4"/>
      <c r="H462" s="4"/>
      <c r="I462" s="4"/>
    </row>
    <row r="463" spans="1:9" ht="15.75" customHeight="1" x14ac:dyDescent="0.25">
      <c r="A463" s="4"/>
      <c r="B463" s="4"/>
      <c r="C463" s="4"/>
      <c r="D463" s="4"/>
      <c r="E463" s="4"/>
      <c r="F463" s="4"/>
      <c r="G463" s="4"/>
      <c r="H463" s="4"/>
      <c r="I463" s="4"/>
    </row>
    <row r="464" spans="1:9" ht="15.75" customHeight="1" x14ac:dyDescent="0.25">
      <c r="A464" s="4"/>
      <c r="B464" s="4"/>
      <c r="C464" s="4"/>
      <c r="D464" s="4"/>
      <c r="E464" s="4"/>
      <c r="F464" s="4"/>
      <c r="G464" s="4"/>
      <c r="H464" s="4"/>
      <c r="I464" s="4"/>
    </row>
    <row r="465" spans="1:9" ht="15.75" customHeight="1" x14ac:dyDescent="0.25">
      <c r="A465" s="4"/>
      <c r="B465" s="4"/>
      <c r="C465" s="4"/>
      <c r="D465" s="4"/>
      <c r="E465" s="4"/>
      <c r="F465" s="4"/>
      <c r="G465" s="4"/>
      <c r="H465" s="4"/>
      <c r="I465" s="4"/>
    </row>
    <row r="466" spans="1:9" ht="15.75" customHeight="1" x14ac:dyDescent="0.25">
      <c r="A466" s="4"/>
      <c r="B466" s="4"/>
      <c r="C466" s="4"/>
      <c r="D466" s="4"/>
      <c r="E466" s="4"/>
      <c r="F466" s="4"/>
      <c r="G466" s="4"/>
      <c r="H466" s="4"/>
      <c r="I466" s="4"/>
    </row>
    <row r="467" spans="1:9" ht="15.75" customHeight="1" x14ac:dyDescent="0.25">
      <c r="A467" s="4"/>
      <c r="B467" s="4"/>
      <c r="C467" s="4"/>
      <c r="D467" s="4"/>
      <c r="E467" s="4"/>
      <c r="F467" s="4"/>
      <c r="G467" s="4"/>
      <c r="H467" s="4"/>
      <c r="I467" s="4"/>
    </row>
    <row r="468" spans="1:9" ht="15.75" customHeight="1" x14ac:dyDescent="0.25">
      <c r="A468" s="4"/>
      <c r="B468" s="4"/>
      <c r="C468" s="4"/>
      <c r="D468" s="4"/>
      <c r="E468" s="4"/>
      <c r="F468" s="4"/>
      <c r="G468" s="4"/>
      <c r="H468" s="4"/>
      <c r="I468" s="4"/>
    </row>
    <row r="469" spans="1:9" ht="15.75" customHeight="1" x14ac:dyDescent="0.25">
      <c r="A469" s="4"/>
      <c r="B469" s="4"/>
      <c r="C469" s="4"/>
      <c r="D469" s="4"/>
      <c r="E469" s="4"/>
      <c r="F469" s="4"/>
      <c r="G469" s="4"/>
      <c r="H469" s="4"/>
      <c r="I469" s="4"/>
    </row>
    <row r="470" spans="1:9" ht="15.75" customHeight="1" x14ac:dyDescent="0.25">
      <c r="A470" s="4"/>
      <c r="B470" s="4"/>
      <c r="C470" s="4"/>
      <c r="D470" s="4"/>
      <c r="E470" s="4"/>
      <c r="F470" s="4"/>
      <c r="G470" s="4"/>
      <c r="H470" s="4"/>
      <c r="I470" s="4"/>
    </row>
    <row r="471" spans="1:9" ht="15.75" customHeight="1" x14ac:dyDescent="0.25">
      <c r="A471" s="4"/>
      <c r="B471" s="4"/>
      <c r="C471" s="4"/>
      <c r="D471" s="4"/>
      <c r="E471" s="4"/>
      <c r="F471" s="4"/>
      <c r="G471" s="4"/>
      <c r="H471" s="4"/>
      <c r="I471" s="4"/>
    </row>
    <row r="472" spans="1:9" ht="15.75" customHeight="1" x14ac:dyDescent="0.25">
      <c r="A472" s="4"/>
      <c r="B472" s="4"/>
      <c r="C472" s="4"/>
      <c r="D472" s="4"/>
      <c r="E472" s="4"/>
      <c r="F472" s="4"/>
      <c r="G472" s="4"/>
      <c r="H472" s="4"/>
      <c r="I472" s="4"/>
    </row>
    <row r="473" spans="1:9" ht="15.75" customHeight="1" x14ac:dyDescent="0.25">
      <c r="A473" s="4"/>
      <c r="B473" s="4"/>
      <c r="C473" s="4"/>
      <c r="D473" s="4"/>
      <c r="E473" s="4"/>
      <c r="F473" s="4"/>
      <c r="G473" s="4"/>
      <c r="H473" s="4"/>
      <c r="I473" s="4"/>
    </row>
    <row r="474" spans="1:9" ht="15.75" customHeight="1" x14ac:dyDescent="0.25">
      <c r="A474" s="4"/>
      <c r="B474" s="4"/>
      <c r="C474" s="4"/>
      <c r="D474" s="4"/>
      <c r="E474" s="4"/>
      <c r="F474" s="4"/>
      <c r="G474" s="4"/>
      <c r="H474" s="4"/>
      <c r="I474" s="4"/>
    </row>
    <row r="475" spans="1:9" ht="15.75" customHeight="1" x14ac:dyDescent="0.25">
      <c r="A475" s="4"/>
      <c r="B475" s="4"/>
      <c r="C475" s="4"/>
      <c r="D475" s="4"/>
      <c r="E475" s="4"/>
      <c r="F475" s="4"/>
      <c r="G475" s="4"/>
      <c r="H475" s="4"/>
      <c r="I475" s="4"/>
    </row>
    <row r="476" spans="1:9" ht="15.75" customHeight="1" x14ac:dyDescent="0.25">
      <c r="A476" s="4"/>
      <c r="B476" s="4"/>
      <c r="C476" s="4"/>
      <c r="D476" s="4"/>
      <c r="E476" s="4"/>
      <c r="F476" s="4"/>
      <c r="G476" s="4"/>
      <c r="H476" s="4"/>
      <c r="I476" s="4"/>
    </row>
    <row r="477" spans="1:9" ht="15.75" customHeight="1" x14ac:dyDescent="0.25">
      <c r="A477" s="4"/>
      <c r="B477" s="4"/>
      <c r="C477" s="4"/>
      <c r="D477" s="4"/>
      <c r="E477" s="4"/>
      <c r="F477" s="4"/>
      <c r="G477" s="4"/>
      <c r="H477" s="4"/>
      <c r="I477" s="4"/>
    </row>
    <row r="478" spans="1:9" ht="15.75" customHeight="1" x14ac:dyDescent="0.25">
      <c r="A478" s="4"/>
      <c r="B478" s="4"/>
      <c r="C478" s="4"/>
      <c r="D478" s="4"/>
      <c r="E478" s="4"/>
      <c r="F478" s="4"/>
      <c r="G478" s="4"/>
      <c r="H478" s="4"/>
      <c r="I478" s="4"/>
    </row>
    <row r="479" spans="1:9" ht="15.75" customHeight="1" x14ac:dyDescent="0.25">
      <c r="A479" s="4"/>
      <c r="B479" s="4"/>
      <c r="C479" s="4"/>
      <c r="D479" s="4"/>
      <c r="E479" s="4"/>
      <c r="F479" s="4"/>
      <c r="G479" s="4"/>
      <c r="H479" s="4"/>
      <c r="I479" s="4"/>
    </row>
    <row r="480" spans="1:9" ht="15.75" customHeight="1" x14ac:dyDescent="0.25">
      <c r="A480" s="4"/>
      <c r="B480" s="4"/>
      <c r="C480" s="4"/>
      <c r="D480" s="4"/>
      <c r="E480" s="4"/>
      <c r="F480" s="4"/>
      <c r="G480" s="4"/>
      <c r="H480" s="4"/>
      <c r="I480" s="4"/>
    </row>
    <row r="481" spans="1:9" ht="15.75" customHeight="1" x14ac:dyDescent="0.25">
      <c r="A481" s="4"/>
      <c r="B481" s="4"/>
      <c r="C481" s="4"/>
      <c r="D481" s="4"/>
      <c r="E481" s="4"/>
      <c r="F481" s="4"/>
      <c r="G481" s="4"/>
      <c r="H481" s="4"/>
      <c r="I481" s="4"/>
    </row>
    <row r="482" spans="1:9" ht="15.75" customHeight="1" x14ac:dyDescent="0.25">
      <c r="A482" s="4"/>
      <c r="B482" s="4"/>
      <c r="C482" s="4"/>
      <c r="D482" s="4"/>
      <c r="E482" s="4"/>
      <c r="F482" s="4"/>
      <c r="G482" s="4"/>
      <c r="H482" s="4"/>
      <c r="I482" s="4"/>
    </row>
    <row r="483" spans="1:9" ht="15.75" customHeight="1" x14ac:dyDescent="0.25">
      <c r="A483" s="4"/>
      <c r="B483" s="4"/>
      <c r="C483" s="4"/>
      <c r="D483" s="4"/>
      <c r="E483" s="4"/>
      <c r="F483" s="4"/>
      <c r="G483" s="4"/>
      <c r="H483" s="4"/>
      <c r="I483" s="4"/>
    </row>
    <row r="484" spans="1:9" ht="15.75" customHeight="1" x14ac:dyDescent="0.25">
      <c r="A484" s="4"/>
      <c r="B484" s="4"/>
      <c r="C484" s="4"/>
      <c r="D484" s="4"/>
      <c r="E484" s="4"/>
      <c r="F484" s="4"/>
      <c r="G484" s="4"/>
      <c r="H484" s="4"/>
      <c r="I484" s="4"/>
    </row>
    <row r="485" spans="1:9" ht="15.75" customHeight="1" x14ac:dyDescent="0.25">
      <c r="A485" s="4"/>
      <c r="B485" s="4"/>
      <c r="C485" s="4"/>
      <c r="D485" s="4"/>
      <c r="E485" s="4"/>
      <c r="F485" s="4"/>
      <c r="G485" s="4"/>
      <c r="H485" s="4"/>
      <c r="I485" s="4"/>
    </row>
    <row r="486" spans="1:9" ht="15.75" customHeight="1" x14ac:dyDescent="0.25">
      <c r="A486" s="4"/>
      <c r="B486" s="4"/>
      <c r="C486" s="4"/>
      <c r="D486" s="4"/>
      <c r="E486" s="4"/>
      <c r="F486" s="4"/>
      <c r="G486" s="4"/>
      <c r="H486" s="4"/>
      <c r="I486" s="4"/>
    </row>
    <row r="487" spans="1:9" ht="15.75" customHeight="1" x14ac:dyDescent="0.25">
      <c r="A487" s="4"/>
      <c r="B487" s="4"/>
      <c r="C487" s="4"/>
      <c r="D487" s="4"/>
      <c r="E487" s="4"/>
      <c r="F487" s="4"/>
      <c r="G487" s="4"/>
      <c r="H487" s="4"/>
      <c r="I487" s="4"/>
    </row>
    <row r="488" spans="1:9" ht="15.75" customHeight="1" x14ac:dyDescent="0.25">
      <c r="A488" s="4"/>
      <c r="B488" s="4"/>
      <c r="C488" s="4"/>
      <c r="D488" s="4"/>
      <c r="E488" s="4"/>
      <c r="F488" s="4"/>
      <c r="G488" s="4"/>
      <c r="H488" s="4"/>
      <c r="I488" s="4"/>
    </row>
    <row r="489" spans="1:9" ht="15.75" customHeight="1" x14ac:dyDescent="0.25">
      <c r="A489" s="4"/>
      <c r="B489" s="4"/>
      <c r="C489" s="4"/>
      <c r="D489" s="4"/>
      <c r="E489" s="4"/>
      <c r="F489" s="4"/>
      <c r="G489" s="4"/>
      <c r="H489" s="4"/>
      <c r="I489" s="4"/>
    </row>
    <row r="490" spans="1:9" ht="15.75" customHeight="1" x14ac:dyDescent="0.25">
      <c r="A490" s="4"/>
      <c r="B490" s="4"/>
      <c r="C490" s="4"/>
      <c r="D490" s="4"/>
      <c r="E490" s="4"/>
      <c r="F490" s="4"/>
      <c r="G490" s="4"/>
      <c r="H490" s="4"/>
      <c r="I490" s="4"/>
    </row>
    <row r="491" spans="1:9" ht="15.75" customHeight="1" x14ac:dyDescent="0.25">
      <c r="A491" s="4"/>
      <c r="B491" s="4"/>
      <c r="C491" s="4"/>
      <c r="D491" s="4"/>
      <c r="E491" s="4"/>
      <c r="F491" s="4"/>
      <c r="G491" s="4"/>
      <c r="H491" s="4"/>
      <c r="I491" s="4"/>
    </row>
    <row r="492" spans="1:9" ht="15.75" customHeight="1" x14ac:dyDescent="0.25">
      <c r="A492" s="4"/>
      <c r="B492" s="4"/>
      <c r="C492" s="4"/>
      <c r="D492" s="4"/>
      <c r="E492" s="4"/>
      <c r="F492" s="4"/>
      <c r="G492" s="4"/>
      <c r="H492" s="4"/>
      <c r="I492" s="4"/>
    </row>
    <row r="493" spans="1:9" ht="15.75" customHeight="1" x14ac:dyDescent="0.25">
      <c r="A493" s="4"/>
      <c r="B493" s="4"/>
      <c r="C493" s="4"/>
      <c r="D493" s="4"/>
      <c r="E493" s="4"/>
      <c r="F493" s="4"/>
      <c r="G493" s="4"/>
      <c r="H493" s="4"/>
      <c r="I493" s="4"/>
    </row>
    <row r="494" spans="1:9" ht="15.75" customHeight="1" x14ac:dyDescent="0.25">
      <c r="A494" s="4"/>
      <c r="B494" s="4"/>
      <c r="C494" s="4"/>
      <c r="D494" s="4"/>
      <c r="E494" s="4"/>
      <c r="F494" s="4"/>
      <c r="G494" s="4"/>
      <c r="H494" s="4"/>
      <c r="I494" s="4"/>
    </row>
    <row r="495" spans="1:9" ht="15.75" customHeight="1" x14ac:dyDescent="0.25">
      <c r="A495" s="4"/>
      <c r="B495" s="4"/>
      <c r="C495" s="4"/>
      <c r="D495" s="4"/>
      <c r="E495" s="4"/>
      <c r="F495" s="4"/>
      <c r="G495" s="4"/>
      <c r="H495" s="4"/>
      <c r="I495" s="4"/>
    </row>
    <row r="496" spans="1:9" ht="15.75" customHeight="1" x14ac:dyDescent="0.25">
      <c r="A496" s="4"/>
      <c r="B496" s="4"/>
      <c r="C496" s="4"/>
      <c r="D496" s="4"/>
      <c r="E496" s="4"/>
      <c r="F496" s="4"/>
      <c r="G496" s="4"/>
      <c r="H496" s="4"/>
      <c r="I496" s="4"/>
    </row>
    <row r="497" spans="1:9" ht="15.75" customHeight="1" x14ac:dyDescent="0.25">
      <c r="A497" s="4"/>
      <c r="B497" s="4"/>
      <c r="C497" s="4"/>
      <c r="D497" s="4"/>
      <c r="E497" s="4"/>
      <c r="F497" s="4"/>
      <c r="G497" s="4"/>
      <c r="H497" s="4"/>
      <c r="I497" s="4"/>
    </row>
    <row r="498" spans="1:9" ht="15.75" customHeight="1" x14ac:dyDescent="0.25">
      <c r="A498" s="4"/>
      <c r="B498" s="4"/>
      <c r="C498" s="4"/>
      <c r="D498" s="4"/>
      <c r="E498" s="4"/>
      <c r="F498" s="4"/>
      <c r="G498" s="4"/>
      <c r="H498" s="4"/>
      <c r="I498" s="4"/>
    </row>
    <row r="499" spans="1:9" ht="15.75" customHeight="1" x14ac:dyDescent="0.25">
      <c r="A499" s="4"/>
      <c r="B499" s="4"/>
      <c r="C499" s="4"/>
      <c r="D499" s="4"/>
      <c r="E499" s="4"/>
      <c r="F499" s="4"/>
      <c r="G499" s="4"/>
      <c r="H499" s="4"/>
      <c r="I499" s="4"/>
    </row>
    <row r="500" spans="1:9" ht="15.75" customHeight="1" x14ac:dyDescent="0.25">
      <c r="A500" s="4"/>
      <c r="B500" s="4"/>
      <c r="C500" s="4"/>
      <c r="D500" s="4"/>
      <c r="E500" s="4"/>
      <c r="F500" s="4"/>
      <c r="G500" s="4"/>
      <c r="H500" s="4"/>
      <c r="I500" s="4"/>
    </row>
    <row r="501" spans="1:9" ht="15.75" customHeight="1" x14ac:dyDescent="0.25">
      <c r="A501" s="4"/>
      <c r="B501" s="4"/>
      <c r="C501" s="4"/>
      <c r="D501" s="4"/>
      <c r="E501" s="4"/>
      <c r="F501" s="4"/>
      <c r="G501" s="4"/>
      <c r="H501" s="4"/>
      <c r="I501" s="4"/>
    </row>
    <row r="502" spans="1:9" ht="15.75" customHeight="1" x14ac:dyDescent="0.25">
      <c r="A502" s="4"/>
      <c r="B502" s="4"/>
      <c r="C502" s="4"/>
      <c r="D502" s="4"/>
      <c r="E502" s="4"/>
      <c r="F502" s="4"/>
      <c r="G502" s="4"/>
      <c r="H502" s="4"/>
      <c r="I502" s="4"/>
    </row>
    <row r="503" spans="1:9" ht="15.75" customHeight="1" x14ac:dyDescent="0.25">
      <c r="A503" s="4"/>
      <c r="B503" s="4"/>
      <c r="C503" s="4"/>
      <c r="D503" s="4"/>
      <c r="E503" s="4"/>
      <c r="F503" s="4"/>
      <c r="G503" s="4"/>
      <c r="H503" s="4"/>
      <c r="I503" s="4"/>
    </row>
    <row r="504" spans="1:9" ht="15.75" customHeight="1" x14ac:dyDescent="0.25">
      <c r="A504" s="4"/>
      <c r="B504" s="4"/>
      <c r="C504" s="4"/>
      <c r="D504" s="4"/>
      <c r="E504" s="4"/>
      <c r="F504" s="4"/>
      <c r="G504" s="4"/>
      <c r="H504" s="4"/>
      <c r="I504" s="4"/>
    </row>
    <row r="505" spans="1:9" ht="15.75" customHeight="1" x14ac:dyDescent="0.25">
      <c r="A505" s="4"/>
      <c r="B505" s="4"/>
      <c r="C505" s="4"/>
      <c r="D505" s="4"/>
      <c r="E505" s="4"/>
      <c r="F505" s="4"/>
      <c r="G505" s="4"/>
      <c r="H505" s="4"/>
      <c r="I505" s="4"/>
    </row>
    <row r="506" spans="1:9" ht="15.75" customHeight="1" x14ac:dyDescent="0.25">
      <c r="A506" s="4"/>
      <c r="B506" s="4"/>
      <c r="C506" s="4"/>
      <c r="D506" s="4"/>
      <c r="E506" s="4"/>
      <c r="F506" s="4"/>
      <c r="G506" s="4"/>
      <c r="H506" s="4"/>
      <c r="I506" s="4"/>
    </row>
    <row r="507" spans="1:9" ht="15.75" customHeight="1" x14ac:dyDescent="0.25">
      <c r="A507" s="4"/>
      <c r="B507" s="4"/>
      <c r="C507" s="4"/>
      <c r="D507" s="4"/>
      <c r="E507" s="4"/>
      <c r="F507" s="4"/>
      <c r="G507" s="4"/>
      <c r="H507" s="4"/>
      <c r="I507" s="4"/>
    </row>
    <row r="508" spans="1:9" ht="15.75" customHeight="1" x14ac:dyDescent="0.25">
      <c r="A508" s="4"/>
      <c r="B508" s="4"/>
      <c r="C508" s="4"/>
      <c r="D508" s="4"/>
      <c r="E508" s="4"/>
      <c r="F508" s="4"/>
      <c r="G508" s="4"/>
      <c r="H508" s="4"/>
      <c r="I508" s="4"/>
    </row>
    <row r="509" spans="1:9" ht="15.75" customHeight="1" x14ac:dyDescent="0.25">
      <c r="A509" s="4"/>
      <c r="B509" s="4"/>
      <c r="C509" s="4"/>
      <c r="D509" s="4"/>
      <c r="E509" s="4"/>
      <c r="F509" s="4"/>
      <c r="G509" s="4"/>
      <c r="H509" s="4"/>
      <c r="I509" s="4"/>
    </row>
    <row r="510" spans="1:9" ht="15.75" customHeight="1" x14ac:dyDescent="0.25">
      <c r="A510" s="4"/>
      <c r="B510" s="4"/>
      <c r="C510" s="4"/>
      <c r="D510" s="4"/>
      <c r="E510" s="4"/>
      <c r="F510" s="4"/>
      <c r="G510" s="4"/>
      <c r="H510" s="4"/>
      <c r="I510" s="4"/>
    </row>
    <row r="511" spans="1:9" ht="15.75" customHeight="1" x14ac:dyDescent="0.25">
      <c r="A511" s="4"/>
      <c r="B511" s="4"/>
      <c r="C511" s="4"/>
      <c r="D511" s="4"/>
      <c r="E511" s="4"/>
      <c r="F511" s="4"/>
      <c r="G511" s="4"/>
      <c r="H511" s="4"/>
      <c r="I511" s="4"/>
    </row>
    <row r="512" spans="1:9" ht="15.75" customHeight="1" x14ac:dyDescent="0.25">
      <c r="A512" s="4"/>
      <c r="B512" s="4"/>
      <c r="C512" s="4"/>
      <c r="D512" s="4"/>
      <c r="E512" s="4"/>
      <c r="F512" s="4"/>
      <c r="G512" s="4"/>
      <c r="H512" s="4"/>
      <c r="I512" s="4"/>
    </row>
    <row r="513" spans="1:9" ht="15.75" customHeight="1" x14ac:dyDescent="0.25">
      <c r="A513" s="4"/>
      <c r="B513" s="4"/>
      <c r="C513" s="4"/>
      <c r="D513" s="4"/>
      <c r="E513" s="4"/>
      <c r="F513" s="4"/>
      <c r="G513" s="4"/>
      <c r="H513" s="4"/>
      <c r="I513" s="4"/>
    </row>
    <row r="514" spans="1:9" ht="15.75" customHeight="1" x14ac:dyDescent="0.25">
      <c r="A514" s="4"/>
      <c r="B514" s="4"/>
      <c r="C514" s="4"/>
      <c r="D514" s="4"/>
      <c r="E514" s="4"/>
      <c r="F514" s="4"/>
      <c r="G514" s="4"/>
      <c r="H514" s="4"/>
      <c r="I514" s="4"/>
    </row>
    <row r="515" spans="1:9" ht="15.75" customHeight="1" x14ac:dyDescent="0.25">
      <c r="A515" s="4"/>
      <c r="B515" s="4"/>
      <c r="C515" s="4"/>
      <c r="D515" s="4"/>
      <c r="E515" s="4"/>
      <c r="F515" s="4"/>
      <c r="G515" s="4"/>
      <c r="H515" s="4"/>
      <c r="I515" s="4"/>
    </row>
    <row r="516" spans="1:9" ht="15.75" customHeight="1" x14ac:dyDescent="0.25">
      <c r="A516" s="4"/>
      <c r="B516" s="4"/>
      <c r="C516" s="4"/>
      <c r="D516" s="4"/>
      <c r="E516" s="4"/>
      <c r="F516" s="4"/>
      <c r="G516" s="4"/>
      <c r="H516" s="4"/>
      <c r="I516" s="4"/>
    </row>
    <row r="517" spans="1:9" ht="15.75" customHeight="1" x14ac:dyDescent="0.25">
      <c r="A517" s="4"/>
      <c r="B517" s="4"/>
      <c r="C517" s="4"/>
      <c r="D517" s="4"/>
      <c r="E517" s="4"/>
      <c r="F517" s="4"/>
      <c r="G517" s="4"/>
      <c r="H517" s="4"/>
      <c r="I517" s="4"/>
    </row>
    <row r="518" spans="1:9" ht="15.75" customHeight="1" x14ac:dyDescent="0.25">
      <c r="A518" s="4"/>
      <c r="B518" s="4"/>
      <c r="C518" s="4"/>
      <c r="D518" s="4"/>
      <c r="E518" s="4"/>
      <c r="F518" s="4"/>
      <c r="G518" s="4"/>
      <c r="H518" s="4"/>
      <c r="I518" s="4"/>
    </row>
    <row r="519" spans="1:9" ht="15.75" customHeight="1" x14ac:dyDescent="0.25">
      <c r="A519" s="4"/>
      <c r="B519" s="4"/>
      <c r="C519" s="4"/>
      <c r="D519" s="4"/>
      <c r="E519" s="4"/>
      <c r="F519" s="4"/>
      <c r="G519" s="4"/>
      <c r="H519" s="4"/>
      <c r="I519" s="4"/>
    </row>
    <row r="520" spans="1:9" ht="15.75" customHeight="1" x14ac:dyDescent="0.25">
      <c r="A520" s="4"/>
      <c r="B520" s="4"/>
      <c r="C520" s="4"/>
      <c r="D520" s="4"/>
      <c r="E520" s="4"/>
      <c r="F520" s="4"/>
      <c r="G520" s="4"/>
      <c r="H520" s="4"/>
      <c r="I520" s="4"/>
    </row>
    <row r="521" spans="1:9" ht="15.75" customHeight="1" x14ac:dyDescent="0.25">
      <c r="A521" s="4"/>
      <c r="B521" s="4"/>
      <c r="C521" s="4"/>
      <c r="D521" s="4"/>
      <c r="E521" s="4"/>
      <c r="F521" s="4"/>
      <c r="G521" s="4"/>
      <c r="H521" s="4"/>
      <c r="I521" s="4"/>
    </row>
    <row r="522" spans="1:9" ht="15.75" customHeight="1" x14ac:dyDescent="0.25">
      <c r="A522" s="4"/>
      <c r="B522" s="4"/>
      <c r="C522" s="4"/>
      <c r="D522" s="4"/>
      <c r="E522" s="4"/>
      <c r="F522" s="4"/>
      <c r="G522" s="4"/>
      <c r="H522" s="4"/>
      <c r="I522" s="4"/>
    </row>
    <row r="523" spans="1:9" ht="15.75" customHeight="1" x14ac:dyDescent="0.25">
      <c r="A523" s="4"/>
      <c r="B523" s="4"/>
      <c r="C523" s="4"/>
      <c r="D523" s="4"/>
      <c r="E523" s="4"/>
      <c r="F523" s="4"/>
      <c r="G523" s="4"/>
      <c r="H523" s="4"/>
      <c r="I523" s="4"/>
    </row>
    <row r="524" spans="1:9" ht="15.75" customHeight="1" x14ac:dyDescent="0.25">
      <c r="A524" s="4"/>
      <c r="B524" s="4"/>
      <c r="C524" s="4"/>
      <c r="D524" s="4"/>
      <c r="E524" s="4"/>
      <c r="F524" s="4"/>
      <c r="G524" s="4"/>
      <c r="H524" s="4"/>
      <c r="I524" s="4"/>
    </row>
    <row r="525" spans="1:9" ht="15.75" customHeight="1" x14ac:dyDescent="0.25">
      <c r="A525" s="4"/>
      <c r="B525" s="4"/>
      <c r="C525" s="4"/>
      <c r="D525" s="4"/>
      <c r="E525" s="4"/>
      <c r="F525" s="4"/>
      <c r="G525" s="4"/>
      <c r="H525" s="4"/>
      <c r="I525" s="4"/>
    </row>
    <row r="526" spans="1:9" ht="15.75" customHeight="1" x14ac:dyDescent="0.25">
      <c r="A526" s="4"/>
      <c r="B526" s="4"/>
      <c r="C526" s="4"/>
      <c r="D526" s="4"/>
      <c r="E526" s="4"/>
      <c r="F526" s="4"/>
      <c r="G526" s="4"/>
      <c r="H526" s="4"/>
      <c r="I526" s="4"/>
    </row>
    <row r="527" spans="1:9" ht="15.75" customHeight="1" x14ac:dyDescent="0.25">
      <c r="A527" s="4"/>
      <c r="B527" s="4"/>
      <c r="C527" s="4"/>
      <c r="D527" s="4"/>
      <c r="E527" s="4"/>
      <c r="F527" s="4"/>
      <c r="G527" s="4"/>
      <c r="H527" s="4"/>
      <c r="I527" s="4"/>
    </row>
    <row r="528" spans="1:9" ht="15.75" customHeight="1" x14ac:dyDescent="0.25">
      <c r="A528" s="4"/>
      <c r="B528" s="4"/>
      <c r="C528" s="4"/>
      <c r="D528" s="4"/>
      <c r="E528" s="4"/>
      <c r="F528" s="4"/>
      <c r="G528" s="4"/>
      <c r="H528" s="4"/>
      <c r="I528" s="4"/>
    </row>
    <row r="529" spans="1:9" ht="15.75" customHeight="1" x14ac:dyDescent="0.25">
      <c r="A529" s="4"/>
      <c r="B529" s="4"/>
      <c r="C529" s="4"/>
      <c r="D529" s="4"/>
      <c r="E529" s="4"/>
      <c r="F529" s="4"/>
      <c r="G529" s="4"/>
      <c r="H529" s="4"/>
      <c r="I529" s="4"/>
    </row>
    <row r="530" spans="1:9" ht="15.75" customHeight="1" x14ac:dyDescent="0.25">
      <c r="A530" s="4"/>
      <c r="B530" s="4"/>
      <c r="C530" s="4"/>
      <c r="D530" s="4"/>
      <c r="E530" s="4"/>
      <c r="F530" s="4"/>
      <c r="G530" s="4"/>
      <c r="H530" s="4"/>
      <c r="I530" s="4"/>
    </row>
    <row r="531" spans="1:9" ht="15.75" customHeight="1" x14ac:dyDescent="0.25">
      <c r="A531" s="4"/>
      <c r="B531" s="4"/>
      <c r="C531" s="4"/>
      <c r="D531" s="4"/>
      <c r="E531" s="4"/>
      <c r="F531" s="4"/>
      <c r="G531" s="4"/>
      <c r="H531" s="4"/>
      <c r="I531" s="4"/>
    </row>
    <row r="532" spans="1:9" ht="15.75" customHeight="1" x14ac:dyDescent="0.25">
      <c r="A532" s="4"/>
      <c r="B532" s="4"/>
      <c r="C532" s="4"/>
      <c r="D532" s="4"/>
      <c r="E532" s="4"/>
      <c r="F532" s="4"/>
      <c r="G532" s="4"/>
      <c r="H532" s="4"/>
      <c r="I532" s="4"/>
    </row>
    <row r="533" spans="1:9" ht="15.75" customHeight="1" x14ac:dyDescent="0.25">
      <c r="A533" s="4"/>
      <c r="B533" s="4"/>
      <c r="C533" s="4"/>
      <c r="D533" s="4"/>
      <c r="E533" s="4"/>
      <c r="F533" s="4"/>
      <c r="G533" s="4"/>
      <c r="H533" s="4"/>
      <c r="I533" s="4"/>
    </row>
    <row r="534" spans="1:9" ht="15.75" customHeight="1" x14ac:dyDescent="0.25">
      <c r="A534" s="4"/>
      <c r="B534" s="4"/>
      <c r="C534" s="4"/>
      <c r="D534" s="4"/>
      <c r="E534" s="4"/>
      <c r="F534" s="4"/>
      <c r="G534" s="4"/>
      <c r="H534" s="4"/>
      <c r="I534" s="4"/>
    </row>
    <row r="535" spans="1:9" ht="15.75" customHeight="1" x14ac:dyDescent="0.25">
      <c r="A535" s="4"/>
      <c r="B535" s="4"/>
      <c r="C535" s="4"/>
      <c r="D535" s="4"/>
      <c r="E535" s="4"/>
      <c r="F535" s="4"/>
      <c r="G535" s="4"/>
      <c r="H535" s="4"/>
      <c r="I535" s="4"/>
    </row>
    <row r="536" spans="1:9" ht="15.75" customHeight="1" x14ac:dyDescent="0.25">
      <c r="A536" s="4"/>
      <c r="B536" s="4"/>
      <c r="C536" s="4"/>
      <c r="D536" s="4"/>
      <c r="E536" s="4"/>
      <c r="F536" s="4"/>
      <c r="G536" s="4"/>
      <c r="H536" s="4"/>
      <c r="I536" s="4"/>
    </row>
    <row r="537" spans="1:9" ht="15.75" customHeight="1" x14ac:dyDescent="0.25">
      <c r="A537" s="4"/>
      <c r="B537" s="4"/>
      <c r="C537" s="4"/>
      <c r="D537" s="4"/>
      <c r="E537" s="4"/>
      <c r="F537" s="4"/>
      <c r="G537" s="4"/>
      <c r="H537" s="4"/>
      <c r="I537" s="4"/>
    </row>
    <row r="538" spans="1:9" ht="15.75" customHeight="1" x14ac:dyDescent="0.25">
      <c r="A538" s="4"/>
      <c r="B538" s="4"/>
      <c r="C538" s="4"/>
      <c r="D538" s="4"/>
      <c r="E538" s="4"/>
      <c r="F538" s="4"/>
      <c r="G538" s="4"/>
      <c r="H538" s="4"/>
      <c r="I538" s="4"/>
    </row>
    <row r="539" spans="1:9" ht="15.75" customHeight="1" x14ac:dyDescent="0.25">
      <c r="A539" s="4"/>
      <c r="B539" s="4"/>
      <c r="C539" s="4"/>
      <c r="D539" s="4"/>
      <c r="E539" s="4"/>
      <c r="F539" s="4"/>
      <c r="G539" s="4"/>
      <c r="H539" s="4"/>
      <c r="I539" s="4"/>
    </row>
    <row r="540" spans="1:9" ht="15.75" customHeight="1" x14ac:dyDescent="0.25">
      <c r="A540" s="4"/>
      <c r="B540" s="4"/>
      <c r="C540" s="4"/>
      <c r="D540" s="4"/>
      <c r="E540" s="4"/>
      <c r="F540" s="4"/>
      <c r="G540" s="4"/>
      <c r="H540" s="4"/>
      <c r="I540" s="4"/>
    </row>
    <row r="541" spans="1:9" ht="15.75" customHeight="1" x14ac:dyDescent="0.25">
      <c r="A541" s="4"/>
      <c r="B541" s="4"/>
      <c r="C541" s="4"/>
      <c r="D541" s="4"/>
      <c r="E541" s="4"/>
      <c r="F541" s="4"/>
      <c r="G541" s="4"/>
      <c r="H541" s="4"/>
      <c r="I541" s="4"/>
    </row>
    <row r="542" spans="1:9" ht="15.75" customHeight="1" x14ac:dyDescent="0.25">
      <c r="A542" s="4"/>
      <c r="B542" s="4"/>
      <c r="C542" s="4"/>
      <c r="D542" s="4"/>
      <c r="E542" s="4"/>
      <c r="F542" s="4"/>
      <c r="G542" s="4"/>
      <c r="H542" s="4"/>
      <c r="I542" s="4"/>
    </row>
    <row r="543" spans="1:9" ht="15.75" customHeight="1" x14ac:dyDescent="0.25">
      <c r="A543" s="4"/>
      <c r="B543" s="4"/>
      <c r="C543" s="4"/>
      <c r="D543" s="4"/>
      <c r="E543" s="4"/>
      <c r="F543" s="4"/>
      <c r="G543" s="4"/>
      <c r="H543" s="4"/>
      <c r="I543" s="4"/>
    </row>
    <row r="544" spans="1:9" ht="15.75" customHeight="1" x14ac:dyDescent="0.25">
      <c r="A544" s="4"/>
      <c r="B544" s="4"/>
      <c r="C544" s="4"/>
      <c r="D544" s="4"/>
      <c r="E544" s="4"/>
      <c r="F544" s="4"/>
      <c r="G544" s="4"/>
      <c r="H544" s="4"/>
      <c r="I544" s="4"/>
    </row>
    <row r="545" spans="1:9" ht="15.75" customHeight="1" x14ac:dyDescent="0.25">
      <c r="A545" s="4"/>
      <c r="B545" s="4"/>
      <c r="C545" s="4"/>
      <c r="D545" s="4"/>
      <c r="E545" s="4"/>
      <c r="F545" s="4"/>
      <c r="G545" s="4"/>
      <c r="H545" s="4"/>
      <c r="I545" s="4"/>
    </row>
    <row r="546" spans="1:9" ht="15.75" customHeight="1" x14ac:dyDescent="0.25">
      <c r="A546" s="4"/>
      <c r="B546" s="4"/>
      <c r="C546" s="4"/>
      <c r="D546" s="4"/>
      <c r="E546" s="4"/>
      <c r="F546" s="4"/>
      <c r="G546" s="4"/>
      <c r="H546" s="4"/>
      <c r="I546" s="4"/>
    </row>
    <row r="547" spans="1:9" ht="15.75" customHeight="1" x14ac:dyDescent="0.25">
      <c r="A547" s="4"/>
      <c r="B547" s="4"/>
      <c r="C547" s="4"/>
      <c r="D547" s="4"/>
      <c r="E547" s="4"/>
      <c r="F547" s="4"/>
      <c r="G547" s="4"/>
      <c r="H547" s="4"/>
      <c r="I547" s="4"/>
    </row>
    <row r="548" spans="1:9" ht="15.75" customHeight="1" x14ac:dyDescent="0.25">
      <c r="A548" s="4"/>
      <c r="B548" s="4"/>
      <c r="C548" s="4"/>
      <c r="D548" s="4"/>
      <c r="E548" s="4"/>
      <c r="F548" s="4"/>
      <c r="G548" s="4"/>
      <c r="H548" s="4"/>
      <c r="I548" s="4"/>
    </row>
    <row r="549" spans="1:9" ht="15.75" customHeight="1" x14ac:dyDescent="0.25">
      <c r="A549" s="4"/>
      <c r="B549" s="4"/>
      <c r="C549" s="4"/>
      <c r="D549" s="4"/>
      <c r="E549" s="4"/>
      <c r="F549" s="4"/>
      <c r="G549" s="4"/>
      <c r="H549" s="4"/>
      <c r="I549" s="4"/>
    </row>
    <row r="550" spans="1:9" ht="15.75" customHeight="1" x14ac:dyDescent="0.25">
      <c r="A550" s="4"/>
      <c r="B550" s="4"/>
      <c r="C550" s="4"/>
      <c r="D550" s="4"/>
      <c r="E550" s="4"/>
      <c r="F550" s="4"/>
      <c r="G550" s="4"/>
      <c r="H550" s="4"/>
      <c r="I550" s="4"/>
    </row>
    <row r="551" spans="1:9" ht="15.75" customHeight="1" x14ac:dyDescent="0.25">
      <c r="A551" s="4"/>
      <c r="B551" s="4"/>
      <c r="C551" s="4"/>
      <c r="D551" s="4"/>
      <c r="E551" s="4"/>
      <c r="F551" s="4"/>
      <c r="G551" s="4"/>
      <c r="H551" s="4"/>
      <c r="I551" s="4"/>
    </row>
    <row r="552" spans="1:9" ht="15.75" customHeight="1" x14ac:dyDescent="0.25">
      <c r="A552" s="4"/>
      <c r="B552" s="4"/>
      <c r="C552" s="4"/>
      <c r="D552" s="4"/>
      <c r="E552" s="4"/>
      <c r="F552" s="4"/>
      <c r="G552" s="4"/>
      <c r="H552" s="4"/>
      <c r="I552" s="4"/>
    </row>
    <row r="553" spans="1:9" ht="15.75" customHeight="1" x14ac:dyDescent="0.25">
      <c r="A553" s="4"/>
      <c r="B553" s="4"/>
      <c r="C553" s="4"/>
      <c r="D553" s="4"/>
      <c r="E553" s="4"/>
      <c r="F553" s="4"/>
      <c r="G553" s="4"/>
      <c r="H553" s="4"/>
      <c r="I553" s="4"/>
    </row>
    <row r="554" spans="1:9" ht="15.75" customHeight="1" x14ac:dyDescent="0.25">
      <c r="A554" s="4"/>
      <c r="B554" s="4"/>
      <c r="C554" s="4"/>
      <c r="D554" s="4"/>
      <c r="E554" s="4"/>
      <c r="F554" s="4"/>
      <c r="G554" s="4"/>
      <c r="H554" s="4"/>
      <c r="I554" s="4"/>
    </row>
    <row r="555" spans="1:9" ht="15.75" customHeight="1" x14ac:dyDescent="0.25">
      <c r="A555" s="4"/>
      <c r="B555" s="4"/>
      <c r="C555" s="4"/>
      <c r="D555" s="4"/>
      <c r="E555" s="4"/>
      <c r="F555" s="4"/>
      <c r="G555" s="4"/>
      <c r="H555" s="4"/>
      <c r="I555" s="4"/>
    </row>
    <row r="556" spans="1:9" ht="15.75" customHeight="1" x14ac:dyDescent="0.25">
      <c r="A556" s="4"/>
      <c r="B556" s="4"/>
      <c r="C556" s="4"/>
      <c r="D556" s="4"/>
      <c r="E556" s="4"/>
      <c r="F556" s="4"/>
      <c r="G556" s="4"/>
      <c r="H556" s="4"/>
      <c r="I556" s="4"/>
    </row>
    <row r="557" spans="1:9" ht="15.75" customHeight="1" x14ac:dyDescent="0.25">
      <c r="A557" s="4"/>
      <c r="B557" s="4"/>
      <c r="C557" s="4"/>
      <c r="D557" s="4"/>
      <c r="E557" s="4"/>
      <c r="F557" s="4"/>
      <c r="G557" s="4"/>
      <c r="H557" s="4"/>
      <c r="I557" s="4"/>
    </row>
    <row r="558" spans="1:9" ht="15.75" customHeight="1" x14ac:dyDescent="0.25">
      <c r="A558" s="4"/>
      <c r="B558" s="4"/>
      <c r="C558" s="4"/>
      <c r="D558" s="4"/>
      <c r="E558" s="4"/>
      <c r="F558" s="4"/>
      <c r="G558" s="4"/>
      <c r="H558" s="4"/>
      <c r="I558" s="4"/>
    </row>
    <row r="559" spans="1:9" ht="15.75" customHeight="1" x14ac:dyDescent="0.25">
      <c r="A559" s="4"/>
      <c r="B559" s="4"/>
      <c r="C559" s="4"/>
      <c r="D559" s="4"/>
      <c r="E559" s="4"/>
      <c r="F559" s="4"/>
      <c r="G559" s="4"/>
      <c r="H559" s="4"/>
      <c r="I559" s="4"/>
    </row>
    <row r="560" spans="1:9" ht="15.75" customHeight="1" x14ac:dyDescent="0.25">
      <c r="A560" s="4"/>
      <c r="B560" s="4"/>
      <c r="C560" s="4"/>
      <c r="D560" s="4"/>
      <c r="E560" s="4"/>
      <c r="F560" s="4"/>
      <c r="G560" s="4"/>
      <c r="H560" s="4"/>
      <c r="I560" s="4"/>
    </row>
    <row r="561" spans="1:9" ht="15.75" customHeight="1" x14ac:dyDescent="0.25">
      <c r="A561" s="4"/>
      <c r="B561" s="4"/>
      <c r="C561" s="4"/>
      <c r="D561" s="4"/>
      <c r="E561" s="4"/>
      <c r="F561" s="4"/>
      <c r="G561" s="4"/>
      <c r="H561" s="4"/>
      <c r="I561" s="4"/>
    </row>
    <row r="562" spans="1:9" ht="15.75" customHeight="1" x14ac:dyDescent="0.25">
      <c r="A562" s="4"/>
      <c r="B562" s="4"/>
      <c r="C562" s="4"/>
      <c r="D562" s="4"/>
      <c r="E562" s="4"/>
      <c r="F562" s="4"/>
      <c r="G562" s="4"/>
      <c r="H562" s="4"/>
      <c r="I562" s="4"/>
    </row>
    <row r="563" spans="1:9" ht="15.75" customHeight="1" x14ac:dyDescent="0.25">
      <c r="A563" s="4"/>
      <c r="B563" s="4"/>
      <c r="C563" s="4"/>
      <c r="D563" s="4"/>
      <c r="E563" s="4"/>
      <c r="F563" s="4"/>
      <c r="G563" s="4"/>
      <c r="H563" s="4"/>
      <c r="I563" s="4"/>
    </row>
    <row r="564" spans="1:9" ht="15.75" customHeight="1" x14ac:dyDescent="0.25">
      <c r="A564" s="4"/>
      <c r="B564" s="4"/>
      <c r="C564" s="4"/>
      <c r="D564" s="4"/>
      <c r="E564" s="4"/>
      <c r="F564" s="4"/>
      <c r="G564" s="4"/>
      <c r="H564" s="4"/>
      <c r="I564" s="4"/>
    </row>
    <row r="565" spans="1:9" ht="15.75" customHeight="1" x14ac:dyDescent="0.25">
      <c r="A565" s="4"/>
      <c r="B565" s="4"/>
      <c r="C565" s="4"/>
      <c r="D565" s="4"/>
      <c r="E565" s="4"/>
      <c r="F565" s="4"/>
      <c r="G565" s="4"/>
      <c r="H565" s="4"/>
      <c r="I565" s="4"/>
    </row>
    <row r="566" spans="1:9" ht="15.75" customHeight="1" x14ac:dyDescent="0.25">
      <c r="A566" s="4"/>
      <c r="B566" s="4"/>
      <c r="C566" s="4"/>
      <c r="D566" s="4"/>
      <c r="E566" s="4"/>
      <c r="F566" s="4"/>
      <c r="G566" s="4"/>
      <c r="H566" s="4"/>
      <c r="I566" s="4"/>
    </row>
    <row r="567" spans="1:9" ht="15.75" customHeight="1" x14ac:dyDescent="0.25">
      <c r="A567" s="4"/>
      <c r="B567" s="4"/>
      <c r="C567" s="4"/>
      <c r="D567" s="4"/>
      <c r="E567" s="4"/>
      <c r="F567" s="4"/>
      <c r="G567" s="4"/>
      <c r="H567" s="4"/>
      <c r="I567" s="4"/>
    </row>
    <row r="568" spans="1:9" ht="15.75" customHeight="1" x14ac:dyDescent="0.25">
      <c r="A568" s="4"/>
      <c r="B568" s="4"/>
      <c r="C568" s="4"/>
      <c r="D568" s="4"/>
      <c r="E568" s="4"/>
      <c r="F568" s="4"/>
      <c r="G568" s="4"/>
      <c r="H568" s="4"/>
      <c r="I568" s="4"/>
    </row>
    <row r="569" spans="1:9" ht="15.75" customHeight="1" x14ac:dyDescent="0.25">
      <c r="A569" s="4"/>
      <c r="B569" s="4"/>
      <c r="C569" s="4"/>
      <c r="D569" s="4"/>
      <c r="E569" s="4"/>
      <c r="F569" s="4"/>
      <c r="G569" s="4"/>
      <c r="H569" s="4"/>
      <c r="I569" s="4"/>
    </row>
    <row r="570" spans="1:9" ht="15.75" customHeight="1" x14ac:dyDescent="0.25">
      <c r="A570" s="4"/>
      <c r="B570" s="4"/>
      <c r="C570" s="4"/>
      <c r="D570" s="4"/>
      <c r="E570" s="4"/>
      <c r="F570" s="4"/>
      <c r="G570" s="4"/>
      <c r="H570" s="4"/>
      <c r="I570" s="4"/>
    </row>
    <row r="571" spans="1:9" ht="15.75" customHeight="1" x14ac:dyDescent="0.25">
      <c r="A571" s="4"/>
      <c r="B571" s="4"/>
      <c r="C571" s="4"/>
      <c r="D571" s="4"/>
      <c r="E571" s="4"/>
      <c r="F571" s="4"/>
      <c r="G571" s="4"/>
      <c r="H571" s="4"/>
      <c r="I571" s="4"/>
    </row>
    <row r="572" spans="1:9" ht="15.75" customHeight="1" x14ac:dyDescent="0.25">
      <c r="A572" s="4"/>
      <c r="B572" s="4"/>
      <c r="C572" s="4"/>
      <c r="D572" s="4"/>
      <c r="E572" s="4"/>
      <c r="F572" s="4"/>
      <c r="G572" s="4"/>
      <c r="H572" s="4"/>
      <c r="I572" s="4"/>
    </row>
    <row r="573" spans="1:9" ht="15.75" customHeight="1" x14ac:dyDescent="0.25">
      <c r="A573" s="4"/>
      <c r="B573" s="4"/>
      <c r="C573" s="4"/>
      <c r="D573" s="4"/>
      <c r="E573" s="4"/>
      <c r="F573" s="4"/>
      <c r="G573" s="4"/>
      <c r="H573" s="4"/>
      <c r="I573" s="4"/>
    </row>
    <row r="574" spans="1:9" ht="15.75" customHeight="1" x14ac:dyDescent="0.25">
      <c r="A574" s="4"/>
      <c r="B574" s="4"/>
      <c r="C574" s="4"/>
      <c r="D574" s="4"/>
      <c r="E574" s="4"/>
      <c r="F574" s="4"/>
      <c r="G574" s="4"/>
      <c r="H574" s="4"/>
      <c r="I574" s="4"/>
    </row>
    <row r="575" spans="1:9" ht="15.75" customHeight="1" x14ac:dyDescent="0.25">
      <c r="A575" s="4"/>
      <c r="B575" s="4"/>
      <c r="C575" s="4"/>
      <c r="D575" s="4"/>
      <c r="E575" s="4"/>
      <c r="F575" s="4"/>
      <c r="G575" s="4"/>
      <c r="H575" s="4"/>
      <c r="I575" s="4"/>
    </row>
    <row r="576" spans="1:9" ht="15.75" customHeight="1" x14ac:dyDescent="0.25">
      <c r="A576" s="4"/>
      <c r="B576" s="4"/>
      <c r="C576" s="4"/>
      <c r="D576" s="4"/>
      <c r="E576" s="4"/>
      <c r="F576" s="4"/>
      <c r="G576" s="4"/>
      <c r="H576" s="4"/>
      <c r="I576" s="4"/>
    </row>
    <row r="577" spans="1:9" ht="15.75" customHeight="1" x14ac:dyDescent="0.25">
      <c r="A577" s="4"/>
      <c r="B577" s="4"/>
      <c r="C577" s="4"/>
      <c r="D577" s="4"/>
      <c r="E577" s="4"/>
      <c r="F577" s="4"/>
      <c r="G577" s="4"/>
      <c r="H577" s="4"/>
      <c r="I577" s="4"/>
    </row>
    <row r="578" spans="1:9" ht="15.75" customHeight="1" x14ac:dyDescent="0.25">
      <c r="A578" s="4"/>
      <c r="B578" s="4"/>
      <c r="C578" s="4"/>
      <c r="D578" s="4"/>
      <c r="E578" s="4"/>
      <c r="F578" s="4"/>
      <c r="G578" s="4"/>
      <c r="H578" s="4"/>
      <c r="I578" s="4"/>
    </row>
    <row r="579" spans="1:9" ht="15.75" customHeight="1" x14ac:dyDescent="0.25">
      <c r="A579" s="4"/>
      <c r="B579" s="4"/>
      <c r="C579" s="4"/>
      <c r="D579" s="4"/>
      <c r="E579" s="4"/>
      <c r="F579" s="4"/>
      <c r="G579" s="4"/>
      <c r="H579" s="4"/>
      <c r="I579" s="4"/>
    </row>
    <row r="580" spans="1:9" ht="15.75" customHeight="1" x14ac:dyDescent="0.25">
      <c r="A580" s="4"/>
      <c r="B580" s="4"/>
      <c r="C580" s="4"/>
      <c r="D580" s="4"/>
      <c r="E580" s="4"/>
      <c r="F580" s="4"/>
      <c r="G580" s="4"/>
      <c r="H580" s="4"/>
      <c r="I580" s="4"/>
    </row>
    <row r="581" spans="1:9" ht="15.75" customHeight="1" x14ac:dyDescent="0.25">
      <c r="A581" s="4"/>
      <c r="B581" s="4"/>
      <c r="C581" s="4"/>
      <c r="D581" s="4"/>
      <c r="E581" s="4"/>
      <c r="F581" s="4"/>
      <c r="G581" s="4"/>
      <c r="H581" s="4"/>
      <c r="I581" s="4"/>
    </row>
    <row r="582" spans="1:9" ht="15.75" customHeight="1" x14ac:dyDescent="0.25">
      <c r="A582" s="4"/>
      <c r="B582" s="4"/>
      <c r="C582" s="4"/>
      <c r="D582" s="4"/>
      <c r="E582" s="4"/>
      <c r="F582" s="4"/>
      <c r="G582" s="4"/>
      <c r="H582" s="4"/>
      <c r="I582" s="4"/>
    </row>
    <row r="583" spans="1:9" ht="15.75" customHeight="1" x14ac:dyDescent="0.25">
      <c r="A583" s="4"/>
      <c r="B583" s="4"/>
      <c r="C583" s="4"/>
      <c r="D583" s="4"/>
      <c r="E583" s="4"/>
      <c r="F583" s="4"/>
      <c r="G583" s="4"/>
      <c r="H583" s="4"/>
      <c r="I583" s="4"/>
    </row>
    <row r="584" spans="1:9" ht="15.75" customHeight="1" x14ac:dyDescent="0.25">
      <c r="A584" s="4"/>
      <c r="B584" s="4"/>
      <c r="C584" s="4"/>
      <c r="D584" s="4"/>
      <c r="E584" s="4"/>
      <c r="F584" s="4"/>
      <c r="G584" s="4"/>
      <c r="H584" s="4"/>
      <c r="I584" s="4"/>
    </row>
    <row r="585" spans="1:9" ht="15.75" customHeight="1" x14ac:dyDescent="0.25">
      <c r="A585" s="4"/>
      <c r="B585" s="4"/>
      <c r="C585" s="4"/>
      <c r="D585" s="4"/>
      <c r="E585" s="4"/>
      <c r="F585" s="4"/>
      <c r="G585" s="4"/>
      <c r="H585" s="4"/>
      <c r="I585" s="4"/>
    </row>
    <row r="586" spans="1:9" ht="15.75" customHeight="1" x14ac:dyDescent="0.25">
      <c r="A586" s="4"/>
      <c r="B586" s="4"/>
      <c r="C586" s="4"/>
      <c r="D586" s="4"/>
      <c r="E586" s="4"/>
      <c r="F586" s="4"/>
      <c r="G586" s="4"/>
      <c r="H586" s="4"/>
      <c r="I586" s="4"/>
    </row>
    <row r="587" spans="1:9" ht="15.75" customHeight="1" x14ac:dyDescent="0.25">
      <c r="A587" s="4"/>
      <c r="B587" s="4"/>
      <c r="C587" s="4"/>
      <c r="D587" s="4"/>
      <c r="E587" s="4"/>
      <c r="F587" s="4"/>
      <c r="G587" s="4"/>
      <c r="H587" s="4"/>
      <c r="I587" s="4"/>
    </row>
    <row r="588" spans="1:9" ht="15.75" customHeight="1" x14ac:dyDescent="0.25">
      <c r="A588" s="4"/>
      <c r="B588" s="4"/>
      <c r="C588" s="4"/>
      <c r="D588" s="4"/>
      <c r="E588" s="4"/>
      <c r="F588" s="4"/>
      <c r="G588" s="4"/>
      <c r="H588" s="4"/>
      <c r="I588" s="4"/>
    </row>
    <row r="589" spans="1:9" ht="15.75" customHeight="1" x14ac:dyDescent="0.25">
      <c r="A589" s="4"/>
      <c r="B589" s="4"/>
      <c r="C589" s="4"/>
      <c r="D589" s="4"/>
      <c r="E589" s="4"/>
      <c r="F589" s="4"/>
      <c r="G589" s="4"/>
      <c r="H589" s="4"/>
      <c r="I589" s="4"/>
    </row>
    <row r="590" spans="1:9" ht="15.75" customHeight="1" x14ac:dyDescent="0.25">
      <c r="A590" s="4"/>
      <c r="B590" s="4"/>
      <c r="C590" s="4"/>
      <c r="D590" s="4"/>
      <c r="E590" s="4"/>
      <c r="F590" s="4"/>
      <c r="G590" s="4"/>
      <c r="H590" s="4"/>
      <c r="I590" s="4"/>
    </row>
    <row r="591" spans="1:9" ht="15.75" customHeight="1" x14ac:dyDescent="0.25">
      <c r="A591" s="4"/>
      <c r="B591" s="4"/>
      <c r="C591" s="4"/>
      <c r="D591" s="4"/>
      <c r="E591" s="4"/>
      <c r="F591" s="4"/>
      <c r="G591" s="4"/>
      <c r="H591" s="4"/>
      <c r="I591" s="4"/>
    </row>
    <row r="592" spans="1:9" ht="15.75" customHeight="1" x14ac:dyDescent="0.25">
      <c r="A592" s="4"/>
      <c r="B592" s="4"/>
      <c r="C592" s="4"/>
      <c r="D592" s="4"/>
      <c r="E592" s="4"/>
      <c r="F592" s="4"/>
      <c r="G592" s="4"/>
      <c r="H592" s="4"/>
      <c r="I592" s="4"/>
    </row>
    <row r="593" spans="1:9" ht="15.75" customHeight="1" x14ac:dyDescent="0.25">
      <c r="A593" s="4"/>
      <c r="B593" s="4"/>
      <c r="C593" s="4"/>
      <c r="D593" s="4"/>
      <c r="E593" s="4"/>
      <c r="F593" s="4"/>
      <c r="G593" s="4"/>
      <c r="H593" s="4"/>
      <c r="I593" s="4"/>
    </row>
    <row r="594" spans="1:9" ht="15.75" customHeight="1" x14ac:dyDescent="0.25">
      <c r="A594" s="4"/>
      <c r="B594" s="4"/>
      <c r="C594" s="4"/>
      <c r="D594" s="4"/>
      <c r="E594" s="4"/>
      <c r="F594" s="4"/>
      <c r="G594" s="4"/>
      <c r="H594" s="4"/>
      <c r="I594" s="4"/>
    </row>
    <row r="595" spans="1:9" ht="15.75" customHeight="1" x14ac:dyDescent="0.25">
      <c r="A595" s="4"/>
      <c r="B595" s="4"/>
      <c r="C595" s="4"/>
      <c r="D595" s="4"/>
      <c r="E595" s="4"/>
      <c r="F595" s="4"/>
      <c r="G595" s="4"/>
      <c r="H595" s="4"/>
      <c r="I595" s="4"/>
    </row>
    <row r="596" spans="1:9" ht="15.75" customHeight="1" x14ac:dyDescent="0.25">
      <c r="A596" s="4"/>
      <c r="B596" s="4"/>
      <c r="C596" s="4"/>
      <c r="D596" s="4"/>
      <c r="E596" s="4"/>
      <c r="F596" s="4"/>
      <c r="G596" s="4"/>
      <c r="H596" s="4"/>
      <c r="I596" s="4"/>
    </row>
    <row r="597" spans="1:9" ht="15.75" customHeight="1" x14ac:dyDescent="0.25">
      <c r="A597" s="4"/>
      <c r="B597" s="4"/>
      <c r="C597" s="4"/>
      <c r="D597" s="4"/>
      <c r="E597" s="4"/>
      <c r="F597" s="4"/>
      <c r="G597" s="4"/>
      <c r="H597" s="4"/>
      <c r="I597" s="4"/>
    </row>
    <row r="598" spans="1:9" ht="15.75" customHeight="1" x14ac:dyDescent="0.25">
      <c r="A598" s="4"/>
      <c r="B598" s="4"/>
      <c r="C598" s="4"/>
      <c r="D598" s="4"/>
      <c r="E598" s="4"/>
      <c r="F598" s="4"/>
      <c r="G598" s="4"/>
      <c r="H598" s="4"/>
      <c r="I598" s="4"/>
    </row>
    <row r="599" spans="1:9" ht="15.75" customHeight="1" x14ac:dyDescent="0.25">
      <c r="A599" s="4"/>
      <c r="B599" s="4"/>
      <c r="C599" s="4"/>
      <c r="D599" s="4"/>
      <c r="E599" s="4"/>
      <c r="F599" s="4"/>
      <c r="G599" s="4"/>
      <c r="H599" s="4"/>
      <c r="I599" s="4"/>
    </row>
    <row r="600" spans="1:9" ht="15.75" customHeight="1" x14ac:dyDescent="0.25">
      <c r="A600" s="4"/>
      <c r="B600" s="4"/>
      <c r="C600" s="4"/>
      <c r="D600" s="4"/>
      <c r="E600" s="4"/>
      <c r="F600" s="4"/>
      <c r="G600" s="4"/>
      <c r="H600" s="4"/>
      <c r="I600" s="4"/>
    </row>
    <row r="601" spans="1:9" ht="15.75" customHeight="1" x14ac:dyDescent="0.25">
      <c r="A601" s="4"/>
      <c r="B601" s="4"/>
      <c r="C601" s="4"/>
      <c r="D601" s="4"/>
      <c r="E601" s="4"/>
      <c r="F601" s="4"/>
      <c r="G601" s="4"/>
      <c r="H601" s="4"/>
      <c r="I601" s="4"/>
    </row>
    <row r="602" spans="1:9" ht="15.75" customHeight="1" x14ac:dyDescent="0.25">
      <c r="A602" s="4"/>
      <c r="B602" s="4"/>
      <c r="C602" s="4"/>
      <c r="D602" s="4"/>
      <c r="E602" s="4"/>
      <c r="F602" s="4"/>
      <c r="G602" s="4"/>
      <c r="H602" s="4"/>
      <c r="I602" s="4"/>
    </row>
    <row r="603" spans="1:9" ht="15.75" customHeight="1" x14ac:dyDescent="0.25">
      <c r="A603" s="4"/>
      <c r="B603" s="4"/>
      <c r="C603" s="4"/>
      <c r="D603" s="4"/>
      <c r="E603" s="4"/>
      <c r="F603" s="4"/>
      <c r="G603" s="4"/>
      <c r="H603" s="4"/>
      <c r="I603" s="4"/>
    </row>
    <row r="604" spans="1:9" ht="15.75" customHeight="1" x14ac:dyDescent="0.25">
      <c r="A604" s="4"/>
      <c r="B604" s="4"/>
      <c r="C604" s="4"/>
      <c r="D604" s="4"/>
      <c r="E604" s="4"/>
      <c r="F604" s="4"/>
      <c r="G604" s="4"/>
      <c r="H604" s="4"/>
      <c r="I604" s="4"/>
    </row>
    <row r="605" spans="1:9" ht="15.75" customHeight="1" x14ac:dyDescent="0.25">
      <c r="A605" s="4"/>
      <c r="B605" s="4"/>
      <c r="C605" s="4"/>
      <c r="D605" s="4"/>
      <c r="E605" s="4"/>
      <c r="F605" s="4"/>
      <c r="G605" s="4"/>
      <c r="H605" s="4"/>
      <c r="I605" s="4"/>
    </row>
    <row r="606" spans="1:9" ht="15.75" customHeight="1" x14ac:dyDescent="0.25">
      <c r="A606" s="4"/>
      <c r="B606" s="4"/>
      <c r="C606" s="4"/>
      <c r="D606" s="4"/>
      <c r="E606" s="4"/>
      <c r="F606" s="4"/>
      <c r="G606" s="4"/>
      <c r="H606" s="4"/>
      <c r="I606" s="4"/>
    </row>
    <row r="607" spans="1:9" ht="15.75" customHeight="1" x14ac:dyDescent="0.25">
      <c r="A607" s="4"/>
      <c r="B607" s="4"/>
      <c r="C607" s="4"/>
      <c r="D607" s="4"/>
      <c r="E607" s="4"/>
      <c r="F607" s="4"/>
      <c r="G607" s="4"/>
      <c r="H607" s="4"/>
      <c r="I607" s="4"/>
    </row>
    <row r="608" spans="1:9" ht="15.75" customHeight="1" x14ac:dyDescent="0.25">
      <c r="A608" s="4"/>
      <c r="B608" s="4"/>
      <c r="C608" s="4"/>
      <c r="D608" s="4"/>
      <c r="E608" s="4"/>
      <c r="F608" s="4"/>
      <c r="G608" s="4"/>
      <c r="H608" s="4"/>
      <c r="I608" s="4"/>
    </row>
    <row r="609" spans="1:9" ht="15.75" customHeight="1" x14ac:dyDescent="0.25">
      <c r="A609" s="4"/>
      <c r="B609" s="4"/>
      <c r="C609" s="4"/>
      <c r="D609" s="4"/>
      <c r="E609" s="4"/>
      <c r="F609" s="4"/>
      <c r="G609" s="4"/>
      <c r="H609" s="4"/>
      <c r="I609" s="4"/>
    </row>
    <row r="610" spans="1:9" ht="15.75" customHeight="1" x14ac:dyDescent="0.25">
      <c r="A610" s="4"/>
      <c r="B610" s="4"/>
      <c r="C610" s="4"/>
      <c r="D610" s="4"/>
      <c r="E610" s="4"/>
      <c r="F610" s="4"/>
      <c r="G610" s="4"/>
      <c r="H610" s="4"/>
      <c r="I610" s="4"/>
    </row>
    <row r="611" spans="1:9" ht="15.75" customHeight="1" x14ac:dyDescent="0.25">
      <c r="A611" s="4"/>
      <c r="B611" s="4"/>
      <c r="C611" s="4"/>
      <c r="D611" s="4"/>
      <c r="E611" s="4"/>
      <c r="F611" s="4"/>
      <c r="G611" s="4"/>
      <c r="H611" s="4"/>
      <c r="I611" s="4"/>
    </row>
    <row r="612" spans="1:9" ht="15.75" customHeight="1" x14ac:dyDescent="0.25">
      <c r="A612" s="4"/>
      <c r="B612" s="4"/>
      <c r="C612" s="4"/>
      <c r="D612" s="4"/>
      <c r="E612" s="4"/>
      <c r="F612" s="4"/>
      <c r="G612" s="4"/>
      <c r="H612" s="4"/>
      <c r="I612" s="4"/>
    </row>
    <row r="613" spans="1:9" ht="15.75" customHeight="1" x14ac:dyDescent="0.25">
      <c r="A613" s="4"/>
      <c r="B613" s="4"/>
      <c r="C613" s="4"/>
      <c r="D613" s="4"/>
      <c r="E613" s="4"/>
      <c r="F613" s="4"/>
      <c r="G613" s="4"/>
      <c r="H613" s="4"/>
      <c r="I613" s="4"/>
    </row>
    <row r="614" spans="1:9" ht="15.75" customHeight="1" x14ac:dyDescent="0.25">
      <c r="A614" s="4"/>
      <c r="B614" s="4"/>
      <c r="C614" s="4"/>
      <c r="D614" s="4"/>
      <c r="E614" s="4"/>
      <c r="F614" s="4"/>
      <c r="G614" s="4"/>
      <c r="H614" s="4"/>
      <c r="I614" s="4"/>
    </row>
    <row r="615" spans="1:9" ht="15.75" customHeight="1" x14ac:dyDescent="0.25">
      <c r="A615" s="4"/>
      <c r="B615" s="4"/>
      <c r="C615" s="4"/>
      <c r="D615" s="4"/>
      <c r="E615" s="4"/>
      <c r="F615" s="4"/>
      <c r="G615" s="4"/>
      <c r="H615" s="4"/>
      <c r="I615" s="4"/>
    </row>
    <row r="616" spans="1:9" ht="15.75" customHeight="1" x14ac:dyDescent="0.25">
      <c r="A616" s="4"/>
      <c r="B616" s="4"/>
      <c r="C616" s="4"/>
      <c r="D616" s="4"/>
      <c r="E616" s="4"/>
      <c r="F616" s="4"/>
      <c r="G616" s="4"/>
      <c r="H616" s="4"/>
      <c r="I616" s="4"/>
    </row>
    <row r="617" spans="1:9" ht="15.75" customHeight="1" x14ac:dyDescent="0.25">
      <c r="A617" s="4"/>
      <c r="B617" s="4"/>
      <c r="C617" s="4"/>
      <c r="D617" s="4"/>
      <c r="E617" s="4"/>
      <c r="F617" s="4"/>
      <c r="G617" s="4"/>
      <c r="H617" s="4"/>
      <c r="I617" s="4"/>
    </row>
    <row r="618" spans="1:9" ht="15.75" customHeight="1" x14ac:dyDescent="0.25">
      <c r="A618" s="4"/>
      <c r="B618" s="4"/>
      <c r="C618" s="4"/>
      <c r="D618" s="4"/>
      <c r="E618" s="4"/>
      <c r="F618" s="4"/>
      <c r="G618" s="4"/>
      <c r="H618" s="4"/>
      <c r="I618" s="4"/>
    </row>
    <row r="619" spans="1:9" ht="15.75" customHeight="1" x14ac:dyDescent="0.25">
      <c r="A619" s="4"/>
      <c r="B619" s="4"/>
      <c r="C619" s="4"/>
      <c r="D619" s="4"/>
      <c r="E619" s="4"/>
      <c r="F619" s="4"/>
      <c r="G619" s="4"/>
      <c r="H619" s="4"/>
      <c r="I619" s="4"/>
    </row>
    <row r="620" spans="1:9" ht="15.75" customHeight="1" x14ac:dyDescent="0.25">
      <c r="A620" s="4"/>
      <c r="B620" s="4"/>
      <c r="C620" s="4"/>
      <c r="D620" s="4"/>
      <c r="E620" s="4"/>
      <c r="F620" s="4"/>
      <c r="G620" s="4"/>
      <c r="H620" s="4"/>
      <c r="I620" s="4"/>
    </row>
    <row r="621" spans="1:9" ht="15.75" customHeight="1" x14ac:dyDescent="0.25">
      <c r="A621" s="4"/>
      <c r="B621" s="4"/>
      <c r="C621" s="4"/>
      <c r="D621" s="4"/>
      <c r="E621" s="4"/>
      <c r="F621" s="4"/>
      <c r="G621" s="4"/>
      <c r="H621" s="4"/>
      <c r="I621" s="4"/>
    </row>
    <row r="622" spans="1:9" ht="15.75" customHeight="1" x14ac:dyDescent="0.25">
      <c r="A622" s="4"/>
      <c r="B622" s="4"/>
      <c r="C622" s="4"/>
      <c r="D622" s="4"/>
      <c r="E622" s="4"/>
      <c r="F622" s="4"/>
      <c r="G622" s="4"/>
      <c r="H622" s="4"/>
      <c r="I622" s="4"/>
    </row>
    <row r="623" spans="1:9" ht="15.75" customHeight="1" x14ac:dyDescent="0.25">
      <c r="A623" s="4"/>
      <c r="B623" s="4"/>
      <c r="C623" s="4"/>
      <c r="D623" s="4"/>
      <c r="E623" s="4"/>
      <c r="F623" s="4"/>
      <c r="G623" s="4"/>
      <c r="H623" s="4"/>
      <c r="I623" s="4"/>
    </row>
    <row r="624" spans="1:9" ht="15.75" customHeight="1" x14ac:dyDescent="0.25">
      <c r="A624" s="4"/>
      <c r="B624" s="4"/>
      <c r="C624" s="4"/>
      <c r="D624" s="4"/>
      <c r="E624" s="4"/>
      <c r="F624" s="4"/>
      <c r="G624" s="4"/>
      <c r="H624" s="4"/>
      <c r="I624" s="4"/>
    </row>
    <row r="625" spans="1:9" ht="15.75" customHeight="1" x14ac:dyDescent="0.25">
      <c r="A625" s="4"/>
      <c r="B625" s="4"/>
      <c r="C625" s="4"/>
      <c r="D625" s="4"/>
      <c r="E625" s="4"/>
      <c r="F625" s="4"/>
      <c r="G625" s="4"/>
      <c r="H625" s="4"/>
      <c r="I625" s="4"/>
    </row>
    <row r="626" spans="1:9" ht="15.75" customHeight="1" x14ac:dyDescent="0.25">
      <c r="A626" s="4"/>
      <c r="B626" s="4"/>
      <c r="C626" s="4"/>
      <c r="D626" s="4"/>
      <c r="E626" s="4"/>
      <c r="F626" s="4"/>
      <c r="G626" s="4"/>
      <c r="H626" s="4"/>
      <c r="I626" s="4"/>
    </row>
    <row r="627" spans="1:9" ht="15.75" customHeight="1" x14ac:dyDescent="0.25">
      <c r="A627" s="4"/>
      <c r="B627" s="4"/>
      <c r="C627" s="4"/>
      <c r="D627" s="4"/>
      <c r="E627" s="4"/>
      <c r="F627" s="4"/>
      <c r="G627" s="4"/>
      <c r="H627" s="4"/>
      <c r="I627" s="4"/>
    </row>
    <row r="628" spans="1:9" ht="15.75" customHeight="1" x14ac:dyDescent="0.25">
      <c r="A628" s="4"/>
      <c r="B628" s="4"/>
      <c r="C628" s="4"/>
      <c r="D628" s="4"/>
      <c r="E628" s="4"/>
      <c r="F628" s="4"/>
      <c r="G628" s="4"/>
      <c r="H628" s="4"/>
      <c r="I628" s="4"/>
    </row>
    <row r="629" spans="1:9" ht="15.75" customHeight="1" x14ac:dyDescent="0.25">
      <c r="A629" s="4"/>
      <c r="B629" s="4"/>
      <c r="C629" s="4"/>
      <c r="D629" s="4"/>
      <c r="E629" s="4"/>
      <c r="F629" s="4"/>
      <c r="G629" s="4"/>
      <c r="H629" s="4"/>
      <c r="I629" s="4"/>
    </row>
    <row r="630" spans="1:9" ht="15.75" customHeight="1" x14ac:dyDescent="0.25">
      <c r="A630" s="4"/>
      <c r="B630" s="4"/>
      <c r="C630" s="4"/>
      <c r="D630" s="4"/>
      <c r="E630" s="4"/>
      <c r="F630" s="4"/>
      <c r="G630" s="4"/>
      <c r="H630" s="4"/>
      <c r="I630" s="4"/>
    </row>
    <row r="631" spans="1:9" ht="15.75" customHeight="1" x14ac:dyDescent="0.25">
      <c r="A631" s="4"/>
      <c r="B631" s="4"/>
      <c r="C631" s="4"/>
      <c r="D631" s="4"/>
      <c r="E631" s="4"/>
      <c r="F631" s="4"/>
      <c r="G631" s="4"/>
      <c r="H631" s="4"/>
      <c r="I631" s="4"/>
    </row>
    <row r="632" spans="1:9" ht="15.75" customHeight="1" x14ac:dyDescent="0.25">
      <c r="A632" s="4"/>
      <c r="B632" s="4"/>
      <c r="C632" s="4"/>
      <c r="D632" s="4"/>
      <c r="E632" s="4"/>
      <c r="F632" s="4"/>
      <c r="G632" s="4"/>
      <c r="H632" s="4"/>
      <c r="I632" s="4"/>
    </row>
    <row r="633" spans="1:9" ht="15.75" customHeight="1" x14ac:dyDescent="0.25">
      <c r="A633" s="4"/>
      <c r="B633" s="4"/>
      <c r="C633" s="4"/>
      <c r="D633" s="4"/>
      <c r="E633" s="4"/>
      <c r="F633" s="4"/>
      <c r="G633" s="4"/>
      <c r="H633" s="4"/>
      <c r="I633" s="4"/>
    </row>
    <row r="634" spans="1:9" ht="15.75" customHeight="1" x14ac:dyDescent="0.25">
      <c r="A634" s="4"/>
      <c r="B634" s="4"/>
      <c r="C634" s="4"/>
      <c r="D634" s="4"/>
      <c r="E634" s="4"/>
      <c r="F634" s="4"/>
      <c r="G634" s="4"/>
      <c r="H634" s="4"/>
      <c r="I634" s="4"/>
    </row>
    <row r="635" spans="1:9" ht="15.75" customHeight="1" x14ac:dyDescent="0.25">
      <c r="A635" s="4"/>
      <c r="B635" s="4"/>
      <c r="C635" s="4"/>
      <c r="D635" s="4"/>
      <c r="E635" s="4"/>
      <c r="F635" s="4"/>
      <c r="G635" s="4"/>
      <c r="H635" s="4"/>
      <c r="I635" s="4"/>
    </row>
    <row r="636" spans="1:9" ht="15.75" customHeight="1" x14ac:dyDescent="0.25">
      <c r="A636" s="4"/>
      <c r="B636" s="4"/>
      <c r="C636" s="4"/>
      <c r="D636" s="4"/>
      <c r="E636" s="4"/>
      <c r="F636" s="4"/>
      <c r="G636" s="4"/>
      <c r="H636" s="4"/>
      <c r="I636" s="4"/>
    </row>
    <row r="637" spans="1:9" ht="15.75" customHeight="1" x14ac:dyDescent="0.25">
      <c r="A637" s="4"/>
      <c r="B637" s="4"/>
      <c r="C637" s="4"/>
      <c r="D637" s="4"/>
      <c r="E637" s="4"/>
      <c r="F637" s="4"/>
      <c r="G637" s="4"/>
      <c r="H637" s="4"/>
      <c r="I637" s="4"/>
    </row>
    <row r="638" spans="1:9" ht="15.75" customHeight="1" x14ac:dyDescent="0.25">
      <c r="A638" s="4"/>
      <c r="B638" s="4"/>
      <c r="C638" s="4"/>
      <c r="D638" s="4"/>
      <c r="E638" s="4"/>
      <c r="F638" s="4"/>
      <c r="G638" s="4"/>
      <c r="H638" s="4"/>
      <c r="I638" s="4"/>
    </row>
    <row r="639" spans="1:9" ht="15.75" customHeight="1" x14ac:dyDescent="0.25">
      <c r="A639" s="4"/>
      <c r="B639" s="4"/>
      <c r="C639" s="4"/>
      <c r="D639" s="4"/>
      <c r="E639" s="4"/>
      <c r="F639" s="4"/>
      <c r="G639" s="4"/>
      <c r="H639" s="4"/>
      <c r="I639" s="4"/>
    </row>
    <row r="640" spans="1:9" ht="15.75" customHeight="1" x14ac:dyDescent="0.25">
      <c r="A640" s="4"/>
      <c r="B640" s="4"/>
      <c r="C640" s="4"/>
      <c r="D640" s="4"/>
      <c r="E640" s="4"/>
      <c r="F640" s="4"/>
      <c r="G640" s="4"/>
      <c r="H640" s="4"/>
      <c r="I640" s="4"/>
    </row>
    <row r="641" spans="1:9" ht="15.75" customHeight="1" x14ac:dyDescent="0.25">
      <c r="A641" s="4"/>
      <c r="B641" s="4"/>
      <c r="C641" s="4"/>
      <c r="D641" s="4"/>
      <c r="E641" s="4"/>
      <c r="F641" s="4"/>
      <c r="G641" s="4"/>
      <c r="H641" s="4"/>
      <c r="I641" s="4"/>
    </row>
    <row r="642" spans="1:9" ht="15.75" customHeight="1" x14ac:dyDescent="0.25">
      <c r="A642" s="4"/>
      <c r="B642" s="4"/>
      <c r="C642" s="4"/>
      <c r="D642" s="4"/>
      <c r="E642" s="4"/>
      <c r="F642" s="4"/>
      <c r="G642" s="4"/>
      <c r="H642" s="4"/>
      <c r="I642" s="4"/>
    </row>
    <row r="643" spans="1:9" ht="15.75" customHeight="1" x14ac:dyDescent="0.25">
      <c r="A643" s="4"/>
      <c r="B643" s="4"/>
      <c r="C643" s="4"/>
      <c r="D643" s="4"/>
      <c r="E643" s="4"/>
      <c r="F643" s="4"/>
      <c r="G643" s="4"/>
      <c r="H643" s="4"/>
      <c r="I643" s="4"/>
    </row>
    <row r="644" spans="1:9" ht="15.75" customHeight="1" x14ac:dyDescent="0.25">
      <c r="A644" s="4"/>
      <c r="B644" s="4"/>
      <c r="C644" s="4"/>
      <c r="D644" s="4"/>
      <c r="E644" s="4"/>
      <c r="F644" s="4"/>
      <c r="G644" s="4"/>
      <c r="H644" s="4"/>
      <c r="I644" s="4"/>
    </row>
    <row r="645" spans="1:9" ht="15.75" customHeight="1" x14ac:dyDescent="0.25">
      <c r="A645" s="4"/>
      <c r="B645" s="4"/>
      <c r="C645" s="4"/>
      <c r="D645" s="4"/>
      <c r="E645" s="4"/>
      <c r="F645" s="4"/>
      <c r="G645" s="4"/>
      <c r="H645" s="4"/>
      <c r="I645" s="4"/>
    </row>
    <row r="646" spans="1:9" ht="15.75" customHeight="1" x14ac:dyDescent="0.25">
      <c r="A646" s="4"/>
      <c r="B646" s="4"/>
      <c r="C646" s="4"/>
      <c r="D646" s="4"/>
      <c r="E646" s="4"/>
      <c r="F646" s="4"/>
      <c r="G646" s="4"/>
      <c r="H646" s="4"/>
      <c r="I646" s="4"/>
    </row>
    <row r="647" spans="1:9" ht="15.75" customHeight="1" x14ac:dyDescent="0.25">
      <c r="A647" s="4"/>
      <c r="B647" s="4"/>
      <c r="C647" s="4"/>
      <c r="D647" s="4"/>
      <c r="E647" s="4"/>
      <c r="F647" s="4"/>
      <c r="G647" s="4"/>
      <c r="H647" s="4"/>
      <c r="I647" s="4"/>
    </row>
    <row r="648" spans="1:9" ht="15.75" customHeight="1" x14ac:dyDescent="0.25">
      <c r="A648" s="4"/>
      <c r="B648" s="4"/>
      <c r="C648" s="4"/>
      <c r="D648" s="4"/>
      <c r="E648" s="4"/>
      <c r="F648" s="4"/>
      <c r="G648" s="4"/>
      <c r="H648" s="4"/>
      <c r="I648" s="4"/>
    </row>
    <row r="649" spans="1:9" ht="15.75" customHeight="1" x14ac:dyDescent="0.25">
      <c r="A649" s="4"/>
      <c r="B649" s="4"/>
      <c r="C649" s="4"/>
      <c r="D649" s="4"/>
      <c r="E649" s="4"/>
      <c r="F649" s="4"/>
      <c r="G649" s="4"/>
      <c r="H649" s="4"/>
      <c r="I649" s="4"/>
    </row>
    <row r="650" spans="1:9" ht="15.75" customHeight="1" x14ac:dyDescent="0.25">
      <c r="A650" s="4"/>
      <c r="B650" s="4"/>
      <c r="C650" s="4"/>
      <c r="D650" s="4"/>
      <c r="E650" s="4"/>
      <c r="F650" s="4"/>
      <c r="G650" s="4"/>
      <c r="H650" s="4"/>
      <c r="I650" s="4"/>
    </row>
    <row r="651" spans="1:9" ht="15.75" customHeight="1" x14ac:dyDescent="0.25">
      <c r="A651" s="4"/>
      <c r="B651" s="4"/>
      <c r="C651" s="4"/>
      <c r="D651" s="4"/>
      <c r="E651" s="4"/>
      <c r="F651" s="4"/>
      <c r="G651" s="4"/>
      <c r="H651" s="4"/>
      <c r="I651" s="4"/>
    </row>
    <row r="652" spans="1:9" ht="15.75" customHeight="1" x14ac:dyDescent="0.25">
      <c r="A652" s="4"/>
      <c r="B652" s="4"/>
      <c r="C652" s="4"/>
      <c r="D652" s="4"/>
      <c r="E652" s="4"/>
      <c r="F652" s="4"/>
      <c r="G652" s="4"/>
      <c r="H652" s="4"/>
      <c r="I652" s="4"/>
    </row>
    <row r="653" spans="1:9" ht="15.75" customHeight="1" x14ac:dyDescent="0.25">
      <c r="A653" s="4"/>
      <c r="B653" s="4"/>
      <c r="C653" s="4"/>
      <c r="D653" s="4"/>
      <c r="E653" s="4"/>
      <c r="F653" s="4"/>
      <c r="G653" s="4"/>
      <c r="H653" s="4"/>
      <c r="I653" s="4"/>
    </row>
    <row r="654" spans="1:9" ht="15.75" customHeight="1" x14ac:dyDescent="0.25">
      <c r="A654" s="4"/>
      <c r="B654" s="4"/>
      <c r="C654" s="4"/>
      <c r="D654" s="4"/>
      <c r="E654" s="4"/>
      <c r="F654" s="4"/>
      <c r="G654" s="4"/>
      <c r="H654" s="4"/>
      <c r="I654" s="4"/>
    </row>
    <row r="655" spans="1:9" ht="15.75" customHeight="1" x14ac:dyDescent="0.25">
      <c r="A655" s="4"/>
      <c r="B655" s="4"/>
      <c r="C655" s="4"/>
      <c r="D655" s="4"/>
      <c r="E655" s="4"/>
      <c r="F655" s="4"/>
      <c r="G655" s="4"/>
      <c r="H655" s="4"/>
      <c r="I655" s="4"/>
    </row>
    <row r="656" spans="1:9" ht="15.75" customHeight="1" x14ac:dyDescent="0.25">
      <c r="A656" s="4"/>
      <c r="B656" s="4"/>
      <c r="C656" s="4"/>
      <c r="D656" s="4"/>
      <c r="E656" s="4"/>
      <c r="F656" s="4"/>
      <c r="G656" s="4"/>
      <c r="H656" s="4"/>
      <c r="I656" s="4"/>
    </row>
    <row r="657" spans="1:9" ht="15.75" customHeight="1" x14ac:dyDescent="0.25">
      <c r="A657" s="4"/>
      <c r="B657" s="4"/>
      <c r="C657" s="4"/>
      <c r="D657" s="4"/>
      <c r="E657" s="4"/>
      <c r="F657" s="4"/>
      <c r="G657" s="4"/>
      <c r="H657" s="4"/>
      <c r="I657" s="4"/>
    </row>
    <row r="658" spans="1:9" ht="15.75" customHeight="1" x14ac:dyDescent="0.25">
      <c r="A658" s="4"/>
      <c r="B658" s="4"/>
      <c r="C658" s="4"/>
      <c r="D658" s="4"/>
      <c r="E658" s="4"/>
      <c r="F658" s="4"/>
      <c r="G658" s="4"/>
      <c r="H658" s="4"/>
      <c r="I658" s="4"/>
    </row>
    <row r="659" spans="1:9" ht="15.75" customHeight="1" x14ac:dyDescent="0.25">
      <c r="A659" s="4"/>
      <c r="B659" s="4"/>
      <c r="C659" s="4"/>
      <c r="D659" s="4"/>
      <c r="E659" s="4"/>
      <c r="F659" s="4"/>
      <c r="G659" s="4"/>
      <c r="H659" s="4"/>
      <c r="I659" s="4"/>
    </row>
    <row r="660" spans="1:9" ht="15.75" customHeight="1" x14ac:dyDescent="0.25">
      <c r="A660" s="4"/>
      <c r="B660" s="4"/>
      <c r="C660" s="4"/>
      <c r="D660" s="4"/>
      <c r="E660" s="4"/>
      <c r="F660" s="4"/>
      <c r="G660" s="4"/>
      <c r="H660" s="4"/>
      <c r="I660" s="4"/>
    </row>
    <row r="661" spans="1:9" ht="15.75" customHeight="1" x14ac:dyDescent="0.25">
      <c r="A661" s="4"/>
      <c r="B661" s="4"/>
      <c r="C661" s="4"/>
      <c r="D661" s="4"/>
      <c r="E661" s="4"/>
      <c r="F661" s="4"/>
      <c r="G661" s="4"/>
      <c r="H661" s="4"/>
      <c r="I661" s="4"/>
    </row>
    <row r="662" spans="1:9" ht="15.75" customHeight="1" x14ac:dyDescent="0.25">
      <c r="A662" s="4"/>
      <c r="B662" s="4"/>
      <c r="C662" s="4"/>
      <c r="D662" s="4"/>
      <c r="E662" s="4"/>
      <c r="F662" s="4"/>
      <c r="G662" s="4"/>
      <c r="H662" s="4"/>
      <c r="I662" s="4"/>
    </row>
    <row r="663" spans="1:9" ht="15.75" customHeight="1" x14ac:dyDescent="0.25">
      <c r="A663" s="4"/>
      <c r="B663" s="4"/>
      <c r="C663" s="4"/>
      <c r="D663" s="4"/>
      <c r="E663" s="4"/>
      <c r="F663" s="4"/>
      <c r="G663" s="4"/>
      <c r="H663" s="4"/>
      <c r="I663" s="4"/>
    </row>
    <row r="664" spans="1:9" ht="15.75" customHeight="1" x14ac:dyDescent="0.25">
      <c r="A664" s="4"/>
      <c r="B664" s="4"/>
      <c r="C664" s="4"/>
      <c r="D664" s="4"/>
      <c r="E664" s="4"/>
      <c r="F664" s="4"/>
      <c r="G664" s="4"/>
      <c r="H664" s="4"/>
      <c r="I664" s="4"/>
    </row>
    <row r="665" spans="1:9" ht="15.75" customHeight="1" x14ac:dyDescent="0.25">
      <c r="A665" s="4"/>
      <c r="B665" s="4"/>
      <c r="C665" s="4"/>
      <c r="D665" s="4"/>
      <c r="E665" s="4"/>
      <c r="F665" s="4"/>
      <c r="G665" s="4"/>
      <c r="H665" s="4"/>
      <c r="I665" s="4"/>
    </row>
    <row r="666" spans="1:9" ht="15.75" customHeight="1" x14ac:dyDescent="0.25">
      <c r="A666" s="4"/>
      <c r="B666" s="4"/>
      <c r="C666" s="4"/>
      <c r="D666" s="4"/>
      <c r="E666" s="4"/>
      <c r="F666" s="4"/>
      <c r="G666" s="4"/>
      <c r="H666" s="4"/>
      <c r="I666" s="4"/>
    </row>
    <row r="667" spans="1:9" ht="15.75" customHeight="1" x14ac:dyDescent="0.25">
      <c r="A667" s="4"/>
      <c r="B667" s="4"/>
      <c r="C667" s="4"/>
      <c r="D667" s="4"/>
      <c r="E667" s="4"/>
      <c r="F667" s="4"/>
      <c r="G667" s="4"/>
      <c r="H667" s="4"/>
      <c r="I667" s="4"/>
    </row>
    <row r="668" spans="1:9" ht="15.75" customHeight="1" x14ac:dyDescent="0.25">
      <c r="A668" s="4"/>
      <c r="B668" s="4"/>
      <c r="C668" s="4"/>
      <c r="D668" s="4"/>
      <c r="E668" s="4"/>
      <c r="F668" s="4"/>
      <c r="G668" s="4"/>
      <c r="H668" s="4"/>
      <c r="I668" s="4"/>
    </row>
    <row r="669" spans="1:9" ht="15.75" customHeight="1" x14ac:dyDescent="0.25">
      <c r="A669" s="4"/>
      <c r="B669" s="4"/>
      <c r="C669" s="4"/>
      <c r="D669" s="4"/>
      <c r="E669" s="4"/>
      <c r="F669" s="4"/>
      <c r="G669" s="4"/>
      <c r="H669" s="4"/>
      <c r="I669" s="4"/>
    </row>
    <row r="670" spans="1:9" ht="15.75" customHeight="1" x14ac:dyDescent="0.25">
      <c r="A670" s="4"/>
      <c r="B670" s="4"/>
      <c r="C670" s="4"/>
      <c r="D670" s="4"/>
      <c r="E670" s="4"/>
      <c r="F670" s="4"/>
      <c r="G670" s="4"/>
      <c r="H670" s="4"/>
      <c r="I670" s="4"/>
    </row>
    <row r="671" spans="1:9" ht="15.75" customHeight="1" x14ac:dyDescent="0.25">
      <c r="A671" s="4"/>
      <c r="B671" s="4"/>
      <c r="C671" s="4"/>
      <c r="D671" s="4"/>
      <c r="E671" s="4"/>
      <c r="F671" s="4"/>
      <c r="G671" s="4"/>
      <c r="H671" s="4"/>
      <c r="I671" s="4"/>
    </row>
    <row r="672" spans="1:9" ht="15.75" customHeight="1" x14ac:dyDescent="0.25">
      <c r="A672" s="4"/>
      <c r="B672" s="4"/>
      <c r="C672" s="4"/>
      <c r="D672" s="4"/>
      <c r="E672" s="4"/>
      <c r="F672" s="4"/>
      <c r="G672" s="4"/>
      <c r="H672" s="4"/>
      <c r="I672" s="4"/>
    </row>
    <row r="673" spans="1:9" ht="15.75" customHeight="1" x14ac:dyDescent="0.25">
      <c r="A673" s="4"/>
      <c r="B673" s="4"/>
      <c r="C673" s="4"/>
      <c r="D673" s="4"/>
      <c r="E673" s="4"/>
      <c r="F673" s="4"/>
      <c r="G673" s="4"/>
      <c r="H673" s="4"/>
      <c r="I673" s="4"/>
    </row>
    <row r="674" spans="1:9" ht="15.75" customHeight="1" x14ac:dyDescent="0.25">
      <c r="A674" s="4"/>
      <c r="B674" s="4"/>
      <c r="C674" s="4"/>
      <c r="D674" s="4"/>
      <c r="E674" s="4"/>
      <c r="F674" s="4"/>
      <c r="G674" s="4"/>
      <c r="H674" s="4"/>
      <c r="I674" s="4"/>
    </row>
    <row r="675" spans="1:9" ht="15.75" customHeight="1" x14ac:dyDescent="0.25">
      <c r="A675" s="4"/>
      <c r="B675" s="4"/>
      <c r="C675" s="4"/>
      <c r="D675" s="4"/>
      <c r="E675" s="4"/>
      <c r="F675" s="4"/>
      <c r="G675" s="4"/>
      <c r="H675" s="4"/>
      <c r="I675" s="4"/>
    </row>
    <row r="676" spans="1:9" ht="15.75" customHeight="1" x14ac:dyDescent="0.25">
      <c r="A676" s="4"/>
      <c r="B676" s="4"/>
      <c r="C676" s="4"/>
      <c r="D676" s="4"/>
      <c r="E676" s="4"/>
      <c r="F676" s="4"/>
      <c r="G676" s="4"/>
      <c r="H676" s="4"/>
      <c r="I676" s="4"/>
    </row>
    <row r="677" spans="1:9" ht="15.75" customHeight="1" x14ac:dyDescent="0.25">
      <c r="A677" s="4"/>
      <c r="B677" s="4"/>
      <c r="C677" s="4"/>
      <c r="D677" s="4"/>
      <c r="E677" s="4"/>
      <c r="F677" s="4"/>
      <c r="G677" s="4"/>
      <c r="H677" s="4"/>
      <c r="I677" s="4"/>
    </row>
    <row r="678" spans="1:9" ht="15.75" customHeight="1" x14ac:dyDescent="0.25">
      <c r="A678" s="4"/>
      <c r="B678" s="4"/>
      <c r="C678" s="4"/>
      <c r="D678" s="4"/>
      <c r="E678" s="4"/>
      <c r="F678" s="4"/>
      <c r="G678" s="4"/>
      <c r="H678" s="4"/>
      <c r="I678" s="4"/>
    </row>
    <row r="679" spans="1:9" ht="15.75" customHeight="1" x14ac:dyDescent="0.25">
      <c r="A679" s="4"/>
      <c r="B679" s="4"/>
      <c r="C679" s="4"/>
      <c r="D679" s="4"/>
      <c r="E679" s="4"/>
      <c r="F679" s="4"/>
      <c r="G679" s="4"/>
      <c r="H679" s="4"/>
      <c r="I679" s="4"/>
    </row>
    <row r="680" spans="1:9" ht="15.75" customHeight="1" x14ac:dyDescent="0.25">
      <c r="A680" s="4"/>
      <c r="B680" s="4"/>
      <c r="C680" s="4"/>
      <c r="D680" s="4"/>
      <c r="E680" s="4"/>
      <c r="F680" s="4"/>
      <c r="G680" s="4"/>
      <c r="H680" s="4"/>
      <c r="I680" s="4"/>
    </row>
    <row r="681" spans="1:9" ht="15.75" customHeight="1" x14ac:dyDescent="0.25">
      <c r="A681" s="4"/>
      <c r="B681" s="4"/>
      <c r="C681" s="4"/>
      <c r="D681" s="4"/>
      <c r="E681" s="4"/>
      <c r="F681" s="4"/>
      <c r="G681" s="4"/>
      <c r="H681" s="4"/>
      <c r="I681" s="4"/>
    </row>
    <row r="682" spans="1:9" ht="15.75" customHeight="1" x14ac:dyDescent="0.25">
      <c r="A682" s="4"/>
      <c r="B682" s="4"/>
      <c r="C682" s="4"/>
      <c r="D682" s="4"/>
      <c r="E682" s="4"/>
      <c r="F682" s="4"/>
      <c r="G682" s="4"/>
      <c r="H682" s="4"/>
      <c r="I682" s="4"/>
    </row>
    <row r="683" spans="1:9" ht="15.75" customHeight="1" x14ac:dyDescent="0.25">
      <c r="A683" s="4"/>
      <c r="B683" s="4"/>
      <c r="C683" s="4"/>
      <c r="D683" s="4"/>
      <c r="E683" s="4"/>
      <c r="F683" s="4"/>
      <c r="G683" s="4"/>
      <c r="H683" s="4"/>
      <c r="I683" s="4"/>
    </row>
    <row r="684" spans="1:9" ht="15.75" customHeight="1" x14ac:dyDescent="0.25">
      <c r="A684" s="4"/>
      <c r="B684" s="4"/>
      <c r="C684" s="4"/>
      <c r="D684" s="4"/>
      <c r="E684" s="4"/>
      <c r="F684" s="4"/>
      <c r="G684" s="4"/>
      <c r="H684" s="4"/>
      <c r="I684" s="4"/>
    </row>
    <row r="685" spans="1:9" ht="15.75" customHeight="1" x14ac:dyDescent="0.25">
      <c r="A685" s="4"/>
      <c r="B685" s="4"/>
      <c r="C685" s="4"/>
      <c r="D685" s="4"/>
      <c r="E685" s="4"/>
      <c r="F685" s="4"/>
      <c r="G685" s="4"/>
      <c r="H685" s="4"/>
      <c r="I685" s="4"/>
    </row>
    <row r="686" spans="1:9" ht="15.75" customHeight="1" x14ac:dyDescent="0.25">
      <c r="A686" s="4"/>
      <c r="B686" s="4"/>
      <c r="C686" s="4"/>
      <c r="D686" s="4"/>
      <c r="E686" s="4"/>
      <c r="F686" s="4"/>
      <c r="G686" s="4"/>
      <c r="H686" s="4"/>
      <c r="I686" s="4"/>
    </row>
    <row r="687" spans="1:9" ht="15.75" customHeight="1" x14ac:dyDescent="0.25">
      <c r="A687" s="4"/>
      <c r="B687" s="4"/>
      <c r="C687" s="4"/>
      <c r="D687" s="4"/>
      <c r="E687" s="4"/>
      <c r="F687" s="4"/>
      <c r="G687" s="4"/>
      <c r="H687" s="4"/>
      <c r="I687" s="4"/>
    </row>
    <row r="688" spans="1:9" ht="15.75" customHeight="1" x14ac:dyDescent="0.25">
      <c r="A688" s="4"/>
      <c r="B688" s="4"/>
      <c r="C688" s="4"/>
      <c r="D688" s="4"/>
      <c r="E688" s="4"/>
      <c r="F688" s="4"/>
      <c r="G688" s="4"/>
      <c r="H688" s="4"/>
      <c r="I688" s="4"/>
    </row>
    <row r="689" spans="1:9" ht="15.75" customHeight="1" x14ac:dyDescent="0.25">
      <c r="A689" s="4"/>
      <c r="B689" s="4"/>
      <c r="C689" s="4"/>
      <c r="D689" s="4"/>
      <c r="E689" s="4"/>
      <c r="F689" s="4"/>
      <c r="G689" s="4"/>
      <c r="H689" s="4"/>
      <c r="I689" s="4"/>
    </row>
    <row r="690" spans="1:9" ht="15.75" customHeight="1" x14ac:dyDescent="0.25">
      <c r="A690" s="4"/>
      <c r="B690" s="4"/>
      <c r="C690" s="4"/>
      <c r="D690" s="4"/>
      <c r="E690" s="4"/>
      <c r="F690" s="4"/>
      <c r="G690" s="4"/>
      <c r="H690" s="4"/>
      <c r="I690" s="4"/>
    </row>
    <row r="691" spans="1:9" ht="15.75" customHeight="1" x14ac:dyDescent="0.25">
      <c r="A691" s="4"/>
      <c r="B691" s="4"/>
      <c r="C691" s="4"/>
      <c r="D691" s="4"/>
      <c r="E691" s="4"/>
      <c r="F691" s="4"/>
      <c r="G691" s="4"/>
      <c r="H691" s="4"/>
      <c r="I691" s="4"/>
    </row>
    <row r="692" spans="1:9" ht="15.75" customHeight="1" x14ac:dyDescent="0.25">
      <c r="A692" s="4"/>
      <c r="B692" s="4"/>
      <c r="C692" s="4"/>
      <c r="D692" s="4"/>
      <c r="E692" s="4"/>
      <c r="F692" s="4"/>
      <c r="G692" s="4"/>
      <c r="H692" s="4"/>
      <c r="I692" s="4"/>
    </row>
    <row r="693" spans="1:9" ht="15.75" customHeight="1" x14ac:dyDescent="0.25">
      <c r="A693" s="4"/>
      <c r="B693" s="4"/>
      <c r="C693" s="4"/>
      <c r="D693" s="4"/>
      <c r="E693" s="4"/>
      <c r="F693" s="4"/>
      <c r="G693" s="4"/>
      <c r="H693" s="4"/>
      <c r="I693" s="4"/>
    </row>
    <row r="694" spans="1:9" ht="15.75" customHeight="1" x14ac:dyDescent="0.25">
      <c r="A694" s="4"/>
      <c r="B694" s="4"/>
      <c r="C694" s="4"/>
      <c r="D694" s="4"/>
      <c r="E694" s="4"/>
      <c r="F694" s="4"/>
      <c r="G694" s="4"/>
      <c r="H694" s="4"/>
      <c r="I694" s="4"/>
    </row>
    <row r="695" spans="1:9" ht="15.75" customHeight="1" x14ac:dyDescent="0.25">
      <c r="A695" s="4"/>
      <c r="B695" s="4"/>
      <c r="C695" s="4"/>
      <c r="D695" s="4"/>
      <c r="E695" s="4"/>
      <c r="F695" s="4"/>
      <c r="G695" s="4"/>
      <c r="H695" s="4"/>
      <c r="I695" s="4"/>
    </row>
    <row r="696" spans="1:9" ht="15.75" customHeight="1" x14ac:dyDescent="0.25">
      <c r="A696" s="4"/>
      <c r="B696" s="4"/>
      <c r="C696" s="4"/>
      <c r="D696" s="4"/>
      <c r="E696" s="4"/>
      <c r="F696" s="4"/>
      <c r="G696" s="4"/>
      <c r="H696" s="4"/>
      <c r="I696" s="4"/>
    </row>
    <row r="697" spans="1:9" ht="15.75" customHeight="1" x14ac:dyDescent="0.25">
      <c r="A697" s="4"/>
      <c r="B697" s="4"/>
      <c r="C697" s="4"/>
      <c r="D697" s="4"/>
      <c r="E697" s="4"/>
      <c r="F697" s="4"/>
      <c r="G697" s="4"/>
      <c r="H697" s="4"/>
      <c r="I697" s="4"/>
    </row>
    <row r="698" spans="1:9" ht="15.75" customHeight="1" x14ac:dyDescent="0.25">
      <c r="A698" s="4"/>
      <c r="B698" s="4"/>
      <c r="C698" s="4"/>
      <c r="D698" s="4"/>
      <c r="E698" s="4"/>
      <c r="F698" s="4"/>
      <c r="G698" s="4"/>
      <c r="H698" s="4"/>
      <c r="I698" s="4"/>
    </row>
    <row r="699" spans="1:9" ht="15.75" customHeight="1" x14ac:dyDescent="0.25">
      <c r="A699" s="4"/>
      <c r="B699" s="4"/>
      <c r="C699" s="4"/>
      <c r="D699" s="4"/>
      <c r="E699" s="4"/>
      <c r="F699" s="4"/>
      <c r="G699" s="4"/>
      <c r="H699" s="4"/>
      <c r="I699" s="4"/>
    </row>
    <row r="700" spans="1:9" ht="15.75" customHeight="1" x14ac:dyDescent="0.25">
      <c r="A700" s="4"/>
      <c r="B700" s="4"/>
      <c r="C700" s="4"/>
      <c r="D700" s="4"/>
      <c r="E700" s="4"/>
      <c r="F700" s="4"/>
      <c r="G700" s="4"/>
      <c r="H700" s="4"/>
      <c r="I700" s="4"/>
    </row>
    <row r="701" spans="1:9" ht="15.75" customHeight="1" x14ac:dyDescent="0.25">
      <c r="A701" s="4"/>
      <c r="B701" s="4"/>
      <c r="C701" s="4"/>
      <c r="D701" s="4"/>
      <c r="E701" s="4"/>
      <c r="F701" s="4"/>
      <c r="G701" s="4"/>
      <c r="H701" s="4"/>
      <c r="I701" s="4"/>
    </row>
    <row r="702" spans="1:9" ht="15.75" customHeight="1" x14ac:dyDescent="0.25">
      <c r="A702" s="4"/>
      <c r="B702" s="4"/>
      <c r="C702" s="4"/>
      <c r="D702" s="4"/>
      <c r="E702" s="4"/>
      <c r="F702" s="4"/>
      <c r="G702" s="4"/>
      <c r="H702" s="4"/>
      <c r="I702" s="4"/>
    </row>
    <row r="703" spans="1:9" ht="15.75" customHeight="1" x14ac:dyDescent="0.25">
      <c r="A703" s="4"/>
      <c r="B703" s="4"/>
      <c r="C703" s="4"/>
      <c r="D703" s="4"/>
      <c r="E703" s="4"/>
      <c r="F703" s="4"/>
      <c r="G703" s="4"/>
      <c r="H703" s="4"/>
      <c r="I703" s="4"/>
    </row>
    <row r="704" spans="1:9" ht="15.75" customHeight="1" x14ac:dyDescent="0.25">
      <c r="A704" s="4"/>
      <c r="B704" s="4"/>
      <c r="C704" s="4"/>
      <c r="D704" s="4"/>
      <c r="E704" s="4"/>
      <c r="F704" s="4"/>
      <c r="G704" s="4"/>
      <c r="H704" s="4"/>
      <c r="I704" s="4"/>
    </row>
    <row r="705" spans="1:9" ht="15.75" customHeight="1" x14ac:dyDescent="0.25">
      <c r="A705" s="4"/>
      <c r="B705" s="4"/>
      <c r="C705" s="4"/>
      <c r="D705" s="4"/>
      <c r="E705" s="4"/>
      <c r="F705" s="4"/>
      <c r="G705" s="4"/>
      <c r="H705" s="4"/>
      <c r="I705" s="4"/>
    </row>
    <row r="706" spans="1:9" ht="15.75" customHeight="1" x14ac:dyDescent="0.25">
      <c r="A706" s="4"/>
      <c r="B706" s="4"/>
      <c r="C706" s="4"/>
      <c r="D706" s="4"/>
      <c r="E706" s="4"/>
      <c r="F706" s="4"/>
      <c r="G706" s="4"/>
      <c r="H706" s="4"/>
      <c r="I706" s="4"/>
    </row>
    <row r="707" spans="1:9" ht="15.75" customHeight="1" x14ac:dyDescent="0.25">
      <c r="A707" s="4"/>
      <c r="B707" s="4"/>
      <c r="C707" s="4"/>
      <c r="D707" s="4"/>
      <c r="E707" s="4"/>
      <c r="F707" s="4"/>
      <c r="G707" s="4"/>
      <c r="H707" s="4"/>
      <c r="I707" s="4"/>
    </row>
    <row r="708" spans="1:9" ht="15.75" customHeight="1" x14ac:dyDescent="0.25">
      <c r="A708" s="4"/>
      <c r="B708" s="4"/>
      <c r="C708" s="4"/>
      <c r="D708" s="4"/>
      <c r="E708" s="4"/>
      <c r="F708" s="4"/>
      <c r="G708" s="4"/>
      <c r="H708" s="4"/>
      <c r="I708" s="4"/>
    </row>
    <row r="709" spans="1:9" ht="15.75" customHeight="1" x14ac:dyDescent="0.25">
      <c r="A709" s="4"/>
      <c r="B709" s="4"/>
      <c r="C709" s="4"/>
      <c r="D709" s="4"/>
      <c r="E709" s="4"/>
      <c r="F709" s="4"/>
      <c r="G709" s="4"/>
      <c r="H709" s="4"/>
      <c r="I709" s="4"/>
    </row>
    <row r="710" spans="1:9" ht="15.75" customHeight="1" x14ac:dyDescent="0.25">
      <c r="A710" s="4"/>
      <c r="B710" s="4"/>
      <c r="C710" s="4"/>
      <c r="D710" s="4"/>
      <c r="E710" s="4"/>
      <c r="F710" s="4"/>
      <c r="G710" s="4"/>
      <c r="H710" s="4"/>
      <c r="I710" s="4"/>
    </row>
    <row r="711" spans="1:9" ht="15.75" customHeight="1" x14ac:dyDescent="0.25">
      <c r="A711" s="4"/>
      <c r="B711" s="4"/>
      <c r="C711" s="4"/>
      <c r="D711" s="4"/>
      <c r="E711" s="4"/>
      <c r="F711" s="4"/>
      <c r="G711" s="4"/>
      <c r="H711" s="4"/>
      <c r="I711" s="4"/>
    </row>
    <row r="712" spans="1:9" ht="15.75" customHeight="1" x14ac:dyDescent="0.25">
      <c r="A712" s="4"/>
      <c r="B712" s="4"/>
      <c r="C712" s="4"/>
      <c r="D712" s="4"/>
      <c r="E712" s="4"/>
      <c r="F712" s="4"/>
      <c r="G712" s="4"/>
      <c r="H712" s="4"/>
      <c r="I712" s="4"/>
    </row>
    <row r="713" spans="1:9" ht="15.75" customHeight="1" x14ac:dyDescent="0.25">
      <c r="A713" s="4"/>
      <c r="B713" s="4"/>
      <c r="C713" s="4"/>
      <c r="D713" s="4"/>
      <c r="E713" s="4"/>
      <c r="F713" s="4"/>
      <c r="G713" s="4"/>
      <c r="H713" s="4"/>
      <c r="I713" s="4"/>
    </row>
    <row r="714" spans="1:9" ht="15.75" customHeight="1" x14ac:dyDescent="0.25">
      <c r="A714" s="4"/>
      <c r="B714" s="4"/>
      <c r="C714" s="4"/>
      <c r="D714" s="4"/>
      <c r="E714" s="4"/>
      <c r="F714" s="4"/>
      <c r="G714" s="4"/>
      <c r="H714" s="4"/>
      <c r="I714" s="4"/>
    </row>
    <row r="715" spans="1:9" ht="15.75" customHeight="1" x14ac:dyDescent="0.25">
      <c r="A715" s="4"/>
      <c r="B715" s="4"/>
      <c r="C715" s="4"/>
      <c r="D715" s="4"/>
      <c r="E715" s="4"/>
      <c r="F715" s="4"/>
      <c r="G715" s="4"/>
      <c r="H715" s="4"/>
      <c r="I715" s="4"/>
    </row>
    <row r="716" spans="1:9" ht="15.75" customHeight="1" x14ac:dyDescent="0.25">
      <c r="A716" s="4"/>
      <c r="B716" s="4"/>
      <c r="C716" s="4"/>
      <c r="D716" s="4"/>
      <c r="E716" s="4"/>
      <c r="F716" s="4"/>
      <c r="G716" s="4"/>
      <c r="H716" s="4"/>
      <c r="I716" s="4"/>
    </row>
    <row r="717" spans="1:9" ht="15.75" customHeight="1" x14ac:dyDescent="0.25">
      <c r="A717" s="4"/>
      <c r="B717" s="4"/>
      <c r="C717" s="4"/>
      <c r="D717" s="4"/>
      <c r="E717" s="4"/>
      <c r="F717" s="4"/>
      <c r="G717" s="4"/>
      <c r="H717" s="4"/>
      <c r="I717" s="4"/>
    </row>
    <row r="718" spans="1:9" ht="15.75" customHeight="1" x14ac:dyDescent="0.25">
      <c r="A718" s="4"/>
      <c r="B718" s="4"/>
      <c r="C718" s="4"/>
      <c r="D718" s="4"/>
      <c r="E718" s="4"/>
      <c r="F718" s="4"/>
      <c r="G718" s="4"/>
      <c r="H718" s="4"/>
      <c r="I718" s="4"/>
    </row>
    <row r="719" spans="1:9" ht="15.75" customHeight="1" x14ac:dyDescent="0.25">
      <c r="A719" s="4"/>
      <c r="B719" s="4"/>
      <c r="C719" s="4"/>
      <c r="D719" s="4"/>
      <c r="E719" s="4"/>
      <c r="F719" s="4"/>
      <c r="G719" s="4"/>
      <c r="H719" s="4"/>
      <c r="I719" s="4"/>
    </row>
    <row r="720" spans="1:9" ht="15.75" customHeight="1" x14ac:dyDescent="0.25">
      <c r="A720" s="4"/>
      <c r="B720" s="4"/>
      <c r="C720" s="4"/>
      <c r="D720" s="4"/>
      <c r="E720" s="4"/>
      <c r="F720" s="4"/>
      <c r="G720" s="4"/>
      <c r="H720" s="4"/>
      <c r="I720" s="4"/>
    </row>
    <row r="721" spans="1:9" ht="15.75" customHeight="1" x14ac:dyDescent="0.25">
      <c r="A721" s="4"/>
      <c r="B721" s="4"/>
      <c r="C721" s="4"/>
      <c r="D721" s="4"/>
      <c r="E721" s="4"/>
      <c r="F721" s="4"/>
      <c r="G721" s="4"/>
      <c r="H721" s="4"/>
      <c r="I721" s="4"/>
    </row>
    <row r="722" spans="1:9" ht="15.75" customHeight="1" x14ac:dyDescent="0.25">
      <c r="A722" s="4"/>
      <c r="B722" s="4"/>
      <c r="C722" s="4"/>
      <c r="D722" s="4"/>
      <c r="E722" s="4"/>
      <c r="F722" s="4"/>
      <c r="G722" s="4"/>
      <c r="H722" s="4"/>
      <c r="I722" s="4"/>
    </row>
    <row r="723" spans="1:9" ht="15.75" customHeight="1" x14ac:dyDescent="0.25">
      <c r="A723" s="4"/>
      <c r="B723" s="4"/>
      <c r="C723" s="4"/>
      <c r="D723" s="4"/>
      <c r="E723" s="4"/>
      <c r="F723" s="4"/>
      <c r="G723" s="4"/>
      <c r="H723" s="4"/>
      <c r="I723" s="4"/>
    </row>
    <row r="724" spans="1:9" ht="15.75" customHeight="1" x14ac:dyDescent="0.25">
      <c r="A724" s="4"/>
      <c r="B724" s="4"/>
      <c r="C724" s="4"/>
      <c r="D724" s="4"/>
      <c r="E724" s="4"/>
      <c r="F724" s="4"/>
      <c r="G724" s="4"/>
      <c r="H724" s="4"/>
      <c r="I724" s="4"/>
    </row>
    <row r="725" spans="1:9" ht="15.75" customHeight="1" x14ac:dyDescent="0.25">
      <c r="A725" s="4"/>
      <c r="B725" s="4"/>
      <c r="C725" s="4"/>
      <c r="D725" s="4"/>
      <c r="E725" s="4"/>
      <c r="F725" s="4"/>
      <c r="G725" s="4"/>
      <c r="H725" s="4"/>
      <c r="I725" s="4"/>
    </row>
    <row r="726" spans="1:9" ht="15.75" customHeight="1" x14ac:dyDescent="0.25">
      <c r="A726" s="4"/>
      <c r="B726" s="4"/>
      <c r="C726" s="4"/>
      <c r="D726" s="4"/>
      <c r="E726" s="4"/>
      <c r="F726" s="4"/>
      <c r="G726" s="4"/>
      <c r="H726" s="4"/>
      <c r="I726" s="4"/>
    </row>
    <row r="727" spans="1:9" ht="15.75" customHeight="1" x14ac:dyDescent="0.25">
      <c r="A727" s="4"/>
      <c r="B727" s="4"/>
      <c r="C727" s="4"/>
      <c r="D727" s="4"/>
      <c r="E727" s="4"/>
      <c r="F727" s="4"/>
      <c r="G727" s="4"/>
      <c r="H727" s="4"/>
      <c r="I727" s="4"/>
    </row>
    <row r="728" spans="1:9" ht="15.75" customHeight="1" x14ac:dyDescent="0.25">
      <c r="A728" s="4"/>
      <c r="B728" s="4"/>
      <c r="C728" s="4"/>
      <c r="D728" s="4"/>
      <c r="E728" s="4"/>
      <c r="F728" s="4"/>
      <c r="G728" s="4"/>
      <c r="H728" s="4"/>
      <c r="I728" s="4"/>
    </row>
    <row r="729" spans="1:9" ht="15.75" customHeight="1" x14ac:dyDescent="0.25">
      <c r="A729" s="4"/>
      <c r="B729" s="4"/>
      <c r="C729" s="4"/>
      <c r="D729" s="4"/>
      <c r="E729" s="4"/>
      <c r="F729" s="4"/>
      <c r="G729" s="4"/>
      <c r="H729" s="4"/>
      <c r="I729" s="4"/>
    </row>
    <row r="730" spans="1:9" ht="15.75" customHeight="1" x14ac:dyDescent="0.25">
      <c r="A730" s="4"/>
      <c r="B730" s="4"/>
      <c r="C730" s="4"/>
      <c r="D730" s="4"/>
      <c r="E730" s="4"/>
      <c r="F730" s="4"/>
      <c r="G730" s="4"/>
      <c r="H730" s="4"/>
      <c r="I730" s="4"/>
    </row>
    <row r="731" spans="1:9" ht="15.75" customHeight="1" x14ac:dyDescent="0.25">
      <c r="A731" s="4"/>
      <c r="B731" s="4"/>
      <c r="C731" s="4"/>
      <c r="D731" s="4"/>
      <c r="E731" s="4"/>
      <c r="F731" s="4"/>
      <c r="G731" s="4"/>
      <c r="H731" s="4"/>
      <c r="I731" s="4"/>
    </row>
    <row r="732" spans="1:9" ht="15.75" customHeight="1" x14ac:dyDescent="0.25">
      <c r="A732" s="4"/>
      <c r="B732" s="4"/>
      <c r="C732" s="4"/>
      <c r="D732" s="4"/>
      <c r="E732" s="4"/>
      <c r="F732" s="4"/>
      <c r="G732" s="4"/>
      <c r="H732" s="4"/>
      <c r="I732" s="4"/>
    </row>
    <row r="733" spans="1:9" ht="15.75" customHeight="1" x14ac:dyDescent="0.25">
      <c r="A733" s="4"/>
      <c r="B733" s="4"/>
      <c r="C733" s="4"/>
      <c r="D733" s="4"/>
      <c r="E733" s="4"/>
      <c r="F733" s="4"/>
      <c r="G733" s="4"/>
      <c r="H733" s="4"/>
      <c r="I733" s="4"/>
    </row>
    <row r="734" spans="1:9" ht="15.75" customHeight="1" x14ac:dyDescent="0.25">
      <c r="A734" s="4"/>
      <c r="B734" s="4"/>
      <c r="C734" s="4"/>
      <c r="D734" s="4"/>
      <c r="E734" s="4"/>
      <c r="F734" s="4"/>
      <c r="G734" s="4"/>
      <c r="H734" s="4"/>
      <c r="I734" s="4"/>
    </row>
    <row r="735" spans="1:9" ht="15.75" customHeight="1" x14ac:dyDescent="0.25">
      <c r="A735" s="4"/>
      <c r="B735" s="4"/>
      <c r="C735" s="4"/>
      <c r="D735" s="4"/>
      <c r="E735" s="4"/>
      <c r="F735" s="4"/>
      <c r="G735" s="4"/>
      <c r="H735" s="4"/>
      <c r="I735" s="4"/>
    </row>
    <row r="736" spans="1:9" ht="15.75" customHeight="1" x14ac:dyDescent="0.25">
      <c r="A736" s="4"/>
      <c r="B736" s="4"/>
      <c r="C736" s="4"/>
      <c r="D736" s="4"/>
      <c r="E736" s="4"/>
      <c r="F736" s="4"/>
      <c r="G736" s="4"/>
      <c r="H736" s="4"/>
      <c r="I736" s="4"/>
    </row>
    <row r="737" spans="1:9" ht="15.75" customHeight="1" x14ac:dyDescent="0.25">
      <c r="A737" s="4"/>
      <c r="B737" s="4"/>
      <c r="C737" s="4"/>
      <c r="D737" s="4"/>
      <c r="E737" s="4"/>
      <c r="F737" s="4"/>
      <c r="G737" s="4"/>
      <c r="H737" s="4"/>
      <c r="I737" s="4"/>
    </row>
    <row r="738" spans="1:9" ht="15.75" customHeight="1" x14ac:dyDescent="0.25">
      <c r="A738" s="4"/>
      <c r="B738" s="4"/>
      <c r="C738" s="4"/>
      <c r="D738" s="4"/>
      <c r="E738" s="4"/>
      <c r="F738" s="4"/>
      <c r="G738" s="4"/>
      <c r="H738" s="4"/>
      <c r="I738" s="4"/>
    </row>
    <row r="739" spans="1:9" ht="15.75" customHeight="1" x14ac:dyDescent="0.25">
      <c r="A739" s="4"/>
      <c r="B739" s="4"/>
      <c r="C739" s="4"/>
      <c r="D739" s="4"/>
      <c r="E739" s="4"/>
      <c r="F739" s="4"/>
      <c r="G739" s="4"/>
      <c r="H739" s="4"/>
      <c r="I739" s="4"/>
    </row>
    <row r="740" spans="1:9" ht="15.75" customHeight="1" x14ac:dyDescent="0.25">
      <c r="A740" s="4"/>
      <c r="B740" s="4"/>
      <c r="C740" s="4"/>
      <c r="D740" s="4"/>
      <c r="E740" s="4"/>
      <c r="F740" s="4"/>
      <c r="G740" s="4"/>
      <c r="H740" s="4"/>
      <c r="I740" s="4"/>
    </row>
    <row r="741" spans="1:9" ht="15.75" customHeight="1" x14ac:dyDescent="0.25">
      <c r="A741" s="4"/>
      <c r="B741" s="4"/>
      <c r="C741" s="4"/>
      <c r="D741" s="4"/>
      <c r="E741" s="4"/>
      <c r="F741" s="4"/>
      <c r="G741" s="4"/>
      <c r="H741" s="4"/>
      <c r="I741" s="4"/>
    </row>
    <row r="742" spans="1:9" ht="15.75" customHeight="1" x14ac:dyDescent="0.25">
      <c r="A742" s="4"/>
      <c r="B742" s="4"/>
      <c r="C742" s="4"/>
      <c r="D742" s="4"/>
      <c r="E742" s="4"/>
      <c r="F742" s="4"/>
      <c r="G742" s="4"/>
      <c r="H742" s="4"/>
      <c r="I742" s="4"/>
    </row>
    <row r="743" spans="1:9" ht="15.75" customHeight="1" x14ac:dyDescent="0.25">
      <c r="A743" s="4"/>
      <c r="B743" s="4"/>
      <c r="C743" s="4"/>
      <c r="D743" s="4"/>
      <c r="E743" s="4"/>
      <c r="F743" s="4"/>
      <c r="G743" s="4"/>
      <c r="H743" s="4"/>
      <c r="I743" s="4"/>
    </row>
    <row r="744" spans="1:9" ht="15.75" customHeight="1" x14ac:dyDescent="0.25">
      <c r="A744" s="4"/>
      <c r="B744" s="4"/>
      <c r="C744" s="4"/>
      <c r="D744" s="4"/>
      <c r="E744" s="4"/>
      <c r="F744" s="4"/>
      <c r="G744" s="4"/>
      <c r="H744" s="4"/>
      <c r="I744" s="4"/>
    </row>
    <row r="745" spans="1:9" ht="15.75" customHeight="1" x14ac:dyDescent="0.25">
      <c r="A745" s="4"/>
      <c r="B745" s="4"/>
      <c r="C745" s="4"/>
      <c r="D745" s="4"/>
      <c r="E745" s="4"/>
      <c r="F745" s="4"/>
      <c r="G745" s="4"/>
      <c r="H745" s="4"/>
      <c r="I745" s="4"/>
    </row>
    <row r="746" spans="1:9" ht="15.75" customHeight="1" x14ac:dyDescent="0.25">
      <c r="A746" s="4"/>
      <c r="B746" s="4"/>
      <c r="C746" s="4"/>
      <c r="D746" s="4"/>
      <c r="E746" s="4"/>
      <c r="F746" s="4"/>
      <c r="G746" s="4"/>
      <c r="H746" s="4"/>
      <c r="I746" s="4"/>
    </row>
    <row r="747" spans="1:9" ht="15.75" customHeight="1" x14ac:dyDescent="0.25">
      <c r="A747" s="4"/>
      <c r="B747" s="4"/>
      <c r="C747" s="4"/>
      <c r="D747" s="4"/>
      <c r="E747" s="4"/>
      <c r="F747" s="4"/>
      <c r="G747" s="4"/>
      <c r="H747" s="4"/>
      <c r="I747" s="4"/>
    </row>
    <row r="748" spans="1:9" ht="15.75" customHeight="1" x14ac:dyDescent="0.25">
      <c r="A748" s="4"/>
      <c r="B748" s="4"/>
      <c r="C748" s="4"/>
      <c r="D748" s="4"/>
      <c r="E748" s="4"/>
      <c r="F748" s="4"/>
      <c r="G748" s="4"/>
      <c r="H748" s="4"/>
      <c r="I748" s="4"/>
    </row>
    <row r="749" spans="1:9" ht="15.75" customHeight="1" x14ac:dyDescent="0.25">
      <c r="A749" s="4"/>
      <c r="B749" s="4"/>
      <c r="C749" s="4"/>
      <c r="D749" s="4"/>
      <c r="E749" s="4"/>
      <c r="F749" s="4"/>
      <c r="G749" s="4"/>
      <c r="H749" s="4"/>
      <c r="I749" s="4"/>
    </row>
    <row r="750" spans="1:9" ht="15.75" customHeight="1" x14ac:dyDescent="0.25">
      <c r="A750" s="4"/>
      <c r="B750" s="4"/>
      <c r="C750" s="4"/>
      <c r="D750" s="4"/>
      <c r="E750" s="4"/>
      <c r="F750" s="4"/>
      <c r="G750" s="4"/>
      <c r="H750" s="4"/>
      <c r="I750" s="4"/>
    </row>
    <row r="751" spans="1:9" ht="15.75" customHeight="1" x14ac:dyDescent="0.25">
      <c r="A751" s="4"/>
      <c r="B751" s="4"/>
      <c r="C751" s="4"/>
      <c r="D751" s="4"/>
      <c r="E751" s="4"/>
      <c r="F751" s="4"/>
      <c r="G751" s="4"/>
      <c r="H751" s="4"/>
      <c r="I751" s="4"/>
    </row>
    <row r="752" spans="1:9" ht="15.75" customHeight="1" x14ac:dyDescent="0.25">
      <c r="A752" s="4"/>
      <c r="B752" s="4"/>
      <c r="C752" s="4"/>
      <c r="D752" s="4"/>
      <c r="E752" s="4"/>
      <c r="F752" s="4"/>
      <c r="G752" s="4"/>
      <c r="H752" s="4"/>
      <c r="I752" s="4"/>
    </row>
    <row r="753" spans="1:9" ht="15.75" customHeight="1" x14ac:dyDescent="0.25">
      <c r="A753" s="4"/>
      <c r="B753" s="4"/>
      <c r="C753" s="4"/>
      <c r="D753" s="4"/>
      <c r="E753" s="4"/>
      <c r="F753" s="4"/>
      <c r="G753" s="4"/>
      <c r="H753" s="4"/>
      <c r="I753" s="4"/>
    </row>
    <row r="754" spans="1:9" ht="15.75" customHeight="1" x14ac:dyDescent="0.25">
      <c r="A754" s="4"/>
      <c r="B754" s="4"/>
      <c r="C754" s="4"/>
      <c r="D754" s="4"/>
      <c r="E754" s="4"/>
      <c r="F754" s="4"/>
      <c r="G754" s="4"/>
      <c r="H754" s="4"/>
      <c r="I754" s="4"/>
    </row>
    <row r="755" spans="1:9" ht="15.75" customHeight="1" x14ac:dyDescent="0.25">
      <c r="A755" s="4"/>
      <c r="B755" s="4"/>
      <c r="C755" s="4"/>
      <c r="D755" s="4"/>
      <c r="E755" s="4"/>
      <c r="F755" s="4"/>
      <c r="G755" s="4"/>
      <c r="H755" s="4"/>
      <c r="I755" s="4"/>
    </row>
    <row r="756" spans="1:9" ht="15.75" customHeight="1" x14ac:dyDescent="0.25">
      <c r="A756" s="4"/>
      <c r="B756" s="4"/>
      <c r="C756" s="4"/>
      <c r="D756" s="4"/>
      <c r="E756" s="4"/>
      <c r="F756" s="4"/>
      <c r="G756" s="4"/>
      <c r="H756" s="4"/>
      <c r="I756" s="4"/>
    </row>
    <row r="757" spans="1:9" ht="15.75" customHeight="1" x14ac:dyDescent="0.25">
      <c r="A757" s="4"/>
      <c r="B757" s="4"/>
      <c r="C757" s="4"/>
      <c r="D757" s="4"/>
      <c r="E757" s="4"/>
      <c r="F757" s="4"/>
      <c r="G757" s="4"/>
      <c r="H757" s="4"/>
      <c r="I757" s="4"/>
    </row>
    <row r="758" spans="1:9" ht="15.75" customHeight="1" x14ac:dyDescent="0.25">
      <c r="A758" s="4"/>
      <c r="B758" s="4"/>
      <c r="C758" s="4"/>
      <c r="D758" s="4"/>
      <c r="E758" s="4"/>
      <c r="F758" s="4"/>
      <c r="G758" s="4"/>
      <c r="H758" s="4"/>
      <c r="I758" s="4"/>
    </row>
    <row r="759" spans="1:9" ht="15.75" customHeight="1" x14ac:dyDescent="0.25">
      <c r="A759" s="4"/>
      <c r="B759" s="4"/>
      <c r="C759" s="4"/>
      <c r="D759" s="4"/>
      <c r="E759" s="4"/>
      <c r="F759" s="4"/>
      <c r="G759" s="4"/>
      <c r="H759" s="4"/>
      <c r="I759" s="4"/>
    </row>
    <row r="760" spans="1:9" ht="15.75" customHeight="1" x14ac:dyDescent="0.25">
      <c r="A760" s="4"/>
      <c r="B760" s="4"/>
      <c r="C760" s="4"/>
      <c r="D760" s="4"/>
      <c r="E760" s="4"/>
      <c r="F760" s="4"/>
      <c r="G760" s="4"/>
      <c r="H760" s="4"/>
      <c r="I760" s="4"/>
    </row>
    <row r="761" spans="1:9" ht="15.75" customHeight="1" x14ac:dyDescent="0.25">
      <c r="A761" s="4"/>
      <c r="B761" s="4"/>
      <c r="C761" s="4"/>
      <c r="D761" s="4"/>
      <c r="E761" s="4"/>
      <c r="F761" s="4"/>
      <c r="G761" s="4"/>
      <c r="H761" s="4"/>
      <c r="I761" s="4"/>
    </row>
    <row r="762" spans="1:9" ht="15.75" customHeight="1" x14ac:dyDescent="0.25">
      <c r="A762" s="4"/>
      <c r="B762" s="4"/>
      <c r="C762" s="4"/>
      <c r="D762" s="4"/>
      <c r="E762" s="4"/>
      <c r="F762" s="4"/>
      <c r="G762" s="4"/>
      <c r="H762" s="4"/>
      <c r="I762" s="4"/>
    </row>
    <row r="763" spans="1:9" ht="15.75" customHeight="1" x14ac:dyDescent="0.25">
      <c r="A763" s="4"/>
      <c r="B763" s="4"/>
      <c r="C763" s="4"/>
      <c r="D763" s="4"/>
      <c r="E763" s="4"/>
      <c r="F763" s="4"/>
      <c r="G763" s="4"/>
      <c r="H763" s="4"/>
      <c r="I763" s="4"/>
    </row>
    <row r="764" spans="1:9" ht="15.75" customHeight="1" x14ac:dyDescent="0.25">
      <c r="A764" s="4"/>
      <c r="B764" s="4"/>
      <c r="C764" s="4"/>
      <c r="D764" s="4"/>
      <c r="E764" s="4"/>
      <c r="F764" s="4"/>
      <c r="G764" s="4"/>
      <c r="H764" s="4"/>
      <c r="I764" s="4"/>
    </row>
    <row r="765" spans="1:9" ht="15.75" customHeight="1" x14ac:dyDescent="0.25">
      <c r="A765" s="4"/>
      <c r="B765" s="4"/>
      <c r="C765" s="4"/>
      <c r="D765" s="4"/>
      <c r="E765" s="4"/>
      <c r="F765" s="4"/>
      <c r="G765" s="4"/>
      <c r="H765" s="4"/>
      <c r="I765" s="4"/>
    </row>
    <row r="766" spans="1:9" ht="15.75" customHeight="1" x14ac:dyDescent="0.25">
      <c r="A766" s="4"/>
      <c r="B766" s="4"/>
      <c r="C766" s="4"/>
      <c r="D766" s="4"/>
      <c r="E766" s="4"/>
      <c r="F766" s="4"/>
      <c r="G766" s="4"/>
      <c r="H766" s="4"/>
      <c r="I766" s="4"/>
    </row>
    <row r="767" spans="1:9" ht="15.75" customHeight="1" x14ac:dyDescent="0.25">
      <c r="A767" s="4"/>
      <c r="B767" s="4"/>
      <c r="C767" s="4"/>
      <c r="D767" s="4"/>
      <c r="E767" s="4"/>
      <c r="F767" s="4"/>
      <c r="G767" s="4"/>
      <c r="H767" s="4"/>
      <c r="I767" s="4"/>
    </row>
    <row r="768" spans="1:9" ht="15.75" customHeight="1" x14ac:dyDescent="0.25">
      <c r="A768" s="4"/>
      <c r="B768" s="4"/>
      <c r="C768" s="4"/>
      <c r="D768" s="4"/>
      <c r="E768" s="4"/>
      <c r="F768" s="4"/>
      <c r="G768" s="4"/>
      <c r="H768" s="4"/>
      <c r="I768" s="4"/>
    </row>
    <row r="769" spans="1:9" ht="15.75" customHeight="1" x14ac:dyDescent="0.25">
      <c r="A769" s="4"/>
      <c r="B769" s="4"/>
      <c r="C769" s="4"/>
      <c r="D769" s="4"/>
      <c r="E769" s="4"/>
      <c r="F769" s="4"/>
      <c r="G769" s="4"/>
      <c r="H769" s="4"/>
      <c r="I769" s="4"/>
    </row>
    <row r="770" spans="1:9" ht="15.75" customHeight="1" x14ac:dyDescent="0.25">
      <c r="A770" s="4"/>
      <c r="B770" s="4"/>
      <c r="C770" s="4"/>
      <c r="D770" s="4"/>
      <c r="E770" s="4"/>
      <c r="F770" s="4"/>
      <c r="G770" s="4"/>
      <c r="H770" s="4"/>
      <c r="I770" s="4"/>
    </row>
    <row r="771" spans="1:9" ht="15.75" customHeight="1" x14ac:dyDescent="0.25">
      <c r="A771" s="4"/>
      <c r="B771" s="4"/>
      <c r="C771" s="4"/>
      <c r="D771" s="4"/>
      <c r="E771" s="4"/>
      <c r="F771" s="4"/>
      <c r="G771" s="4"/>
      <c r="H771" s="4"/>
      <c r="I771" s="4"/>
    </row>
    <row r="772" spans="1:9" ht="15.75" customHeight="1" x14ac:dyDescent="0.25">
      <c r="A772" s="4"/>
      <c r="B772" s="4"/>
      <c r="C772" s="4"/>
      <c r="D772" s="4"/>
      <c r="E772" s="4"/>
      <c r="F772" s="4"/>
      <c r="G772" s="4"/>
      <c r="H772" s="4"/>
      <c r="I772" s="4"/>
    </row>
    <row r="773" spans="1:9" ht="15.75" customHeight="1" x14ac:dyDescent="0.25">
      <c r="A773" s="4"/>
      <c r="B773" s="4"/>
      <c r="C773" s="4"/>
      <c r="D773" s="4"/>
      <c r="E773" s="4"/>
      <c r="F773" s="4"/>
      <c r="G773" s="4"/>
      <c r="H773" s="4"/>
      <c r="I773" s="4"/>
    </row>
    <row r="774" spans="1:9" ht="15.75" customHeight="1" x14ac:dyDescent="0.25">
      <c r="A774" s="4"/>
      <c r="B774" s="4"/>
      <c r="C774" s="4"/>
      <c r="D774" s="4"/>
      <c r="E774" s="4"/>
      <c r="F774" s="4"/>
      <c r="G774" s="4"/>
      <c r="H774" s="4"/>
      <c r="I774" s="4"/>
    </row>
    <row r="775" spans="1:9" ht="15.75" customHeight="1" x14ac:dyDescent="0.25">
      <c r="A775" s="4"/>
      <c r="B775" s="4"/>
      <c r="C775" s="4"/>
      <c r="D775" s="4"/>
      <c r="E775" s="4"/>
      <c r="F775" s="4"/>
      <c r="G775" s="4"/>
      <c r="H775" s="4"/>
      <c r="I775" s="4"/>
    </row>
    <row r="776" spans="1:9" ht="15.75" customHeight="1" x14ac:dyDescent="0.25">
      <c r="A776" s="4"/>
      <c r="B776" s="4"/>
      <c r="C776" s="4"/>
      <c r="D776" s="4"/>
      <c r="E776" s="4"/>
      <c r="F776" s="4"/>
      <c r="G776" s="4"/>
      <c r="H776" s="4"/>
      <c r="I776" s="4"/>
    </row>
    <row r="777" spans="1:9" ht="15.75" customHeight="1" x14ac:dyDescent="0.25">
      <c r="A777" s="4"/>
      <c r="B777" s="4"/>
      <c r="C777" s="4"/>
      <c r="D777" s="4"/>
      <c r="E777" s="4"/>
      <c r="F777" s="4"/>
      <c r="G777" s="4"/>
      <c r="H777" s="4"/>
      <c r="I777" s="4"/>
    </row>
    <row r="778" spans="1:9" ht="15.75" customHeight="1" x14ac:dyDescent="0.25">
      <c r="A778" s="4"/>
      <c r="B778" s="4"/>
      <c r="C778" s="4"/>
      <c r="D778" s="4"/>
      <c r="E778" s="4"/>
      <c r="F778" s="4"/>
      <c r="G778" s="4"/>
      <c r="H778" s="4"/>
      <c r="I778" s="4"/>
    </row>
    <row r="779" spans="1:9" ht="15.75" customHeight="1" x14ac:dyDescent="0.25">
      <c r="A779" s="4"/>
      <c r="B779" s="4"/>
      <c r="C779" s="4"/>
      <c r="D779" s="4"/>
      <c r="E779" s="4"/>
      <c r="F779" s="4"/>
      <c r="G779" s="4"/>
      <c r="H779" s="4"/>
      <c r="I779" s="4"/>
    </row>
    <row r="780" spans="1:9" ht="15.75" customHeight="1" x14ac:dyDescent="0.25">
      <c r="A780" s="4"/>
      <c r="B780" s="4"/>
      <c r="C780" s="4"/>
      <c r="D780" s="4"/>
      <c r="E780" s="4"/>
      <c r="F780" s="4"/>
      <c r="G780" s="4"/>
      <c r="H780" s="4"/>
      <c r="I780" s="4"/>
    </row>
    <row r="781" spans="1:9" ht="15.75" customHeight="1" x14ac:dyDescent="0.25">
      <c r="A781" s="4"/>
      <c r="B781" s="4"/>
      <c r="C781" s="4"/>
      <c r="D781" s="4"/>
      <c r="E781" s="4"/>
      <c r="F781" s="4"/>
      <c r="G781" s="4"/>
      <c r="H781" s="4"/>
      <c r="I781" s="4"/>
    </row>
    <row r="782" spans="1:9" ht="15.75" customHeight="1" x14ac:dyDescent="0.25">
      <c r="A782" s="4"/>
      <c r="B782" s="4"/>
      <c r="C782" s="4"/>
      <c r="D782" s="4"/>
      <c r="E782" s="4"/>
      <c r="F782" s="4"/>
      <c r="G782" s="4"/>
      <c r="H782" s="4"/>
      <c r="I782" s="4"/>
    </row>
    <row r="783" spans="1:9" ht="15.75" customHeight="1" x14ac:dyDescent="0.25">
      <c r="A783" s="4"/>
      <c r="B783" s="4"/>
      <c r="C783" s="4"/>
      <c r="D783" s="4"/>
      <c r="E783" s="4"/>
      <c r="F783" s="4"/>
      <c r="G783" s="4"/>
      <c r="H783" s="4"/>
      <c r="I783" s="4"/>
    </row>
    <row r="784" spans="1:9" ht="15.75" customHeight="1" x14ac:dyDescent="0.25">
      <c r="A784" s="4"/>
      <c r="B784" s="4"/>
      <c r="C784" s="4"/>
      <c r="D784" s="4"/>
      <c r="E784" s="4"/>
      <c r="F784" s="4"/>
      <c r="G784" s="4"/>
      <c r="H784" s="4"/>
      <c r="I784" s="4"/>
    </row>
    <row r="785" spans="1:9" ht="15.75" customHeight="1" x14ac:dyDescent="0.25">
      <c r="A785" s="4"/>
      <c r="B785" s="4"/>
      <c r="C785" s="4"/>
      <c r="D785" s="4"/>
      <c r="E785" s="4"/>
      <c r="F785" s="4"/>
      <c r="G785" s="4"/>
      <c r="H785" s="4"/>
      <c r="I785" s="4"/>
    </row>
    <row r="786" spans="1:9" ht="15.75" customHeight="1" x14ac:dyDescent="0.25">
      <c r="A786" s="4"/>
      <c r="B786" s="4"/>
      <c r="C786" s="4"/>
      <c r="D786" s="4"/>
      <c r="E786" s="4"/>
      <c r="F786" s="4"/>
      <c r="G786" s="4"/>
      <c r="H786" s="4"/>
      <c r="I786" s="4"/>
    </row>
    <row r="787" spans="1:9" ht="15.75" customHeight="1" x14ac:dyDescent="0.25">
      <c r="A787" s="4"/>
      <c r="B787" s="4"/>
      <c r="C787" s="4"/>
      <c r="D787" s="4"/>
      <c r="E787" s="4"/>
      <c r="F787" s="4"/>
      <c r="G787" s="4"/>
      <c r="H787" s="4"/>
      <c r="I787" s="4"/>
    </row>
    <row r="788" spans="1:9" ht="15.75" customHeight="1" x14ac:dyDescent="0.25">
      <c r="A788" s="4"/>
      <c r="B788" s="4"/>
      <c r="C788" s="4"/>
      <c r="D788" s="4"/>
      <c r="E788" s="4"/>
      <c r="F788" s="4"/>
      <c r="G788" s="4"/>
      <c r="H788" s="4"/>
      <c r="I788" s="4"/>
    </row>
    <row r="789" spans="1:9" ht="15.75" customHeight="1" x14ac:dyDescent="0.25">
      <c r="A789" s="4"/>
      <c r="B789" s="4"/>
      <c r="C789" s="4"/>
      <c r="D789" s="4"/>
      <c r="E789" s="4"/>
      <c r="F789" s="4"/>
      <c r="G789" s="4"/>
      <c r="H789" s="4"/>
      <c r="I789" s="4"/>
    </row>
    <row r="790" spans="1:9" ht="15.75" customHeight="1" x14ac:dyDescent="0.25">
      <c r="A790" s="4"/>
      <c r="B790" s="4"/>
      <c r="C790" s="4"/>
      <c r="D790" s="4"/>
      <c r="E790" s="4"/>
      <c r="F790" s="4"/>
      <c r="G790" s="4"/>
      <c r="H790" s="4"/>
      <c r="I790" s="4"/>
    </row>
    <row r="791" spans="1:9" ht="15.75" customHeight="1" x14ac:dyDescent="0.25">
      <c r="A791" s="4"/>
      <c r="B791" s="4"/>
      <c r="C791" s="4"/>
      <c r="D791" s="4"/>
      <c r="E791" s="4"/>
      <c r="F791" s="4"/>
      <c r="G791" s="4"/>
      <c r="H791" s="4"/>
      <c r="I791" s="4"/>
    </row>
    <row r="792" spans="1:9" ht="15.75" customHeight="1" x14ac:dyDescent="0.25">
      <c r="A792" s="4"/>
      <c r="B792" s="4"/>
      <c r="C792" s="4"/>
      <c r="D792" s="4"/>
      <c r="E792" s="4"/>
      <c r="F792" s="4"/>
      <c r="G792" s="4"/>
      <c r="H792" s="4"/>
      <c r="I792" s="4"/>
    </row>
    <row r="793" spans="1:9" ht="15.75" customHeight="1" x14ac:dyDescent="0.25">
      <c r="A793" s="4"/>
      <c r="B793" s="4"/>
      <c r="C793" s="4"/>
      <c r="D793" s="4"/>
      <c r="E793" s="4"/>
      <c r="F793" s="4"/>
      <c r="G793" s="4"/>
      <c r="H793" s="4"/>
      <c r="I793" s="4"/>
    </row>
    <row r="794" spans="1:9" ht="15.75" customHeight="1" x14ac:dyDescent="0.25">
      <c r="A794" s="4"/>
      <c r="B794" s="4"/>
      <c r="C794" s="4"/>
      <c r="D794" s="4"/>
      <c r="E794" s="4"/>
      <c r="F794" s="4"/>
      <c r="G794" s="4"/>
      <c r="H794" s="4"/>
      <c r="I794" s="4"/>
    </row>
    <row r="795" spans="1:9" ht="15.75" customHeight="1" x14ac:dyDescent="0.25">
      <c r="A795" s="4"/>
      <c r="B795" s="4"/>
      <c r="C795" s="4"/>
      <c r="D795" s="4"/>
      <c r="E795" s="4"/>
      <c r="F795" s="4"/>
      <c r="G795" s="4"/>
      <c r="H795" s="4"/>
      <c r="I795" s="4"/>
    </row>
    <row r="796" spans="1:9" ht="15.75" customHeight="1" x14ac:dyDescent="0.25">
      <c r="A796" s="4"/>
      <c r="B796" s="4"/>
      <c r="C796" s="4"/>
      <c r="D796" s="4"/>
      <c r="E796" s="4"/>
      <c r="F796" s="4"/>
      <c r="G796" s="4"/>
      <c r="H796" s="4"/>
      <c r="I796" s="4"/>
    </row>
    <row r="797" spans="1:9" ht="15.75" customHeight="1" x14ac:dyDescent="0.25">
      <c r="A797" s="4"/>
      <c r="B797" s="4"/>
      <c r="C797" s="4"/>
      <c r="D797" s="4"/>
      <c r="E797" s="4"/>
      <c r="F797" s="4"/>
      <c r="G797" s="4"/>
      <c r="H797" s="4"/>
      <c r="I797" s="4"/>
    </row>
    <row r="798" spans="1:9" ht="15.75" customHeight="1" x14ac:dyDescent="0.25">
      <c r="A798" s="4"/>
      <c r="B798" s="4"/>
      <c r="C798" s="4"/>
      <c r="D798" s="4"/>
      <c r="E798" s="4"/>
      <c r="F798" s="4"/>
      <c r="G798" s="4"/>
      <c r="H798" s="4"/>
      <c r="I798" s="4"/>
    </row>
    <row r="799" spans="1:9" ht="15.75" customHeight="1" x14ac:dyDescent="0.25">
      <c r="A799" s="4"/>
      <c r="B799" s="4"/>
      <c r="C799" s="4"/>
      <c r="D799" s="4"/>
      <c r="E799" s="4"/>
      <c r="F799" s="4"/>
      <c r="G799" s="4"/>
      <c r="H799" s="4"/>
      <c r="I799" s="4"/>
    </row>
    <row r="800" spans="1:9" ht="15.75" customHeight="1" x14ac:dyDescent="0.25">
      <c r="A800" s="4"/>
      <c r="B800" s="4"/>
      <c r="C800" s="4"/>
      <c r="D800" s="4"/>
      <c r="E800" s="4"/>
      <c r="F800" s="4"/>
      <c r="G800" s="4"/>
      <c r="H800" s="4"/>
      <c r="I800" s="4"/>
    </row>
    <row r="801" spans="1:9" ht="15.75" customHeight="1" x14ac:dyDescent="0.25">
      <c r="A801" s="4"/>
      <c r="B801" s="4"/>
      <c r="C801" s="4"/>
      <c r="D801" s="4"/>
      <c r="E801" s="4"/>
      <c r="F801" s="4"/>
      <c r="G801" s="4"/>
      <c r="H801" s="4"/>
      <c r="I801" s="4"/>
    </row>
    <row r="802" spans="1:9" ht="15.75" customHeight="1" x14ac:dyDescent="0.25">
      <c r="A802" s="4"/>
      <c r="B802" s="4"/>
      <c r="C802" s="4"/>
      <c r="D802" s="4"/>
      <c r="E802" s="4"/>
      <c r="F802" s="4"/>
      <c r="G802" s="4"/>
      <c r="H802" s="4"/>
      <c r="I802" s="4"/>
    </row>
    <row r="803" spans="1:9" ht="15.75" customHeight="1" x14ac:dyDescent="0.25">
      <c r="A803" s="4"/>
      <c r="B803" s="4"/>
      <c r="C803" s="4"/>
      <c r="D803" s="4"/>
      <c r="E803" s="4"/>
      <c r="F803" s="4"/>
      <c r="G803" s="4"/>
      <c r="H803" s="4"/>
      <c r="I803" s="4"/>
    </row>
    <row r="804" spans="1:9" ht="15.75" customHeight="1" x14ac:dyDescent="0.25">
      <c r="A804" s="4"/>
      <c r="B804" s="4"/>
      <c r="C804" s="4"/>
      <c r="D804" s="4"/>
      <c r="E804" s="4"/>
      <c r="F804" s="4"/>
      <c r="G804" s="4"/>
      <c r="H804" s="4"/>
      <c r="I804" s="4"/>
    </row>
    <row r="805" spans="1:9" ht="15.75" customHeight="1" x14ac:dyDescent="0.25">
      <c r="A805" s="4"/>
      <c r="B805" s="4"/>
      <c r="C805" s="4"/>
      <c r="D805" s="4"/>
      <c r="E805" s="4"/>
      <c r="F805" s="4"/>
      <c r="G805" s="4"/>
      <c r="H805" s="4"/>
      <c r="I805" s="4"/>
    </row>
    <row r="806" spans="1:9" ht="15.75" customHeight="1" x14ac:dyDescent="0.25">
      <c r="A806" s="4"/>
      <c r="B806" s="4"/>
      <c r="C806" s="4"/>
      <c r="D806" s="4"/>
      <c r="E806" s="4"/>
      <c r="F806" s="4"/>
      <c r="G806" s="4"/>
      <c r="H806" s="4"/>
      <c r="I806" s="4"/>
    </row>
    <row r="807" spans="1:9" ht="15.75" customHeight="1" x14ac:dyDescent="0.25">
      <c r="A807" s="4"/>
      <c r="B807" s="4"/>
      <c r="C807" s="4"/>
      <c r="D807" s="4"/>
      <c r="E807" s="4"/>
      <c r="F807" s="4"/>
      <c r="G807" s="4"/>
      <c r="H807" s="4"/>
      <c r="I807" s="4"/>
    </row>
    <row r="808" spans="1:9" ht="15.75" customHeight="1" x14ac:dyDescent="0.25">
      <c r="A808" s="4"/>
      <c r="B808" s="4"/>
      <c r="C808" s="4"/>
      <c r="D808" s="4"/>
      <c r="E808" s="4"/>
      <c r="F808" s="4"/>
      <c r="G808" s="4"/>
      <c r="H808" s="4"/>
      <c r="I808" s="4"/>
    </row>
    <row r="809" spans="1:9" ht="15.75" customHeight="1" x14ac:dyDescent="0.25">
      <c r="A809" s="4"/>
      <c r="B809" s="4"/>
      <c r="C809" s="4"/>
      <c r="D809" s="4"/>
      <c r="E809" s="4"/>
      <c r="F809" s="4"/>
      <c r="G809" s="4"/>
      <c r="H809" s="4"/>
      <c r="I809" s="4"/>
    </row>
    <row r="810" spans="1:9" ht="15.75" customHeight="1" x14ac:dyDescent="0.25">
      <c r="A810" s="4"/>
      <c r="B810" s="4"/>
      <c r="C810" s="4"/>
      <c r="D810" s="4"/>
      <c r="E810" s="4"/>
      <c r="F810" s="4"/>
      <c r="G810" s="4"/>
      <c r="H810" s="4"/>
      <c r="I810" s="4"/>
    </row>
    <row r="811" spans="1:9" ht="15.75" customHeight="1" x14ac:dyDescent="0.25">
      <c r="A811" s="4"/>
      <c r="B811" s="4"/>
      <c r="C811" s="4"/>
      <c r="D811" s="4"/>
      <c r="E811" s="4"/>
      <c r="F811" s="4"/>
      <c r="G811" s="4"/>
      <c r="H811" s="4"/>
      <c r="I811" s="4"/>
    </row>
    <row r="812" spans="1:9" ht="15.75" customHeight="1" x14ac:dyDescent="0.25">
      <c r="A812" s="4"/>
      <c r="B812" s="4"/>
      <c r="C812" s="4"/>
      <c r="D812" s="4"/>
      <c r="E812" s="4"/>
      <c r="F812" s="4"/>
      <c r="G812" s="4"/>
      <c r="H812" s="4"/>
      <c r="I812" s="4"/>
    </row>
    <row r="813" spans="1:9" ht="15.75" customHeight="1" x14ac:dyDescent="0.25">
      <c r="A813" s="4"/>
      <c r="B813" s="4"/>
      <c r="C813" s="4"/>
      <c r="D813" s="4"/>
      <c r="E813" s="4"/>
      <c r="F813" s="4"/>
      <c r="G813" s="4"/>
      <c r="H813" s="4"/>
      <c r="I813" s="4"/>
    </row>
    <row r="814" spans="1:9" ht="15.75" customHeight="1" x14ac:dyDescent="0.25">
      <c r="A814" s="4"/>
      <c r="B814" s="4"/>
      <c r="C814" s="4"/>
      <c r="D814" s="4"/>
      <c r="E814" s="4"/>
      <c r="F814" s="4"/>
      <c r="G814" s="4"/>
      <c r="H814" s="4"/>
      <c r="I814" s="4"/>
    </row>
    <row r="815" spans="1:9" ht="15.75" customHeight="1" x14ac:dyDescent="0.25">
      <c r="A815" s="4"/>
      <c r="B815" s="4"/>
      <c r="C815" s="4"/>
      <c r="D815" s="4"/>
      <c r="E815" s="4"/>
      <c r="F815" s="4"/>
      <c r="G815" s="4"/>
      <c r="H815" s="4"/>
      <c r="I815" s="4"/>
    </row>
    <row r="816" spans="1:9" ht="15.75" customHeight="1" x14ac:dyDescent="0.25">
      <c r="A816" s="4"/>
      <c r="B816" s="4"/>
      <c r="C816" s="4"/>
      <c r="D816" s="4"/>
      <c r="E816" s="4"/>
      <c r="F816" s="4"/>
      <c r="G816" s="4"/>
      <c r="H816" s="4"/>
      <c r="I816" s="4"/>
    </row>
    <row r="817" spans="1:9" ht="15.75" customHeight="1" x14ac:dyDescent="0.25">
      <c r="A817" s="4"/>
      <c r="B817" s="4"/>
      <c r="C817" s="4"/>
      <c r="D817" s="4"/>
      <c r="E817" s="4"/>
      <c r="F817" s="4"/>
      <c r="G817" s="4"/>
      <c r="H817" s="4"/>
      <c r="I817" s="4"/>
    </row>
    <row r="818" spans="1:9" ht="15.75" customHeight="1" x14ac:dyDescent="0.25">
      <c r="A818" s="4"/>
      <c r="B818" s="4"/>
      <c r="C818" s="4"/>
      <c r="D818" s="4"/>
      <c r="E818" s="4"/>
      <c r="F818" s="4"/>
      <c r="G818" s="4"/>
      <c r="H818" s="4"/>
      <c r="I818" s="4"/>
    </row>
    <row r="819" spans="1:9" ht="15.75" customHeight="1" x14ac:dyDescent="0.25">
      <c r="A819" s="4"/>
      <c r="B819" s="4"/>
      <c r="C819" s="4"/>
      <c r="D819" s="4"/>
      <c r="E819" s="4"/>
      <c r="F819" s="4"/>
      <c r="G819" s="4"/>
      <c r="H819" s="4"/>
      <c r="I819" s="4"/>
    </row>
    <row r="820" spans="1:9" ht="15.75" customHeight="1" x14ac:dyDescent="0.25">
      <c r="A820" s="4"/>
      <c r="B820" s="4"/>
      <c r="C820" s="4"/>
      <c r="D820" s="4"/>
      <c r="E820" s="4"/>
      <c r="F820" s="4"/>
      <c r="G820" s="4"/>
      <c r="H820" s="4"/>
      <c r="I820" s="4"/>
    </row>
    <row r="821" spans="1:9" ht="15.75" customHeight="1" x14ac:dyDescent="0.25">
      <c r="A821" s="4"/>
      <c r="B821" s="4"/>
      <c r="C821" s="4"/>
      <c r="D821" s="4"/>
      <c r="E821" s="4"/>
      <c r="F821" s="4"/>
      <c r="G821" s="4"/>
      <c r="H821" s="4"/>
      <c r="I821" s="4"/>
    </row>
    <row r="822" spans="1:9" ht="15.75" customHeight="1" x14ac:dyDescent="0.25">
      <c r="A822" s="4"/>
      <c r="B822" s="4"/>
      <c r="C822" s="4"/>
      <c r="D822" s="4"/>
      <c r="E822" s="4"/>
      <c r="F822" s="4"/>
      <c r="G822" s="4"/>
      <c r="H822" s="4"/>
      <c r="I822" s="4"/>
    </row>
    <row r="823" spans="1:9" ht="15.75" customHeight="1" x14ac:dyDescent="0.25">
      <c r="A823" s="4"/>
      <c r="B823" s="4"/>
      <c r="C823" s="4"/>
      <c r="D823" s="4"/>
      <c r="E823" s="4"/>
      <c r="F823" s="4"/>
      <c r="G823" s="4"/>
      <c r="H823" s="4"/>
      <c r="I823" s="4"/>
    </row>
    <row r="824" spans="1:9" ht="15.75" customHeight="1" x14ac:dyDescent="0.25">
      <c r="A824" s="4"/>
      <c r="B824" s="4"/>
      <c r="C824" s="4"/>
      <c r="D824" s="4"/>
      <c r="E824" s="4"/>
      <c r="F824" s="4"/>
      <c r="G824" s="4"/>
      <c r="H824" s="4"/>
      <c r="I824" s="4"/>
    </row>
    <row r="825" spans="1:9" ht="15.75" customHeight="1" x14ac:dyDescent="0.25">
      <c r="A825" s="4"/>
      <c r="B825" s="4"/>
      <c r="C825" s="4"/>
      <c r="D825" s="4"/>
      <c r="E825" s="4"/>
      <c r="F825" s="4"/>
      <c r="G825" s="4"/>
      <c r="H825" s="4"/>
      <c r="I825" s="4"/>
    </row>
    <row r="826" spans="1:9" ht="15.75" customHeight="1" x14ac:dyDescent="0.25">
      <c r="A826" s="4"/>
      <c r="B826" s="4"/>
      <c r="C826" s="4"/>
      <c r="D826" s="4"/>
      <c r="E826" s="4"/>
      <c r="F826" s="4"/>
      <c r="G826" s="4"/>
      <c r="H826" s="4"/>
      <c r="I826" s="4"/>
    </row>
    <row r="827" spans="1:9" ht="15.75" customHeight="1" x14ac:dyDescent="0.25">
      <c r="A827" s="4"/>
      <c r="B827" s="4"/>
      <c r="C827" s="4"/>
      <c r="D827" s="4"/>
      <c r="E827" s="4"/>
      <c r="F827" s="4"/>
      <c r="G827" s="4"/>
      <c r="H827" s="4"/>
      <c r="I827" s="4"/>
    </row>
    <row r="828" spans="1:9" ht="15.75" customHeight="1" x14ac:dyDescent="0.25">
      <c r="A828" s="4"/>
      <c r="B828" s="4"/>
      <c r="C828" s="4"/>
      <c r="D828" s="4"/>
      <c r="E828" s="4"/>
      <c r="F828" s="4"/>
      <c r="G828" s="4"/>
      <c r="H828" s="4"/>
      <c r="I828" s="4"/>
    </row>
    <row r="829" spans="1:9" ht="15.75" customHeight="1" x14ac:dyDescent="0.25">
      <c r="A829" s="4"/>
      <c r="B829" s="4"/>
      <c r="C829" s="4"/>
      <c r="D829" s="4"/>
      <c r="E829" s="4"/>
      <c r="F829" s="4"/>
      <c r="G829" s="4"/>
      <c r="H829" s="4"/>
      <c r="I829" s="4"/>
    </row>
    <row r="830" spans="1:9" ht="15.75" customHeight="1" x14ac:dyDescent="0.25">
      <c r="A830" s="4"/>
      <c r="B830" s="4"/>
      <c r="C830" s="4"/>
      <c r="D830" s="4"/>
      <c r="E830" s="4"/>
      <c r="F830" s="4"/>
      <c r="G830" s="4"/>
      <c r="H830" s="4"/>
      <c r="I830" s="4"/>
    </row>
    <row r="831" spans="1:9" ht="15.75" customHeight="1" x14ac:dyDescent="0.25">
      <c r="A831" s="4"/>
      <c r="B831" s="4"/>
      <c r="C831" s="4"/>
      <c r="D831" s="4"/>
      <c r="E831" s="4"/>
      <c r="F831" s="4"/>
      <c r="G831" s="4"/>
      <c r="H831" s="4"/>
      <c r="I831" s="4"/>
    </row>
    <row r="832" spans="1:9" ht="15.75" customHeight="1" x14ac:dyDescent="0.25">
      <c r="A832" s="4"/>
      <c r="B832" s="4"/>
      <c r="C832" s="4"/>
      <c r="D832" s="4"/>
      <c r="E832" s="4"/>
      <c r="F832" s="4"/>
      <c r="G832" s="4"/>
      <c r="H832" s="4"/>
      <c r="I832" s="4"/>
    </row>
    <row r="833" spans="1:9" ht="15.75" customHeight="1" x14ac:dyDescent="0.25">
      <c r="A833" s="4"/>
      <c r="B833" s="4"/>
      <c r="C833" s="4"/>
      <c r="D833" s="4"/>
      <c r="E833" s="4"/>
      <c r="F833" s="4"/>
      <c r="G833" s="4"/>
      <c r="H833" s="4"/>
      <c r="I833" s="4"/>
    </row>
    <row r="834" spans="1:9" ht="15.75" customHeight="1" x14ac:dyDescent="0.25">
      <c r="A834" s="4"/>
      <c r="B834" s="4"/>
      <c r="C834" s="4"/>
      <c r="D834" s="4"/>
      <c r="E834" s="4"/>
      <c r="F834" s="4"/>
      <c r="G834" s="4"/>
      <c r="H834" s="4"/>
      <c r="I834" s="4"/>
    </row>
    <row r="835" spans="1:9" ht="15.75" customHeight="1" x14ac:dyDescent="0.25">
      <c r="A835" s="4"/>
      <c r="B835" s="4"/>
      <c r="C835" s="4"/>
      <c r="D835" s="4"/>
      <c r="E835" s="4"/>
      <c r="F835" s="4"/>
      <c r="G835" s="4"/>
      <c r="H835" s="4"/>
      <c r="I835" s="4"/>
    </row>
    <row r="836" spans="1:9" ht="15.75" customHeight="1" x14ac:dyDescent="0.25">
      <c r="A836" s="4"/>
      <c r="B836" s="4"/>
      <c r="C836" s="4"/>
      <c r="D836" s="4"/>
      <c r="E836" s="4"/>
      <c r="F836" s="4"/>
      <c r="G836" s="4"/>
      <c r="H836" s="4"/>
      <c r="I836" s="4"/>
    </row>
    <row r="837" spans="1:9" ht="15.75" customHeight="1" x14ac:dyDescent="0.25">
      <c r="A837" s="4"/>
      <c r="B837" s="4"/>
      <c r="C837" s="4"/>
      <c r="D837" s="4"/>
      <c r="E837" s="4"/>
      <c r="F837" s="4"/>
      <c r="G837" s="4"/>
      <c r="H837" s="4"/>
      <c r="I837" s="4"/>
    </row>
    <row r="838" spans="1:9" ht="15.75" customHeight="1" x14ac:dyDescent="0.25">
      <c r="A838" s="4"/>
      <c r="B838" s="4"/>
      <c r="C838" s="4"/>
      <c r="D838" s="4"/>
      <c r="E838" s="4"/>
      <c r="F838" s="4"/>
      <c r="G838" s="4"/>
      <c r="H838" s="4"/>
      <c r="I838" s="4"/>
    </row>
    <row r="839" spans="1:9" ht="15.75" customHeight="1" x14ac:dyDescent="0.25">
      <c r="A839" s="4"/>
      <c r="B839" s="4"/>
      <c r="C839" s="4"/>
      <c r="D839" s="4"/>
      <c r="E839" s="4"/>
      <c r="F839" s="4"/>
      <c r="G839" s="4"/>
      <c r="H839" s="4"/>
      <c r="I839" s="4"/>
    </row>
    <row r="840" spans="1:9" ht="15.75" customHeight="1" x14ac:dyDescent="0.25">
      <c r="A840" s="4"/>
      <c r="B840" s="4"/>
      <c r="C840" s="4"/>
      <c r="D840" s="4"/>
      <c r="E840" s="4"/>
      <c r="F840" s="4"/>
      <c r="G840" s="4"/>
      <c r="H840" s="4"/>
      <c r="I840" s="4"/>
    </row>
    <row r="841" spans="1:9" ht="15.75" customHeight="1" x14ac:dyDescent="0.25">
      <c r="A841" s="4"/>
      <c r="B841" s="4"/>
      <c r="C841" s="4"/>
      <c r="D841" s="4"/>
      <c r="E841" s="4"/>
      <c r="F841" s="4"/>
      <c r="G841" s="4"/>
      <c r="H841" s="4"/>
      <c r="I841" s="4"/>
    </row>
    <row r="842" spans="1:9" ht="15.75" customHeight="1" x14ac:dyDescent="0.25">
      <c r="A842" s="4"/>
      <c r="B842" s="4"/>
      <c r="C842" s="4"/>
      <c r="D842" s="4"/>
      <c r="E842" s="4"/>
      <c r="F842" s="4"/>
      <c r="G842" s="4"/>
      <c r="H842" s="4"/>
      <c r="I842" s="4"/>
    </row>
    <row r="843" spans="1:9" ht="15.75" customHeight="1" x14ac:dyDescent="0.25">
      <c r="A843" s="4"/>
      <c r="B843" s="4"/>
      <c r="C843" s="4"/>
      <c r="D843" s="4"/>
      <c r="E843" s="4"/>
      <c r="F843" s="4"/>
      <c r="G843" s="4"/>
      <c r="H843" s="4"/>
      <c r="I843" s="4"/>
    </row>
    <row r="844" spans="1:9" ht="15.75" customHeight="1" x14ac:dyDescent="0.25">
      <c r="A844" s="4"/>
      <c r="B844" s="4"/>
      <c r="C844" s="4"/>
      <c r="D844" s="4"/>
      <c r="E844" s="4"/>
      <c r="F844" s="4"/>
      <c r="G844" s="4"/>
      <c r="H844" s="4"/>
      <c r="I844" s="4"/>
    </row>
    <row r="845" spans="1:9" ht="15.75" customHeight="1" x14ac:dyDescent="0.25">
      <c r="A845" s="4"/>
      <c r="B845" s="4"/>
      <c r="C845" s="4"/>
      <c r="D845" s="4"/>
      <c r="E845" s="4"/>
      <c r="F845" s="4"/>
      <c r="G845" s="4"/>
      <c r="H845" s="4"/>
      <c r="I845" s="4"/>
    </row>
    <row r="846" spans="1:9" ht="15.75" customHeight="1" x14ac:dyDescent="0.25">
      <c r="A846" s="4"/>
      <c r="B846" s="4"/>
      <c r="C846" s="4"/>
      <c r="D846" s="4"/>
      <c r="E846" s="4"/>
      <c r="F846" s="4"/>
      <c r="G846" s="4"/>
      <c r="H846" s="4"/>
      <c r="I846" s="4"/>
    </row>
    <row r="847" spans="1:9" ht="15.75" customHeight="1" x14ac:dyDescent="0.25">
      <c r="A847" s="4"/>
      <c r="B847" s="4"/>
      <c r="C847" s="4"/>
      <c r="D847" s="4"/>
      <c r="E847" s="4"/>
      <c r="F847" s="4"/>
      <c r="G847" s="4"/>
      <c r="H847" s="4"/>
      <c r="I847" s="4"/>
    </row>
    <row r="848" spans="1:9" ht="15.75" customHeight="1" x14ac:dyDescent="0.25">
      <c r="A848" s="4"/>
      <c r="B848" s="4"/>
      <c r="C848" s="4"/>
      <c r="D848" s="4"/>
      <c r="E848" s="4"/>
      <c r="F848" s="4"/>
      <c r="G848" s="4"/>
      <c r="H848" s="4"/>
      <c r="I848" s="4"/>
    </row>
    <row r="849" spans="1:9" ht="15.75" customHeight="1" x14ac:dyDescent="0.25">
      <c r="A849" s="4"/>
      <c r="B849" s="4"/>
      <c r="C849" s="4"/>
      <c r="D849" s="4"/>
      <c r="E849" s="4"/>
      <c r="F849" s="4"/>
      <c r="G849" s="4"/>
      <c r="H849" s="4"/>
      <c r="I849" s="4"/>
    </row>
    <row r="850" spans="1:9" ht="15.75" customHeight="1" x14ac:dyDescent="0.25">
      <c r="A850" s="4"/>
      <c r="B850" s="4"/>
      <c r="C850" s="4"/>
      <c r="D850" s="4"/>
      <c r="E850" s="4"/>
      <c r="F850" s="4"/>
      <c r="G850" s="4"/>
      <c r="H850" s="4"/>
      <c r="I850" s="4"/>
    </row>
    <row r="851" spans="1:9" ht="15.75" customHeight="1" x14ac:dyDescent="0.25">
      <c r="A851" s="4"/>
      <c r="B851" s="4"/>
      <c r="C851" s="4"/>
      <c r="D851" s="4"/>
      <c r="E851" s="4"/>
      <c r="F851" s="4"/>
      <c r="G851" s="4"/>
      <c r="H851" s="4"/>
      <c r="I851" s="4"/>
    </row>
    <row r="852" spans="1:9" ht="15.75" customHeight="1" x14ac:dyDescent="0.25">
      <c r="A852" s="4"/>
      <c r="B852" s="4"/>
      <c r="C852" s="4"/>
      <c r="D852" s="4"/>
      <c r="E852" s="4"/>
      <c r="F852" s="4"/>
      <c r="G852" s="4"/>
      <c r="H852" s="4"/>
      <c r="I852" s="4"/>
    </row>
    <row r="853" spans="1:9" ht="15.75" customHeight="1" x14ac:dyDescent="0.25">
      <c r="A853" s="4"/>
      <c r="B853" s="4"/>
      <c r="C853" s="4"/>
      <c r="D853" s="4"/>
      <c r="E853" s="4"/>
      <c r="F853" s="4"/>
      <c r="G853" s="4"/>
      <c r="H853" s="4"/>
      <c r="I853" s="4"/>
    </row>
    <row r="854" spans="1:9" ht="15.75" customHeight="1" x14ac:dyDescent="0.25">
      <c r="A854" s="4"/>
      <c r="B854" s="4"/>
      <c r="C854" s="4"/>
      <c r="D854" s="4"/>
      <c r="E854" s="4"/>
      <c r="F854" s="4"/>
      <c r="G854" s="4"/>
      <c r="H854" s="4"/>
      <c r="I854" s="4"/>
    </row>
    <row r="855" spans="1:9" ht="15.75" customHeight="1" x14ac:dyDescent="0.25">
      <c r="A855" s="4"/>
      <c r="B855" s="4"/>
      <c r="C855" s="4"/>
      <c r="D855" s="4"/>
      <c r="E855" s="4"/>
      <c r="F855" s="4"/>
      <c r="G855" s="4"/>
      <c r="H855" s="4"/>
      <c r="I855" s="4"/>
    </row>
    <row r="856" spans="1:9" ht="15.75" customHeight="1" x14ac:dyDescent="0.25">
      <c r="A856" s="4"/>
      <c r="B856" s="4"/>
      <c r="C856" s="4"/>
      <c r="D856" s="4"/>
      <c r="E856" s="4"/>
      <c r="F856" s="4"/>
      <c r="G856" s="4"/>
      <c r="H856" s="4"/>
      <c r="I856" s="4"/>
    </row>
    <row r="857" spans="1:9" ht="15.75" customHeight="1" x14ac:dyDescent="0.25">
      <c r="A857" s="4"/>
      <c r="B857" s="4"/>
      <c r="C857" s="4"/>
      <c r="D857" s="4"/>
      <c r="E857" s="4"/>
      <c r="F857" s="4"/>
      <c r="G857" s="4"/>
      <c r="H857" s="4"/>
      <c r="I857" s="4"/>
    </row>
    <row r="858" spans="1:9" ht="15.75" customHeight="1" x14ac:dyDescent="0.25">
      <c r="A858" s="4"/>
      <c r="B858" s="4"/>
      <c r="C858" s="4"/>
      <c r="D858" s="4"/>
      <c r="E858" s="4"/>
      <c r="F858" s="4"/>
      <c r="G858" s="4"/>
      <c r="H858" s="4"/>
      <c r="I858" s="4"/>
    </row>
    <row r="859" spans="1:9" ht="15.75" customHeight="1" x14ac:dyDescent="0.25">
      <c r="A859" s="4"/>
      <c r="B859" s="4"/>
      <c r="C859" s="4"/>
      <c r="D859" s="4"/>
      <c r="E859" s="4"/>
      <c r="F859" s="4"/>
      <c r="G859" s="4"/>
      <c r="H859" s="4"/>
      <c r="I859" s="4"/>
    </row>
    <row r="860" spans="1:9" ht="15.75" customHeight="1" x14ac:dyDescent="0.25">
      <c r="A860" s="4"/>
      <c r="B860" s="4"/>
      <c r="C860" s="4"/>
      <c r="D860" s="4"/>
      <c r="E860" s="4"/>
      <c r="F860" s="4"/>
      <c r="G860" s="4"/>
      <c r="H860" s="4"/>
      <c r="I860" s="4"/>
    </row>
    <row r="861" spans="1:9" ht="15.75" customHeight="1" x14ac:dyDescent="0.25">
      <c r="A861" s="4"/>
      <c r="B861" s="4"/>
      <c r="C861" s="4"/>
      <c r="D861" s="4"/>
      <c r="E861" s="4"/>
      <c r="F861" s="4"/>
      <c r="G861" s="4"/>
      <c r="H861" s="4"/>
      <c r="I861" s="4"/>
    </row>
    <row r="862" spans="1:9" ht="15.75" customHeight="1" x14ac:dyDescent="0.25">
      <c r="A862" s="4"/>
      <c r="B862" s="4"/>
      <c r="C862" s="4"/>
      <c r="D862" s="4"/>
      <c r="E862" s="4"/>
      <c r="F862" s="4"/>
      <c r="G862" s="4"/>
      <c r="H862" s="4"/>
      <c r="I862" s="4"/>
    </row>
    <row r="863" spans="1:9" ht="15.75" customHeight="1" x14ac:dyDescent="0.25">
      <c r="A863" s="4"/>
      <c r="B863" s="4"/>
      <c r="C863" s="4"/>
      <c r="D863" s="4"/>
      <c r="E863" s="4"/>
      <c r="F863" s="4"/>
      <c r="G863" s="4"/>
      <c r="H863" s="4"/>
      <c r="I863" s="4"/>
    </row>
    <row r="864" spans="1:9" ht="15.75" customHeight="1" x14ac:dyDescent="0.25">
      <c r="A864" s="4"/>
      <c r="B864" s="4"/>
      <c r="C864" s="4"/>
      <c r="D864" s="4"/>
      <c r="E864" s="4"/>
      <c r="F864" s="4"/>
      <c r="G864" s="4"/>
      <c r="H864" s="4"/>
      <c r="I864" s="4"/>
    </row>
    <row r="865" spans="1:9" ht="15.75" customHeight="1" x14ac:dyDescent="0.25">
      <c r="A865" s="4"/>
      <c r="B865" s="4"/>
      <c r="C865" s="4"/>
      <c r="D865" s="4"/>
      <c r="E865" s="4"/>
      <c r="F865" s="4"/>
      <c r="G865" s="4"/>
      <c r="H865" s="4"/>
      <c r="I865" s="4"/>
    </row>
    <row r="866" spans="1:9" ht="15.75" customHeight="1" x14ac:dyDescent="0.25">
      <c r="A866" s="4"/>
      <c r="B866" s="4"/>
      <c r="C866" s="4"/>
      <c r="D866" s="4"/>
      <c r="E866" s="4"/>
      <c r="F866" s="4"/>
      <c r="G866" s="4"/>
      <c r="H866" s="4"/>
      <c r="I866" s="4"/>
    </row>
    <row r="867" spans="1:9" ht="15.75" customHeight="1" x14ac:dyDescent="0.25">
      <c r="A867" s="4"/>
      <c r="B867" s="4"/>
      <c r="C867" s="4"/>
      <c r="D867" s="4"/>
      <c r="E867" s="4"/>
      <c r="F867" s="4"/>
      <c r="G867" s="4"/>
      <c r="H867" s="4"/>
      <c r="I867" s="4"/>
    </row>
    <row r="868" spans="1:9" ht="15.75" customHeight="1" x14ac:dyDescent="0.25">
      <c r="A868" s="4"/>
      <c r="B868" s="4"/>
      <c r="C868" s="4"/>
      <c r="D868" s="4"/>
      <c r="E868" s="4"/>
      <c r="F868" s="4"/>
      <c r="G868" s="4"/>
      <c r="H868" s="4"/>
      <c r="I868" s="4"/>
    </row>
    <row r="869" spans="1:9" ht="15.75" customHeight="1" x14ac:dyDescent="0.25">
      <c r="A869" s="4"/>
      <c r="B869" s="4"/>
      <c r="C869" s="4"/>
      <c r="D869" s="4"/>
      <c r="E869" s="4"/>
      <c r="F869" s="4"/>
      <c r="G869" s="4"/>
      <c r="H869" s="4"/>
      <c r="I869" s="4"/>
    </row>
    <row r="870" spans="1:9" ht="15.75" customHeight="1" x14ac:dyDescent="0.25">
      <c r="A870" s="4"/>
      <c r="B870" s="4"/>
      <c r="C870" s="4"/>
      <c r="D870" s="4"/>
      <c r="E870" s="4"/>
      <c r="F870" s="4"/>
      <c r="G870" s="4"/>
      <c r="H870" s="4"/>
      <c r="I870" s="4"/>
    </row>
    <row r="871" spans="1:9" ht="15.75" customHeight="1" x14ac:dyDescent="0.25">
      <c r="A871" s="4"/>
      <c r="B871" s="4"/>
      <c r="C871" s="4"/>
      <c r="D871" s="4"/>
      <c r="E871" s="4"/>
      <c r="F871" s="4"/>
      <c r="G871" s="4"/>
      <c r="H871" s="4"/>
      <c r="I871" s="4"/>
    </row>
    <row r="872" spans="1:9" ht="15.75" customHeight="1" x14ac:dyDescent="0.25">
      <c r="A872" s="4"/>
      <c r="B872" s="4"/>
      <c r="C872" s="4"/>
      <c r="D872" s="4"/>
      <c r="E872" s="4"/>
      <c r="F872" s="4"/>
      <c r="G872" s="4"/>
      <c r="H872" s="4"/>
      <c r="I872" s="4"/>
    </row>
    <row r="873" spans="1:9" ht="15.75" customHeight="1" x14ac:dyDescent="0.25">
      <c r="A873" s="4"/>
      <c r="B873" s="4"/>
      <c r="C873" s="4"/>
      <c r="D873" s="4"/>
      <c r="E873" s="4"/>
      <c r="F873" s="4"/>
      <c r="G873" s="4"/>
      <c r="H873" s="4"/>
      <c r="I873" s="4"/>
    </row>
    <row r="874" spans="1:9" ht="15.75" customHeight="1" x14ac:dyDescent="0.25">
      <c r="A874" s="4"/>
      <c r="B874" s="4"/>
      <c r="C874" s="4"/>
      <c r="D874" s="4"/>
      <c r="E874" s="4"/>
      <c r="F874" s="4"/>
      <c r="G874" s="4"/>
      <c r="H874" s="4"/>
      <c r="I874" s="4"/>
    </row>
    <row r="875" spans="1:9" ht="15.75" customHeight="1" x14ac:dyDescent="0.25">
      <c r="A875" s="4"/>
      <c r="B875" s="4"/>
      <c r="C875" s="4"/>
      <c r="D875" s="4"/>
      <c r="E875" s="4"/>
      <c r="F875" s="4"/>
      <c r="G875" s="4"/>
      <c r="H875" s="4"/>
      <c r="I875" s="4"/>
    </row>
    <row r="876" spans="1:9" ht="15.75" customHeight="1" x14ac:dyDescent="0.25">
      <c r="A876" s="4"/>
      <c r="B876" s="4"/>
      <c r="C876" s="4"/>
      <c r="D876" s="4"/>
      <c r="E876" s="4"/>
      <c r="F876" s="4"/>
      <c r="G876" s="4"/>
      <c r="H876" s="4"/>
      <c r="I876" s="4"/>
    </row>
    <row r="877" spans="1:9" ht="15.75" customHeight="1" x14ac:dyDescent="0.25">
      <c r="A877" s="4"/>
      <c r="B877" s="4"/>
      <c r="C877" s="4"/>
      <c r="D877" s="4"/>
      <c r="E877" s="4"/>
      <c r="F877" s="4"/>
      <c r="G877" s="4"/>
      <c r="H877" s="4"/>
      <c r="I877" s="4"/>
    </row>
    <row r="878" spans="1:9" ht="15.75" customHeight="1" x14ac:dyDescent="0.25">
      <c r="A878" s="4"/>
      <c r="B878" s="4"/>
      <c r="C878" s="4"/>
      <c r="D878" s="4"/>
      <c r="E878" s="4"/>
      <c r="F878" s="4"/>
      <c r="G878" s="4"/>
      <c r="H878" s="4"/>
      <c r="I878" s="4"/>
    </row>
    <row r="879" spans="1:9" ht="15.75" customHeight="1" x14ac:dyDescent="0.25">
      <c r="A879" s="4"/>
      <c r="B879" s="4"/>
      <c r="C879" s="4"/>
      <c r="D879" s="4"/>
      <c r="E879" s="4"/>
      <c r="F879" s="4"/>
      <c r="G879" s="4"/>
      <c r="H879" s="4"/>
      <c r="I879" s="4"/>
    </row>
    <row r="880" spans="1:9" ht="15.75" customHeight="1" x14ac:dyDescent="0.25">
      <c r="A880" s="4"/>
      <c r="B880" s="4"/>
      <c r="C880" s="4"/>
      <c r="D880" s="4"/>
      <c r="E880" s="4"/>
      <c r="F880" s="4"/>
      <c r="G880" s="4"/>
      <c r="H880" s="4"/>
      <c r="I880" s="4"/>
    </row>
    <row r="881" spans="1:9" ht="15.75" customHeight="1" x14ac:dyDescent="0.25">
      <c r="A881" s="4"/>
      <c r="B881" s="4"/>
      <c r="C881" s="4"/>
      <c r="D881" s="4"/>
      <c r="E881" s="4"/>
      <c r="F881" s="4"/>
      <c r="G881" s="4"/>
      <c r="H881" s="4"/>
      <c r="I881" s="4"/>
    </row>
    <row r="882" spans="1:9" ht="15.75" customHeight="1" x14ac:dyDescent="0.25">
      <c r="A882" s="4"/>
      <c r="B882" s="4"/>
      <c r="C882" s="4"/>
      <c r="D882" s="4"/>
      <c r="E882" s="4"/>
      <c r="F882" s="4"/>
      <c r="G882" s="4"/>
      <c r="H882" s="4"/>
      <c r="I882" s="4"/>
    </row>
    <row r="883" spans="1:9" ht="15.75" customHeight="1" x14ac:dyDescent="0.25">
      <c r="A883" s="4"/>
      <c r="B883" s="4"/>
      <c r="C883" s="4"/>
      <c r="D883" s="4"/>
      <c r="E883" s="4"/>
      <c r="F883" s="4"/>
      <c r="G883" s="4"/>
      <c r="H883" s="4"/>
      <c r="I883" s="4"/>
    </row>
    <row r="884" spans="1:9" ht="15.75" customHeight="1" x14ac:dyDescent="0.25">
      <c r="A884" s="4"/>
      <c r="B884" s="4"/>
      <c r="C884" s="4"/>
      <c r="D884" s="4"/>
      <c r="E884" s="4"/>
      <c r="F884" s="4"/>
      <c r="G884" s="4"/>
      <c r="H884" s="4"/>
      <c r="I884" s="4"/>
    </row>
    <row r="885" spans="1:9" ht="15.75" customHeight="1" x14ac:dyDescent="0.25">
      <c r="A885" s="4"/>
      <c r="B885" s="4"/>
      <c r="C885" s="4"/>
      <c r="D885" s="4"/>
      <c r="E885" s="4"/>
      <c r="F885" s="4"/>
      <c r="G885" s="4"/>
      <c r="H885" s="4"/>
      <c r="I885" s="4"/>
    </row>
    <row r="886" spans="1:9" ht="15.75" customHeight="1" x14ac:dyDescent="0.25">
      <c r="A886" s="4"/>
      <c r="B886" s="4"/>
      <c r="C886" s="4"/>
      <c r="D886" s="4"/>
      <c r="E886" s="4"/>
      <c r="F886" s="4"/>
      <c r="G886" s="4"/>
      <c r="H886" s="4"/>
      <c r="I886" s="4"/>
    </row>
    <row r="887" spans="1:9" ht="15.75" customHeight="1" x14ac:dyDescent="0.25">
      <c r="A887" s="4"/>
      <c r="B887" s="4"/>
      <c r="C887" s="4"/>
      <c r="D887" s="4"/>
      <c r="E887" s="4"/>
      <c r="F887" s="4"/>
      <c r="G887" s="4"/>
      <c r="H887" s="4"/>
      <c r="I887" s="4"/>
    </row>
    <row r="888" spans="1:9" ht="15.75" customHeight="1" x14ac:dyDescent="0.25">
      <c r="A888" s="4"/>
      <c r="B888" s="4"/>
      <c r="C888" s="4"/>
      <c r="D888" s="4"/>
      <c r="E888" s="4"/>
      <c r="F888" s="4"/>
      <c r="G888" s="4"/>
      <c r="H888" s="4"/>
      <c r="I888" s="4"/>
    </row>
    <row r="889" spans="1:9" ht="15.75" customHeight="1" x14ac:dyDescent="0.25">
      <c r="A889" s="4"/>
      <c r="B889" s="4"/>
      <c r="C889" s="4"/>
      <c r="D889" s="4"/>
      <c r="E889" s="4"/>
      <c r="F889" s="4"/>
      <c r="G889" s="4"/>
      <c r="H889" s="4"/>
      <c r="I889" s="4"/>
    </row>
    <row r="890" spans="1:9" ht="15.75" customHeight="1" x14ac:dyDescent="0.25">
      <c r="A890" s="4"/>
      <c r="B890" s="4"/>
      <c r="C890" s="4"/>
      <c r="D890" s="4"/>
      <c r="E890" s="4"/>
      <c r="F890" s="4"/>
      <c r="G890" s="4"/>
      <c r="H890" s="4"/>
      <c r="I890" s="4"/>
    </row>
    <row r="891" spans="1:9" ht="15.75" customHeight="1" x14ac:dyDescent="0.25">
      <c r="A891" s="4"/>
      <c r="B891" s="4"/>
      <c r="C891" s="4"/>
      <c r="D891" s="4"/>
      <c r="E891" s="4"/>
      <c r="F891" s="4"/>
      <c r="G891" s="4"/>
      <c r="H891" s="4"/>
      <c r="I891" s="4"/>
    </row>
    <row r="892" spans="1:9" ht="15.75" customHeight="1" x14ac:dyDescent="0.25">
      <c r="A892" s="4"/>
      <c r="B892" s="4"/>
      <c r="C892" s="4"/>
      <c r="D892" s="4"/>
      <c r="E892" s="4"/>
      <c r="F892" s="4"/>
      <c r="G892" s="4"/>
      <c r="H892" s="4"/>
      <c r="I892" s="4"/>
    </row>
    <row r="893" spans="1:9" ht="15.75" customHeight="1" x14ac:dyDescent="0.25">
      <c r="A893" s="4"/>
      <c r="B893" s="4"/>
      <c r="C893" s="4"/>
      <c r="D893" s="4"/>
      <c r="E893" s="4"/>
      <c r="F893" s="4"/>
      <c r="G893" s="4"/>
      <c r="H893" s="4"/>
      <c r="I893" s="4"/>
    </row>
    <row r="894" spans="1:9" ht="15.75" customHeight="1" x14ac:dyDescent="0.25">
      <c r="A894" s="4"/>
      <c r="B894" s="4"/>
      <c r="C894" s="4"/>
      <c r="D894" s="4"/>
      <c r="E894" s="4"/>
      <c r="F894" s="4"/>
      <c r="G894" s="4"/>
      <c r="H894" s="4"/>
      <c r="I894" s="4"/>
    </row>
    <row r="895" spans="1:9" ht="15.75" customHeight="1" x14ac:dyDescent="0.25">
      <c r="A895" s="4"/>
      <c r="B895" s="4"/>
      <c r="C895" s="4"/>
      <c r="D895" s="4"/>
      <c r="E895" s="4"/>
      <c r="F895" s="4"/>
      <c r="G895" s="4"/>
      <c r="H895" s="4"/>
      <c r="I895" s="4"/>
    </row>
    <row r="896" spans="1:9" ht="15.75" customHeight="1" x14ac:dyDescent="0.25">
      <c r="A896" s="4"/>
      <c r="B896" s="4"/>
      <c r="C896" s="4"/>
      <c r="D896" s="4"/>
      <c r="E896" s="4"/>
      <c r="F896" s="4"/>
      <c r="G896" s="4"/>
      <c r="H896" s="4"/>
      <c r="I896" s="4"/>
    </row>
    <row r="897" spans="1:9" ht="15.75" customHeight="1" x14ac:dyDescent="0.25">
      <c r="A897" s="4"/>
      <c r="B897" s="4"/>
      <c r="C897" s="4"/>
      <c r="D897" s="4"/>
      <c r="E897" s="4"/>
      <c r="F897" s="4"/>
      <c r="G897" s="4"/>
      <c r="H897" s="4"/>
      <c r="I897" s="4"/>
    </row>
    <row r="898" spans="1:9" ht="15.75" customHeight="1" x14ac:dyDescent="0.25">
      <c r="A898" s="4"/>
      <c r="B898" s="4"/>
      <c r="C898" s="4"/>
      <c r="D898" s="4"/>
      <c r="E898" s="4"/>
      <c r="F898" s="4"/>
      <c r="G898" s="4"/>
      <c r="H898" s="4"/>
      <c r="I898" s="4"/>
    </row>
    <row r="899" spans="1:9" ht="15.75" customHeight="1" x14ac:dyDescent="0.25">
      <c r="A899" s="4"/>
      <c r="B899" s="4"/>
      <c r="C899" s="4"/>
      <c r="D899" s="4"/>
      <c r="E899" s="4"/>
      <c r="F899" s="4"/>
      <c r="G899" s="4"/>
      <c r="H899" s="4"/>
      <c r="I899" s="4"/>
    </row>
    <row r="900" spans="1:9" ht="15.75" customHeight="1" x14ac:dyDescent="0.25">
      <c r="A900" s="4"/>
      <c r="B900" s="4"/>
      <c r="C900" s="4"/>
      <c r="D900" s="4"/>
      <c r="E900" s="4"/>
      <c r="F900" s="4"/>
      <c r="G900" s="4"/>
      <c r="H900" s="4"/>
      <c r="I900" s="4"/>
    </row>
    <row r="901" spans="1:9" ht="15.75" customHeight="1" x14ac:dyDescent="0.25">
      <c r="A901" s="4"/>
      <c r="B901" s="4"/>
      <c r="C901" s="4"/>
      <c r="D901" s="4"/>
      <c r="E901" s="4"/>
      <c r="F901" s="4"/>
      <c r="G901" s="4"/>
      <c r="H901" s="4"/>
      <c r="I901" s="4"/>
    </row>
    <row r="902" spans="1:9" ht="15.75" customHeight="1" x14ac:dyDescent="0.25">
      <c r="A902" s="4"/>
      <c r="B902" s="4"/>
      <c r="C902" s="4"/>
      <c r="D902" s="4"/>
      <c r="E902" s="4"/>
      <c r="F902" s="4"/>
      <c r="G902" s="4"/>
      <c r="H902" s="4"/>
      <c r="I902" s="4"/>
    </row>
    <row r="903" spans="1:9" ht="15.75" customHeight="1" x14ac:dyDescent="0.25">
      <c r="A903" s="4"/>
      <c r="B903" s="4"/>
      <c r="C903" s="4"/>
      <c r="D903" s="4"/>
      <c r="E903" s="4"/>
      <c r="F903" s="4"/>
      <c r="G903" s="4"/>
      <c r="H903" s="4"/>
      <c r="I903" s="4"/>
    </row>
    <row r="904" spans="1:9" ht="15.75" customHeight="1" x14ac:dyDescent="0.25">
      <c r="A904" s="4"/>
      <c r="B904" s="4"/>
      <c r="C904" s="4"/>
      <c r="D904" s="4"/>
      <c r="E904" s="4"/>
      <c r="F904" s="4"/>
      <c r="G904" s="4"/>
      <c r="H904" s="4"/>
      <c r="I904" s="4"/>
    </row>
    <row r="905" spans="1:9" ht="15.75" customHeight="1" x14ac:dyDescent="0.25">
      <c r="A905" s="4"/>
      <c r="B905" s="4"/>
      <c r="C905" s="4"/>
      <c r="D905" s="4"/>
      <c r="E905" s="4"/>
      <c r="F905" s="4"/>
      <c r="G905" s="4"/>
      <c r="H905" s="4"/>
      <c r="I905" s="4"/>
    </row>
    <row r="906" spans="1:9" ht="15.75" customHeight="1" x14ac:dyDescent="0.25">
      <c r="A906" s="4"/>
      <c r="B906" s="4"/>
      <c r="C906" s="4"/>
      <c r="D906" s="4"/>
      <c r="E906" s="4"/>
      <c r="F906" s="4"/>
      <c r="G906" s="4"/>
      <c r="H906" s="4"/>
      <c r="I906" s="4"/>
    </row>
    <row r="907" spans="1:9" ht="15.75" customHeight="1" x14ac:dyDescent="0.25">
      <c r="A907" s="4"/>
      <c r="B907" s="4"/>
      <c r="C907" s="4"/>
      <c r="D907" s="4"/>
      <c r="E907" s="4"/>
      <c r="F907" s="4"/>
      <c r="G907" s="4"/>
      <c r="H907" s="4"/>
      <c r="I907" s="4"/>
    </row>
    <row r="908" spans="1:9" ht="15.75" customHeight="1" x14ac:dyDescent="0.25">
      <c r="A908" s="4"/>
      <c r="B908" s="4"/>
      <c r="C908" s="4"/>
      <c r="D908" s="4"/>
      <c r="E908" s="4"/>
      <c r="F908" s="4"/>
      <c r="G908" s="4"/>
      <c r="H908" s="4"/>
      <c r="I908" s="4"/>
    </row>
    <row r="909" spans="1:9" ht="15.75" customHeight="1" x14ac:dyDescent="0.25">
      <c r="A909" s="4"/>
      <c r="B909" s="4"/>
      <c r="C909" s="4"/>
      <c r="D909" s="4"/>
      <c r="E909" s="4"/>
      <c r="F909" s="4"/>
      <c r="G909" s="4"/>
      <c r="H909" s="4"/>
      <c r="I909" s="4"/>
    </row>
    <row r="910" spans="1:9" ht="15.75" customHeight="1" x14ac:dyDescent="0.25">
      <c r="A910" s="4"/>
      <c r="B910" s="4"/>
      <c r="C910" s="4"/>
      <c r="D910" s="4"/>
      <c r="E910" s="4"/>
      <c r="F910" s="4"/>
      <c r="G910" s="4"/>
      <c r="H910" s="4"/>
      <c r="I910" s="4"/>
    </row>
    <row r="911" spans="1:9" ht="15.75" customHeight="1" x14ac:dyDescent="0.25">
      <c r="A911" s="4"/>
      <c r="B911" s="4"/>
      <c r="C911" s="4"/>
      <c r="D911" s="4"/>
      <c r="E911" s="4"/>
      <c r="F911" s="4"/>
      <c r="G911" s="4"/>
      <c r="H911" s="4"/>
      <c r="I911" s="4"/>
    </row>
    <row r="912" spans="1:9" ht="15.75" customHeight="1" x14ac:dyDescent="0.25">
      <c r="A912" s="4"/>
      <c r="B912" s="4"/>
      <c r="C912" s="4"/>
      <c r="D912" s="4"/>
      <c r="E912" s="4"/>
      <c r="F912" s="4"/>
      <c r="G912" s="4"/>
      <c r="H912" s="4"/>
      <c r="I912" s="4"/>
    </row>
    <row r="913" spans="1:9" ht="15.75" customHeight="1" x14ac:dyDescent="0.25">
      <c r="A913" s="4"/>
      <c r="B913" s="4"/>
      <c r="C913" s="4"/>
      <c r="D913" s="4"/>
      <c r="E913" s="4"/>
      <c r="F913" s="4"/>
      <c r="G913" s="4"/>
      <c r="H913" s="4"/>
      <c r="I913" s="4"/>
    </row>
    <row r="914" spans="1:9" ht="15.75" customHeight="1" x14ac:dyDescent="0.25">
      <c r="A914" s="4"/>
      <c r="B914" s="4"/>
      <c r="C914" s="4"/>
      <c r="D914" s="4"/>
      <c r="E914" s="4"/>
      <c r="F914" s="4"/>
      <c r="G914" s="4"/>
      <c r="H914" s="4"/>
      <c r="I914" s="4"/>
    </row>
    <row r="915" spans="1:9" ht="15.75" customHeight="1" x14ac:dyDescent="0.25">
      <c r="A915" s="4"/>
      <c r="B915" s="4"/>
      <c r="C915" s="4"/>
      <c r="D915" s="4"/>
      <c r="E915" s="4"/>
      <c r="F915" s="4"/>
      <c r="G915" s="4"/>
      <c r="H915" s="4"/>
      <c r="I915" s="4"/>
    </row>
    <row r="916" spans="1:9" ht="15.75" customHeight="1" x14ac:dyDescent="0.25">
      <c r="A916" s="4"/>
      <c r="B916" s="4"/>
      <c r="C916" s="4"/>
      <c r="D916" s="4"/>
      <c r="E916" s="4"/>
      <c r="F916" s="4"/>
      <c r="G916" s="4"/>
      <c r="H916" s="4"/>
      <c r="I916" s="4"/>
    </row>
    <row r="917" spans="1:9" ht="15.75" customHeight="1" x14ac:dyDescent="0.25">
      <c r="A917" s="4"/>
      <c r="B917" s="4"/>
      <c r="C917" s="4"/>
      <c r="D917" s="4"/>
      <c r="E917" s="4"/>
      <c r="F917" s="4"/>
      <c r="G917" s="4"/>
      <c r="H917" s="4"/>
      <c r="I917" s="4"/>
    </row>
    <row r="918" spans="1:9" ht="15.75" customHeight="1" x14ac:dyDescent="0.25">
      <c r="A918" s="4"/>
      <c r="B918" s="4"/>
      <c r="C918" s="4"/>
      <c r="D918" s="4"/>
      <c r="E918" s="4"/>
      <c r="F918" s="4"/>
      <c r="G918" s="4"/>
      <c r="H918" s="4"/>
      <c r="I918" s="4"/>
    </row>
    <row r="919" spans="1:9" ht="15.75" customHeight="1" x14ac:dyDescent="0.25">
      <c r="A919" s="4"/>
      <c r="B919" s="4"/>
      <c r="C919" s="4"/>
      <c r="D919" s="4"/>
      <c r="E919" s="4"/>
      <c r="F919" s="4"/>
      <c r="G919" s="4"/>
      <c r="H919" s="4"/>
      <c r="I919" s="4"/>
    </row>
    <row r="920" spans="1:9" ht="15.75" customHeight="1" x14ac:dyDescent="0.25">
      <c r="A920" s="4"/>
      <c r="B920" s="4"/>
      <c r="C920" s="4"/>
      <c r="D920" s="4"/>
      <c r="E920" s="4"/>
      <c r="F920" s="4"/>
      <c r="G920" s="4"/>
      <c r="H920" s="4"/>
      <c r="I920" s="4"/>
    </row>
    <row r="921" spans="1:9" ht="15.75" customHeight="1" x14ac:dyDescent="0.25">
      <c r="A921" s="4"/>
      <c r="B921" s="4"/>
      <c r="C921" s="4"/>
      <c r="D921" s="4"/>
      <c r="E921" s="4"/>
      <c r="F921" s="4"/>
      <c r="G921" s="4"/>
      <c r="H921" s="4"/>
      <c r="I921" s="4"/>
    </row>
    <row r="922" spans="1:9" ht="15.75" customHeight="1" x14ac:dyDescent="0.25">
      <c r="A922" s="4"/>
      <c r="B922" s="4"/>
      <c r="C922" s="4"/>
      <c r="D922" s="4"/>
      <c r="E922" s="4"/>
      <c r="F922" s="4"/>
      <c r="G922" s="4"/>
      <c r="H922" s="4"/>
      <c r="I922" s="4"/>
    </row>
    <row r="923" spans="1:9" ht="15.75" customHeight="1" x14ac:dyDescent="0.25">
      <c r="A923" s="4"/>
      <c r="B923" s="4"/>
      <c r="C923" s="4"/>
      <c r="D923" s="4"/>
      <c r="E923" s="4"/>
      <c r="F923" s="4"/>
      <c r="G923" s="4"/>
      <c r="H923" s="4"/>
      <c r="I923" s="4"/>
    </row>
    <row r="924" spans="1:9" ht="15.75" customHeight="1" x14ac:dyDescent="0.25">
      <c r="A924" s="4"/>
      <c r="B924" s="4"/>
      <c r="C924" s="4"/>
      <c r="D924" s="4"/>
      <c r="E924" s="4"/>
      <c r="F924" s="4"/>
      <c r="G924" s="4"/>
      <c r="H924" s="4"/>
      <c r="I924" s="4"/>
    </row>
    <row r="925" spans="1:9" ht="15.75" customHeight="1" x14ac:dyDescent="0.25">
      <c r="A925" s="4"/>
      <c r="B925" s="4"/>
      <c r="C925" s="4"/>
      <c r="D925" s="4"/>
      <c r="E925" s="4"/>
      <c r="F925" s="4"/>
      <c r="G925" s="4"/>
      <c r="H925" s="4"/>
      <c r="I925" s="4"/>
    </row>
    <row r="926" spans="1:9" ht="15.75" customHeight="1" x14ac:dyDescent="0.25">
      <c r="A926" s="4"/>
      <c r="B926" s="4"/>
      <c r="C926" s="4"/>
      <c r="D926" s="4"/>
      <c r="E926" s="4"/>
      <c r="F926" s="4"/>
      <c r="G926" s="4"/>
      <c r="H926" s="4"/>
      <c r="I926" s="4"/>
    </row>
    <row r="927" spans="1:9" ht="15.75" customHeight="1" x14ac:dyDescent="0.25">
      <c r="A927" s="4"/>
      <c r="B927" s="4"/>
      <c r="C927" s="4"/>
      <c r="D927" s="4"/>
      <c r="E927" s="4"/>
      <c r="F927" s="4"/>
      <c r="G927" s="4"/>
      <c r="H927" s="4"/>
      <c r="I927" s="4"/>
    </row>
    <row r="928" spans="1:9" ht="15.75" customHeight="1" x14ac:dyDescent="0.25">
      <c r="A928" s="4"/>
      <c r="B928" s="4"/>
      <c r="C928" s="4"/>
      <c r="D928" s="4"/>
      <c r="E928" s="4"/>
      <c r="F928" s="4"/>
      <c r="G928" s="4"/>
      <c r="H928" s="4"/>
      <c r="I928" s="4"/>
    </row>
    <row r="929" spans="1:9" ht="15.75" customHeight="1" x14ac:dyDescent="0.25">
      <c r="A929" s="4"/>
      <c r="B929" s="4"/>
      <c r="C929" s="4"/>
      <c r="D929" s="4"/>
      <c r="E929" s="4"/>
      <c r="F929" s="4"/>
      <c r="G929" s="4"/>
      <c r="H929" s="4"/>
      <c r="I929" s="4"/>
    </row>
    <row r="930" spans="1:9" ht="15.75" customHeight="1" x14ac:dyDescent="0.25">
      <c r="A930" s="4"/>
      <c r="B930" s="4"/>
      <c r="C930" s="4"/>
      <c r="D930" s="4"/>
      <c r="E930" s="4"/>
      <c r="F930" s="4"/>
      <c r="G930" s="4"/>
      <c r="H930" s="4"/>
      <c r="I930" s="4"/>
    </row>
    <row r="931" spans="1:9" ht="15.75" customHeight="1" x14ac:dyDescent="0.25">
      <c r="A931" s="4"/>
      <c r="B931" s="4"/>
      <c r="C931" s="4"/>
      <c r="D931" s="4"/>
      <c r="E931" s="4"/>
      <c r="F931" s="4"/>
      <c r="G931" s="4"/>
      <c r="H931" s="4"/>
      <c r="I931" s="4"/>
    </row>
    <row r="932" spans="1:9" ht="15.75" customHeight="1" x14ac:dyDescent="0.25">
      <c r="A932" s="4"/>
      <c r="B932" s="4"/>
      <c r="C932" s="4"/>
      <c r="D932" s="4"/>
      <c r="E932" s="4"/>
      <c r="F932" s="4"/>
      <c r="G932" s="4"/>
      <c r="H932" s="4"/>
      <c r="I932" s="4"/>
    </row>
    <row r="933" spans="1:9" ht="15.75" customHeight="1" x14ac:dyDescent="0.25">
      <c r="A933" s="4"/>
      <c r="B933" s="4"/>
      <c r="C933" s="4"/>
      <c r="D933" s="4"/>
      <c r="E933" s="4"/>
      <c r="F933" s="4"/>
      <c r="G933" s="4"/>
      <c r="H933" s="4"/>
      <c r="I933" s="4"/>
    </row>
    <row r="934" spans="1:9" ht="15.75" customHeight="1" x14ac:dyDescent="0.25">
      <c r="A934" s="4"/>
      <c r="B934" s="4"/>
      <c r="C934" s="4"/>
      <c r="D934" s="4"/>
      <c r="E934" s="4"/>
      <c r="F934" s="4"/>
      <c r="G934" s="4"/>
      <c r="H934" s="4"/>
      <c r="I934" s="4"/>
    </row>
    <row r="935" spans="1:9" ht="15.75" customHeight="1" x14ac:dyDescent="0.25">
      <c r="A935" s="4"/>
      <c r="B935" s="4"/>
      <c r="C935" s="4"/>
      <c r="D935" s="4"/>
      <c r="E935" s="4"/>
      <c r="F935" s="4"/>
      <c r="G935" s="4"/>
      <c r="H935" s="4"/>
      <c r="I935" s="4"/>
    </row>
    <row r="936" spans="1:9" ht="15.75" customHeight="1" x14ac:dyDescent="0.25">
      <c r="A936" s="4"/>
      <c r="B936" s="4"/>
      <c r="C936" s="4"/>
      <c r="D936" s="4"/>
      <c r="E936" s="4"/>
      <c r="F936" s="4"/>
      <c r="G936" s="4"/>
      <c r="H936" s="4"/>
      <c r="I936" s="4"/>
    </row>
    <row r="937" spans="1:9" ht="15.75" customHeight="1" x14ac:dyDescent="0.25">
      <c r="A937" s="4"/>
      <c r="B937" s="4"/>
      <c r="C937" s="4"/>
      <c r="D937" s="4"/>
      <c r="E937" s="4"/>
      <c r="F937" s="4"/>
      <c r="G937" s="4"/>
      <c r="H937" s="4"/>
      <c r="I937" s="4"/>
    </row>
    <row r="938" spans="1:9" ht="15.75" customHeight="1" x14ac:dyDescent="0.25">
      <c r="A938" s="4"/>
      <c r="B938" s="4"/>
      <c r="C938" s="4"/>
      <c r="D938" s="4"/>
      <c r="E938" s="4"/>
      <c r="F938" s="4"/>
      <c r="G938" s="4"/>
      <c r="H938" s="4"/>
      <c r="I938" s="4"/>
    </row>
    <row r="939" spans="1:9" ht="15.75" customHeight="1" x14ac:dyDescent="0.25">
      <c r="A939" s="4"/>
      <c r="B939" s="4"/>
      <c r="C939" s="4"/>
      <c r="D939" s="4"/>
      <c r="E939" s="4"/>
      <c r="F939" s="4"/>
      <c r="G939" s="4"/>
      <c r="H939" s="4"/>
      <c r="I939" s="4"/>
    </row>
    <row r="940" spans="1:9" ht="15.75" customHeight="1" x14ac:dyDescent="0.25">
      <c r="A940" s="4"/>
      <c r="B940" s="4"/>
      <c r="C940" s="4"/>
      <c r="D940" s="4"/>
      <c r="E940" s="4"/>
      <c r="F940" s="4"/>
      <c r="G940" s="4"/>
      <c r="H940" s="4"/>
      <c r="I940" s="4"/>
    </row>
    <row r="941" spans="1:9" ht="15.75" customHeight="1" x14ac:dyDescent="0.25">
      <c r="A941" s="4"/>
      <c r="B941" s="4"/>
      <c r="C941" s="4"/>
      <c r="D941" s="4"/>
      <c r="E941" s="4"/>
      <c r="F941" s="4"/>
      <c r="G941" s="4"/>
      <c r="H941" s="4"/>
      <c r="I941" s="4"/>
    </row>
    <row r="942" spans="1:9" ht="15.75" customHeight="1" x14ac:dyDescent="0.25">
      <c r="A942" s="4"/>
      <c r="B942" s="4"/>
      <c r="C942" s="4"/>
      <c r="D942" s="4"/>
      <c r="E942" s="4"/>
      <c r="F942" s="4"/>
      <c r="G942" s="4"/>
      <c r="H942" s="4"/>
      <c r="I942" s="4"/>
    </row>
    <row r="943" spans="1:9" ht="15.75" customHeight="1" x14ac:dyDescent="0.25">
      <c r="A943" s="4"/>
      <c r="B943" s="4"/>
      <c r="C943" s="4"/>
      <c r="D943" s="4"/>
      <c r="E943" s="4"/>
      <c r="F943" s="4"/>
      <c r="G943" s="4"/>
      <c r="H943" s="4"/>
      <c r="I943" s="4"/>
    </row>
    <row r="944" spans="1:9" ht="15.75" customHeight="1" x14ac:dyDescent="0.25">
      <c r="A944" s="4"/>
      <c r="B944" s="4"/>
      <c r="C944" s="4"/>
      <c r="D944" s="4"/>
      <c r="E944" s="4"/>
      <c r="F944" s="4"/>
      <c r="G944" s="4"/>
      <c r="H944" s="4"/>
      <c r="I944" s="4"/>
    </row>
    <row r="945" spans="1:9" ht="15.75" customHeight="1" x14ac:dyDescent="0.25">
      <c r="A945" s="4"/>
      <c r="B945" s="4"/>
      <c r="C945" s="4"/>
      <c r="D945" s="4"/>
      <c r="E945" s="4"/>
      <c r="F945" s="4"/>
      <c r="G945" s="4"/>
      <c r="H945" s="4"/>
      <c r="I945" s="4"/>
    </row>
    <row r="946" spans="1:9" ht="15.75" customHeight="1" x14ac:dyDescent="0.25">
      <c r="A946" s="4"/>
      <c r="B946" s="4"/>
      <c r="C946" s="4"/>
      <c r="D946" s="4"/>
      <c r="E946" s="4"/>
      <c r="F946" s="4"/>
      <c r="G946" s="4"/>
      <c r="H946" s="4"/>
      <c r="I946" s="4"/>
    </row>
    <row r="947" spans="1:9" ht="15.75" customHeight="1" x14ac:dyDescent="0.25">
      <c r="A947" s="4"/>
      <c r="B947" s="4"/>
      <c r="C947" s="4"/>
      <c r="D947" s="4"/>
      <c r="E947" s="4"/>
      <c r="F947" s="4"/>
      <c r="G947" s="4"/>
      <c r="H947" s="4"/>
      <c r="I947" s="4"/>
    </row>
    <row r="948" spans="1:9" ht="15.75" customHeight="1" x14ac:dyDescent="0.25">
      <c r="A948" s="4"/>
      <c r="B948" s="4"/>
      <c r="C948" s="4"/>
      <c r="D948" s="4"/>
      <c r="E948" s="4"/>
      <c r="F948" s="4"/>
      <c r="G948" s="4"/>
      <c r="H948" s="4"/>
      <c r="I948" s="4"/>
    </row>
    <row r="949" spans="1:9" ht="15.75" customHeight="1" x14ac:dyDescent="0.25">
      <c r="A949" s="4"/>
      <c r="B949" s="4"/>
      <c r="C949" s="4"/>
      <c r="D949" s="4"/>
      <c r="E949" s="4"/>
      <c r="F949" s="4"/>
      <c r="G949" s="4"/>
      <c r="H949" s="4"/>
      <c r="I949" s="4"/>
    </row>
    <row r="950" spans="1:9" ht="15.75" customHeight="1" x14ac:dyDescent="0.25">
      <c r="A950" s="4"/>
      <c r="B950" s="4"/>
      <c r="C950" s="4"/>
      <c r="D950" s="4"/>
      <c r="E950" s="4"/>
      <c r="F950" s="4"/>
      <c r="G950" s="4"/>
      <c r="H950" s="4"/>
      <c r="I950" s="4"/>
    </row>
    <row r="951" spans="1:9" ht="15.75" customHeight="1" x14ac:dyDescent="0.25">
      <c r="A951" s="4"/>
      <c r="B951" s="4"/>
      <c r="C951" s="4"/>
      <c r="D951" s="4"/>
      <c r="E951" s="4"/>
      <c r="F951" s="4"/>
      <c r="G951" s="4"/>
      <c r="H951" s="4"/>
      <c r="I951" s="4"/>
    </row>
    <row r="952" spans="1:9" ht="15.75" customHeight="1" x14ac:dyDescent="0.25">
      <c r="A952" s="4"/>
      <c r="B952" s="4"/>
      <c r="C952" s="4"/>
      <c r="D952" s="4"/>
      <c r="E952" s="4"/>
      <c r="F952" s="4"/>
      <c r="G952" s="4"/>
      <c r="H952" s="4"/>
      <c r="I952" s="4"/>
    </row>
    <row r="953" spans="1:9" ht="15.75" customHeight="1" x14ac:dyDescent="0.25">
      <c r="A953" s="4"/>
      <c r="B953" s="4"/>
      <c r="C953" s="4"/>
      <c r="D953" s="4"/>
      <c r="E953" s="4"/>
      <c r="F953" s="4"/>
      <c r="G953" s="4"/>
      <c r="H953" s="4"/>
      <c r="I953" s="4"/>
    </row>
    <row r="954" spans="1:9" ht="15.75" customHeight="1" x14ac:dyDescent="0.25">
      <c r="A954" s="4"/>
      <c r="B954" s="4"/>
      <c r="C954" s="4"/>
      <c r="D954" s="4"/>
      <c r="E954" s="4"/>
      <c r="F954" s="4"/>
      <c r="G954" s="4"/>
      <c r="H954" s="4"/>
      <c r="I954" s="4"/>
    </row>
    <row r="955" spans="1:9" ht="15.75" customHeight="1" x14ac:dyDescent="0.25">
      <c r="A955" s="4"/>
      <c r="B955" s="4"/>
      <c r="C955" s="4"/>
      <c r="D955" s="4"/>
      <c r="E955" s="4"/>
      <c r="F955" s="4"/>
      <c r="G955" s="4"/>
      <c r="H955" s="4"/>
      <c r="I955" s="4"/>
    </row>
    <row r="956" spans="1:9" ht="15.75" customHeight="1" x14ac:dyDescent="0.25">
      <c r="A956" s="4"/>
      <c r="B956" s="4"/>
      <c r="C956" s="4"/>
      <c r="D956" s="4"/>
      <c r="E956" s="4"/>
      <c r="F956" s="4"/>
      <c r="G956" s="4"/>
      <c r="H956" s="4"/>
      <c r="I956" s="4"/>
    </row>
    <row r="957" spans="1:9" ht="15.75" customHeight="1" x14ac:dyDescent="0.25">
      <c r="A957" s="4"/>
      <c r="B957" s="4"/>
      <c r="C957" s="4"/>
      <c r="D957" s="4"/>
      <c r="E957" s="4"/>
      <c r="F957" s="4"/>
      <c r="G957" s="4"/>
      <c r="H957" s="4"/>
      <c r="I957" s="4"/>
    </row>
    <row r="958" spans="1:9" ht="15.75" customHeight="1" x14ac:dyDescent="0.25">
      <c r="A958" s="4"/>
      <c r="B958" s="4"/>
      <c r="C958" s="4"/>
      <c r="D958" s="4"/>
      <c r="E958" s="4"/>
      <c r="F958" s="4"/>
      <c r="G958" s="4"/>
      <c r="H958" s="4"/>
      <c r="I958" s="4"/>
    </row>
    <row r="959" spans="1:9" ht="15.75" customHeight="1" x14ac:dyDescent="0.25">
      <c r="A959" s="4"/>
      <c r="B959" s="4"/>
      <c r="C959" s="4"/>
      <c r="D959" s="4"/>
      <c r="E959" s="4"/>
      <c r="F959" s="4"/>
      <c r="G959" s="4"/>
      <c r="H959" s="4"/>
      <c r="I959" s="4"/>
    </row>
    <row r="960" spans="1:9" ht="15.75" customHeight="1" x14ac:dyDescent="0.25">
      <c r="A960" s="4"/>
      <c r="B960" s="4"/>
      <c r="C960" s="4"/>
      <c r="D960" s="4"/>
      <c r="E960" s="4"/>
      <c r="F960" s="4"/>
      <c r="G960" s="4"/>
      <c r="H960" s="4"/>
      <c r="I960" s="4"/>
    </row>
    <row r="961" spans="1:9" ht="15.75" customHeight="1" x14ac:dyDescent="0.25">
      <c r="A961" s="4"/>
      <c r="B961" s="4"/>
      <c r="C961" s="4"/>
      <c r="D961" s="4"/>
      <c r="E961" s="4"/>
      <c r="F961" s="4"/>
      <c r="G961" s="4"/>
      <c r="H961" s="4"/>
      <c r="I961" s="4"/>
    </row>
    <row r="962" spans="1:9" ht="15.75" customHeight="1" x14ac:dyDescent="0.25">
      <c r="A962" s="4"/>
      <c r="B962" s="4"/>
      <c r="C962" s="4"/>
      <c r="D962" s="4"/>
      <c r="E962" s="4"/>
      <c r="F962" s="4"/>
      <c r="G962" s="4"/>
      <c r="H962" s="4"/>
      <c r="I962" s="4"/>
    </row>
    <row r="963" spans="1:9" ht="15.75" customHeight="1" x14ac:dyDescent="0.25">
      <c r="A963" s="4"/>
      <c r="B963" s="4"/>
      <c r="C963" s="4"/>
      <c r="D963" s="4"/>
      <c r="E963" s="4"/>
      <c r="F963" s="4"/>
      <c r="G963" s="4"/>
      <c r="H963" s="4"/>
      <c r="I963" s="4"/>
    </row>
    <row r="964" spans="1:9" ht="15.75" customHeight="1" x14ac:dyDescent="0.25">
      <c r="A964" s="4"/>
      <c r="B964" s="4"/>
      <c r="C964" s="4"/>
      <c r="D964" s="4"/>
      <c r="E964" s="4"/>
      <c r="F964" s="4"/>
      <c r="G964" s="4"/>
      <c r="H964" s="4"/>
      <c r="I964" s="4"/>
    </row>
    <row r="965" spans="1:9" ht="15.75" customHeight="1" x14ac:dyDescent="0.25">
      <c r="A965" s="4"/>
      <c r="B965" s="4"/>
      <c r="C965" s="4"/>
      <c r="D965" s="4"/>
      <c r="E965" s="4"/>
      <c r="F965" s="4"/>
      <c r="G965" s="4"/>
      <c r="H965" s="4"/>
      <c r="I965" s="4"/>
    </row>
    <row r="966" spans="1:9" ht="15.75" customHeight="1" x14ac:dyDescent="0.25">
      <c r="A966" s="4"/>
      <c r="B966" s="4"/>
      <c r="C966" s="4"/>
      <c r="D966" s="4"/>
      <c r="E966" s="4"/>
      <c r="F966" s="4"/>
      <c r="G966" s="4"/>
      <c r="H966" s="4"/>
      <c r="I966" s="4"/>
    </row>
    <row r="967" spans="1:9" ht="15.75" customHeight="1" x14ac:dyDescent="0.25">
      <c r="A967" s="4"/>
      <c r="B967" s="4"/>
      <c r="C967" s="4"/>
      <c r="D967" s="4"/>
      <c r="E967" s="4"/>
      <c r="F967" s="4"/>
      <c r="G967" s="4"/>
      <c r="H967" s="4"/>
      <c r="I967" s="4"/>
    </row>
    <row r="968" spans="1:9" ht="15.75" customHeight="1" x14ac:dyDescent="0.25">
      <c r="A968" s="4"/>
      <c r="B968" s="4"/>
      <c r="C968" s="4"/>
      <c r="D968" s="4"/>
      <c r="E968" s="4"/>
      <c r="F968" s="4"/>
      <c r="G968" s="4"/>
      <c r="H968" s="4"/>
      <c r="I968" s="4"/>
    </row>
    <row r="969" spans="1:9" ht="15.75" customHeight="1" x14ac:dyDescent="0.25">
      <c r="A969" s="4"/>
      <c r="B969" s="4"/>
      <c r="C969" s="4"/>
      <c r="D969" s="4"/>
      <c r="E969" s="4"/>
      <c r="F969" s="4"/>
      <c r="G969" s="4"/>
      <c r="H969" s="4"/>
      <c r="I969" s="4"/>
    </row>
    <row r="970" spans="1:9" ht="15.75" customHeight="1" x14ac:dyDescent="0.25">
      <c r="A970" s="4"/>
      <c r="B970" s="4"/>
      <c r="C970" s="4"/>
      <c r="D970" s="4"/>
      <c r="E970" s="4"/>
      <c r="F970" s="4"/>
      <c r="G970" s="4"/>
      <c r="H970" s="4"/>
      <c r="I970" s="4"/>
    </row>
    <row r="971" spans="1:9" ht="15.75" customHeight="1" x14ac:dyDescent="0.25">
      <c r="A971" s="4"/>
      <c r="B971" s="4"/>
      <c r="C971" s="4"/>
      <c r="D971" s="4"/>
      <c r="E971" s="4"/>
      <c r="F971" s="4"/>
      <c r="G971" s="4"/>
      <c r="H971" s="4"/>
      <c r="I971" s="4"/>
    </row>
    <row r="972" spans="1:9" ht="15.75" customHeight="1" x14ac:dyDescent="0.25">
      <c r="A972" s="4"/>
      <c r="B972" s="4"/>
      <c r="C972" s="4"/>
      <c r="D972" s="4"/>
      <c r="E972" s="4"/>
      <c r="F972" s="4"/>
      <c r="G972" s="4"/>
      <c r="H972" s="4"/>
      <c r="I972" s="4"/>
    </row>
    <row r="973" spans="1:9" ht="15.75" customHeight="1" x14ac:dyDescent="0.25">
      <c r="A973" s="4"/>
      <c r="B973" s="4"/>
      <c r="C973" s="4"/>
      <c r="D973" s="4"/>
      <c r="E973" s="4"/>
      <c r="F973" s="4"/>
      <c r="G973" s="4"/>
      <c r="H973" s="4"/>
      <c r="I973" s="4"/>
    </row>
    <row r="974" spans="1:9" ht="15.75" customHeight="1" x14ac:dyDescent="0.25">
      <c r="A974" s="4"/>
      <c r="B974" s="4"/>
      <c r="C974" s="4"/>
      <c r="D974" s="4"/>
      <c r="E974" s="4"/>
      <c r="F974" s="4"/>
      <c r="G974" s="4"/>
      <c r="H974" s="4"/>
      <c r="I974" s="4"/>
    </row>
    <row r="975" spans="1:9" ht="15.75" customHeight="1" x14ac:dyDescent="0.25">
      <c r="A975" s="4"/>
      <c r="B975" s="4"/>
      <c r="C975" s="4"/>
      <c r="D975" s="4"/>
      <c r="E975" s="4"/>
      <c r="F975" s="4"/>
      <c r="G975" s="4"/>
      <c r="H975" s="4"/>
      <c r="I975" s="4"/>
    </row>
    <row r="976" spans="1:9" ht="15.75" customHeight="1" x14ac:dyDescent="0.25">
      <c r="A976" s="4"/>
      <c r="B976" s="4"/>
      <c r="C976" s="4"/>
      <c r="D976" s="4"/>
      <c r="E976" s="4"/>
      <c r="F976" s="4"/>
      <c r="G976" s="4"/>
      <c r="H976" s="4"/>
      <c r="I976" s="4"/>
    </row>
    <row r="977" spans="1:9" ht="15.75" customHeight="1" x14ac:dyDescent="0.25">
      <c r="A977" s="4"/>
      <c r="B977" s="4"/>
      <c r="C977" s="4"/>
      <c r="D977" s="4"/>
      <c r="E977" s="4"/>
      <c r="F977" s="4"/>
      <c r="G977" s="4"/>
      <c r="H977" s="4"/>
      <c r="I977" s="4"/>
    </row>
    <row r="978" spans="1:9" ht="15.75" customHeight="1" x14ac:dyDescent="0.25">
      <c r="A978" s="4"/>
      <c r="B978" s="4"/>
      <c r="C978" s="4"/>
      <c r="D978" s="4"/>
      <c r="E978" s="4"/>
      <c r="F978" s="4"/>
      <c r="G978" s="4"/>
      <c r="H978" s="4"/>
      <c r="I978" s="4"/>
    </row>
    <row r="979" spans="1:9" ht="15.75" customHeight="1" x14ac:dyDescent="0.25">
      <c r="A979" s="4"/>
      <c r="B979" s="4"/>
      <c r="C979" s="4"/>
      <c r="D979" s="4"/>
      <c r="E979" s="4"/>
      <c r="F979" s="4"/>
      <c r="G979" s="4"/>
      <c r="H979" s="4"/>
      <c r="I979" s="4"/>
    </row>
    <row r="980" spans="1:9" ht="15.75" customHeight="1" x14ac:dyDescent="0.25">
      <c r="A980" s="4"/>
      <c r="B980" s="4"/>
      <c r="C980" s="4"/>
      <c r="D980" s="4"/>
      <c r="E980" s="4"/>
      <c r="F980" s="4"/>
      <c r="G980" s="4"/>
      <c r="H980" s="4"/>
      <c r="I980" s="4"/>
    </row>
    <row r="981" spans="1:9" ht="15.75" customHeight="1" x14ac:dyDescent="0.25">
      <c r="A981" s="4"/>
      <c r="B981" s="4"/>
      <c r="C981" s="4"/>
      <c r="D981" s="4"/>
      <c r="E981" s="4"/>
      <c r="F981" s="4"/>
      <c r="G981" s="4"/>
      <c r="H981" s="4"/>
      <c r="I981" s="4"/>
    </row>
    <row r="982" spans="1:9" ht="15.75" customHeight="1" x14ac:dyDescent="0.25">
      <c r="A982" s="4"/>
      <c r="B982" s="4"/>
      <c r="C982" s="4"/>
      <c r="D982" s="4"/>
      <c r="E982" s="4"/>
      <c r="F982" s="4"/>
      <c r="G982" s="4"/>
      <c r="H982" s="4"/>
      <c r="I982" s="4"/>
    </row>
    <row r="983" spans="1:9" ht="15.75" customHeight="1" x14ac:dyDescent="0.25">
      <c r="A983" s="4"/>
      <c r="B983" s="4"/>
      <c r="C983" s="4"/>
      <c r="D983" s="4"/>
      <c r="E983" s="4"/>
      <c r="F983" s="4"/>
      <c r="G983" s="4"/>
      <c r="H983" s="4"/>
      <c r="I983" s="4"/>
    </row>
    <row r="984" spans="1:9" ht="15.75" customHeight="1" x14ac:dyDescent="0.25">
      <c r="A984" s="4"/>
      <c r="B984" s="4"/>
      <c r="C984" s="4"/>
      <c r="D984" s="4"/>
      <c r="E984" s="4"/>
      <c r="F984" s="4"/>
      <c r="G984" s="4"/>
      <c r="H984" s="4"/>
      <c r="I984" s="4"/>
    </row>
    <row r="985" spans="1:9" ht="15.75" customHeight="1" x14ac:dyDescent="0.25">
      <c r="A985" s="4"/>
      <c r="B985" s="4"/>
      <c r="C985" s="4"/>
      <c r="D985" s="4"/>
      <c r="E985" s="4"/>
      <c r="F985" s="4"/>
      <c r="G985" s="4"/>
      <c r="H985" s="4"/>
      <c r="I985" s="4"/>
    </row>
    <row r="986" spans="1:9" ht="15.75" customHeight="1" x14ac:dyDescent="0.25">
      <c r="A986" s="4"/>
      <c r="B986" s="4"/>
      <c r="C986" s="4"/>
      <c r="D986" s="4"/>
      <c r="E986" s="4"/>
      <c r="F986" s="4"/>
      <c r="G986" s="4"/>
      <c r="H986" s="4"/>
      <c r="I986" s="4"/>
    </row>
    <row r="987" spans="1:9" ht="15.75" customHeight="1" x14ac:dyDescent="0.25">
      <c r="A987" s="4"/>
      <c r="B987" s="4"/>
      <c r="C987" s="4"/>
      <c r="D987" s="4"/>
      <c r="E987" s="4"/>
      <c r="F987" s="4"/>
      <c r="G987" s="4"/>
      <c r="H987" s="4"/>
      <c r="I987" s="4"/>
    </row>
    <row r="988" spans="1:9" ht="15.75" customHeight="1" x14ac:dyDescent="0.25">
      <c r="A988" s="4"/>
      <c r="B988" s="4"/>
      <c r="C988" s="4"/>
      <c r="D988" s="4"/>
      <c r="E988" s="4"/>
      <c r="F988" s="4"/>
      <c r="G988" s="4"/>
      <c r="H988" s="4"/>
      <c r="I988" s="4"/>
    </row>
    <row r="989" spans="1:9" ht="15.75" customHeight="1" x14ac:dyDescent="0.25">
      <c r="A989" s="4"/>
      <c r="B989" s="4"/>
      <c r="C989" s="4"/>
      <c r="D989" s="4"/>
      <c r="E989" s="4"/>
      <c r="F989" s="4"/>
      <c r="G989" s="4"/>
      <c r="H989" s="4"/>
      <c r="I989" s="4"/>
    </row>
    <row r="990" spans="1:9" ht="15.75" customHeight="1" x14ac:dyDescent="0.25">
      <c r="A990" s="4"/>
      <c r="B990" s="4"/>
      <c r="C990" s="4"/>
      <c r="D990" s="4"/>
      <c r="E990" s="4"/>
      <c r="F990" s="4"/>
      <c r="G990" s="4"/>
      <c r="H990" s="4"/>
      <c r="I990" s="4"/>
    </row>
    <row r="991" spans="1:9" ht="15.75" customHeight="1" x14ac:dyDescent="0.25">
      <c r="A991" s="4"/>
      <c r="B991" s="4"/>
      <c r="C991" s="4"/>
      <c r="D991" s="4"/>
      <c r="E991" s="4"/>
      <c r="F991" s="4"/>
      <c r="G991" s="4"/>
      <c r="H991" s="4"/>
      <c r="I991" s="4"/>
    </row>
    <row r="992" spans="1:9" ht="15.75" customHeight="1" x14ac:dyDescent="0.25">
      <c r="A992" s="4"/>
      <c r="B992" s="4"/>
      <c r="C992" s="4"/>
      <c r="D992" s="4"/>
      <c r="E992" s="4"/>
      <c r="F992" s="4"/>
      <c r="G992" s="4"/>
      <c r="H992" s="4"/>
      <c r="I992" s="4"/>
    </row>
    <row r="993" spans="1:9" ht="15.75" customHeight="1" x14ac:dyDescent="0.25">
      <c r="A993" s="4"/>
      <c r="B993" s="4"/>
      <c r="C993" s="4"/>
      <c r="D993" s="4"/>
      <c r="E993" s="4"/>
      <c r="F993" s="4"/>
      <c r="G993" s="4"/>
      <c r="H993" s="4"/>
      <c r="I993" s="4"/>
    </row>
    <row r="994" spans="1:9" ht="15.75" customHeight="1" x14ac:dyDescent="0.25">
      <c r="A994" s="4"/>
      <c r="B994" s="4"/>
      <c r="C994" s="4"/>
      <c r="D994" s="4"/>
      <c r="E994" s="4"/>
      <c r="F994" s="4"/>
      <c r="G994" s="4"/>
      <c r="H994" s="4"/>
      <c r="I994" s="4"/>
    </row>
    <row r="995" spans="1:9" ht="15.75" customHeight="1" x14ac:dyDescent="0.25">
      <c r="A995" s="4"/>
      <c r="B995" s="4"/>
      <c r="C995" s="4"/>
      <c r="D995" s="4"/>
      <c r="E995" s="4"/>
      <c r="F995" s="4"/>
      <c r="G995" s="4"/>
      <c r="H995" s="4"/>
      <c r="I995" s="4"/>
    </row>
    <row r="996" spans="1:9" ht="15.75" customHeight="1" x14ac:dyDescent="0.25">
      <c r="A996" s="4"/>
      <c r="B996" s="4"/>
      <c r="C996" s="4"/>
      <c r="D996" s="4"/>
      <c r="E996" s="4"/>
      <c r="F996" s="4"/>
      <c r="G996" s="4"/>
      <c r="H996" s="4"/>
      <c r="I996" s="4"/>
    </row>
    <row r="997" spans="1:9" ht="15.75" customHeight="1" x14ac:dyDescent="0.25">
      <c r="A997" s="4"/>
      <c r="B997" s="4"/>
      <c r="C997" s="4"/>
      <c r="D997" s="4"/>
      <c r="E997" s="4"/>
      <c r="F997" s="4"/>
      <c r="G997" s="4"/>
      <c r="H997" s="4"/>
      <c r="I997" s="4"/>
    </row>
    <row r="998" spans="1:9" ht="15.75" customHeight="1" x14ac:dyDescent="0.25">
      <c r="A998" s="4"/>
      <c r="B998" s="4"/>
      <c r="C998" s="4"/>
      <c r="D998" s="4"/>
      <c r="E998" s="4"/>
      <c r="F998" s="4"/>
      <c r="G998" s="4"/>
      <c r="H998" s="4"/>
      <c r="I998" s="4"/>
    </row>
    <row r="999" spans="1:9" ht="15.75" customHeight="1" x14ac:dyDescent="0.25">
      <c r="A999" s="4"/>
      <c r="B999" s="4"/>
      <c r="C999" s="4"/>
      <c r="D999" s="4"/>
      <c r="E999" s="4"/>
      <c r="F999" s="4"/>
      <c r="G999" s="4"/>
      <c r="H999" s="4"/>
      <c r="I999" s="4"/>
    </row>
    <row r="1000" spans="1:9" ht="15.75" customHeight="1" x14ac:dyDescent="0.25">
      <c r="A1000" s="4"/>
      <c r="B1000" s="4"/>
      <c r="C1000" s="4"/>
      <c r="D1000" s="4"/>
      <c r="E1000" s="4"/>
      <c r="F1000" s="4"/>
      <c r="G1000" s="4"/>
      <c r="H1000" s="4"/>
      <c r="I1000" s="4"/>
    </row>
  </sheetData>
  <mergeCells count="7">
    <mergeCell ref="B39:I39"/>
    <mergeCell ref="B40:I40"/>
    <mergeCell ref="A33:I33"/>
    <mergeCell ref="A34:I34"/>
    <mergeCell ref="B36:I36"/>
    <mergeCell ref="B37:I37"/>
    <mergeCell ref="B38:I38"/>
  </mergeCells>
  <dataValidations count="2">
    <dataValidation type="decimal" allowBlank="1" showInputMessage="1" showErrorMessage="1" prompt="Nhập tỷ lệ từ 0% đến 90%." sqref="B27" xr:uid="{00000000-0002-0000-0400-000000000000}">
      <formula1>0</formula1>
      <formula2>0.9</formula2>
    </dataValidation>
    <dataValidation type="list" allowBlank="1" sqref="B6" xr:uid="{00000000-0002-0000-0400-000001000000}">
      <formula1>"Theo người dùng,Theo lượt dùng,Theo kết quả,Kết hợp (phí cố định + vượt hạn mức)"</formula1>
    </dataValidation>
  </dataValidation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00"/>
  <sheetViews>
    <sheetView workbookViewId="0"/>
  </sheetViews>
  <sheetFormatPr defaultColWidth="14.42578125" defaultRowHeight="15" customHeight="1" x14ac:dyDescent="0.25"/>
  <cols>
    <col min="1" max="1" width="44" customWidth="1"/>
    <col min="2" max="4" width="18" customWidth="1"/>
    <col min="5" max="5" width="14" customWidth="1"/>
    <col min="6" max="6" width="50" customWidth="1"/>
    <col min="7" max="7" width="56" customWidth="1"/>
    <col min="8" max="26" width="8.7109375" customWidth="1"/>
  </cols>
  <sheetData>
    <row r="1" spans="1:7" ht="17.25" customHeight="1" x14ac:dyDescent="0.25">
      <c r="A1" s="1" t="s">
        <v>292</v>
      </c>
      <c r="B1" s="4"/>
      <c r="C1" s="4"/>
      <c r="D1" s="4"/>
      <c r="E1" s="4"/>
      <c r="F1" s="4"/>
      <c r="G1" s="4"/>
    </row>
    <row r="2" spans="1:7" ht="15" customHeight="1" x14ac:dyDescent="0.25">
      <c r="A2" s="5" t="s">
        <v>293</v>
      </c>
      <c r="B2" s="4"/>
      <c r="C2" s="4"/>
      <c r="D2" s="4"/>
      <c r="E2" s="4"/>
      <c r="F2" s="4"/>
      <c r="G2" s="4"/>
    </row>
    <row r="3" spans="1:7" x14ac:dyDescent="0.25">
      <c r="A3" s="4"/>
      <c r="B3" s="4"/>
      <c r="C3" s="4"/>
      <c r="D3" s="4"/>
      <c r="E3" s="4"/>
      <c r="F3" s="4"/>
      <c r="G3" s="4"/>
    </row>
    <row r="4" spans="1:7" ht="15" customHeight="1" x14ac:dyDescent="0.25">
      <c r="A4" s="14" t="s">
        <v>294</v>
      </c>
      <c r="B4" s="14" t="s">
        <v>295</v>
      </c>
      <c r="C4" s="14" t="s">
        <v>296</v>
      </c>
      <c r="D4" s="14" t="s">
        <v>297</v>
      </c>
      <c r="E4" s="14" t="s">
        <v>87</v>
      </c>
      <c r="F4" s="14" t="s">
        <v>88</v>
      </c>
      <c r="G4" s="14" t="s">
        <v>298</v>
      </c>
    </row>
    <row r="5" spans="1:7" ht="31.5" customHeight="1" x14ac:dyDescent="0.25">
      <c r="A5" s="18" t="s">
        <v>299</v>
      </c>
      <c r="B5" s="56">
        <v>1.1000000000000001</v>
      </c>
      <c r="C5" s="56">
        <v>1</v>
      </c>
      <c r="D5" s="56">
        <v>0.8</v>
      </c>
      <c r="E5" s="27" t="s">
        <v>300</v>
      </c>
      <c r="F5" s="26" t="s">
        <v>301</v>
      </c>
      <c r="G5" s="28" t="s">
        <v>302</v>
      </c>
    </row>
    <row r="6" spans="1:7" ht="31.5" customHeight="1" x14ac:dyDescent="0.25">
      <c r="A6" s="18" t="s">
        <v>303</v>
      </c>
      <c r="B6" s="56">
        <v>0.9</v>
      </c>
      <c r="C6" s="56">
        <v>1</v>
      </c>
      <c r="D6" s="56">
        <v>1.2</v>
      </c>
      <c r="E6" s="27" t="s">
        <v>300</v>
      </c>
      <c r="F6" s="26" t="s">
        <v>304</v>
      </c>
      <c r="G6" s="28" t="s">
        <v>305</v>
      </c>
    </row>
    <row r="7" spans="1:7" ht="31.5" customHeight="1" x14ac:dyDescent="0.25">
      <c r="A7" s="18" t="s">
        <v>306</v>
      </c>
      <c r="B7" s="57">
        <f>C7*1.3</f>
        <v>15.600000000000001</v>
      </c>
      <c r="C7" s="57">
        <v>12</v>
      </c>
      <c r="D7" s="57">
        <f>C7*0.5</f>
        <v>6</v>
      </c>
      <c r="E7" s="27" t="s">
        <v>307</v>
      </c>
      <c r="F7" s="26" t="s">
        <v>308</v>
      </c>
      <c r="G7" s="28" t="s">
        <v>309</v>
      </c>
    </row>
    <row r="8" spans="1:7" ht="46.5" customHeight="1" x14ac:dyDescent="0.25">
      <c r="A8" s="18" t="s">
        <v>310</v>
      </c>
      <c r="B8" s="58">
        <f>C8*1.6</f>
        <v>8.0000000000000016E-2</v>
      </c>
      <c r="C8" s="31">
        <v>0.05</v>
      </c>
      <c r="D8" s="58">
        <f>C8*0.4</f>
        <v>2.0000000000000004E-2</v>
      </c>
      <c r="E8" s="27" t="s">
        <v>117</v>
      </c>
      <c r="F8" s="26" t="s">
        <v>313</v>
      </c>
      <c r="G8" s="28" t="s">
        <v>314</v>
      </c>
    </row>
    <row r="9" spans="1:7" ht="43.5" customHeight="1" x14ac:dyDescent="0.25">
      <c r="A9" s="18" t="s">
        <v>316</v>
      </c>
      <c r="B9" s="58">
        <f>C9*0.6</f>
        <v>1.7999999999999999E-2</v>
      </c>
      <c r="C9" s="31">
        <v>0.03</v>
      </c>
      <c r="D9" s="58">
        <f>C9*1.6</f>
        <v>4.8000000000000001E-2</v>
      </c>
      <c r="E9" s="27" t="s">
        <v>117</v>
      </c>
      <c r="F9" s="26" t="s">
        <v>319</v>
      </c>
      <c r="G9" s="28" t="s">
        <v>320</v>
      </c>
    </row>
    <row r="10" spans="1:7" ht="31.5" customHeight="1" x14ac:dyDescent="0.25">
      <c r="A10" s="18" t="s">
        <v>321</v>
      </c>
      <c r="B10" s="51">
        <f>C10*0.8</f>
        <v>7200000</v>
      </c>
      <c r="C10" s="39">
        <v>9000000</v>
      </c>
      <c r="D10" s="51">
        <f>C10*1.5</f>
        <v>13500000</v>
      </c>
      <c r="E10" s="27" t="s">
        <v>323</v>
      </c>
      <c r="F10" s="26" t="s">
        <v>324</v>
      </c>
      <c r="G10" s="28" t="s">
        <v>325</v>
      </c>
    </row>
    <row r="11" spans="1:7" ht="46.5" customHeight="1" x14ac:dyDescent="0.25">
      <c r="A11" s="18" t="s">
        <v>326</v>
      </c>
      <c r="B11" s="51">
        <f t="shared" ref="B11:B13" si="0">C11</f>
        <v>200000000</v>
      </c>
      <c r="C11" s="39">
        <v>200000000</v>
      </c>
      <c r="D11" s="51">
        <f t="shared" ref="D11:D13" si="1">C11</f>
        <v>200000000</v>
      </c>
      <c r="E11" s="27" t="s">
        <v>246</v>
      </c>
      <c r="F11" s="26" t="s">
        <v>327</v>
      </c>
      <c r="G11" s="13" t="s">
        <v>328</v>
      </c>
    </row>
    <row r="12" spans="1:7" ht="76.5" customHeight="1" x14ac:dyDescent="0.25">
      <c r="A12" s="10" t="s">
        <v>329</v>
      </c>
      <c r="B12" s="51">
        <f t="shared" si="0"/>
        <v>900000000</v>
      </c>
      <c r="C12" s="39">
        <v>900000000</v>
      </c>
      <c r="D12" s="51">
        <f t="shared" si="1"/>
        <v>900000000</v>
      </c>
      <c r="E12" s="27" t="s">
        <v>121</v>
      </c>
      <c r="F12" s="26" t="s">
        <v>330</v>
      </c>
      <c r="G12" s="13" t="s">
        <v>331</v>
      </c>
    </row>
    <row r="13" spans="1:7" ht="31.5" customHeight="1" x14ac:dyDescent="0.25">
      <c r="A13" s="18" t="s">
        <v>332</v>
      </c>
      <c r="B13" s="51">
        <f t="shared" si="0"/>
        <v>2500000000</v>
      </c>
      <c r="C13" s="51">
        <v>2500000000</v>
      </c>
      <c r="D13" s="51">
        <f t="shared" si="1"/>
        <v>2500000000</v>
      </c>
      <c r="E13" s="27" t="s">
        <v>121</v>
      </c>
      <c r="F13" s="26" t="s">
        <v>333</v>
      </c>
      <c r="G13" s="28" t="s">
        <v>335</v>
      </c>
    </row>
    <row r="14" spans="1:7" ht="15.75" customHeight="1" x14ac:dyDescent="0.25">
      <c r="A14" s="16" t="s">
        <v>337</v>
      </c>
      <c r="B14" s="58">
        <v>0.15</v>
      </c>
      <c r="C14" s="58">
        <v>0.15</v>
      </c>
      <c r="D14" s="58">
        <v>0.15</v>
      </c>
      <c r="E14" s="27" t="s">
        <v>117</v>
      </c>
      <c r="F14" s="26" t="s">
        <v>338</v>
      </c>
      <c r="G14" s="28" t="s">
        <v>339</v>
      </c>
    </row>
    <row r="15" spans="1:7" x14ac:dyDescent="0.25">
      <c r="A15" s="4"/>
      <c r="B15" s="4"/>
      <c r="C15" s="4"/>
      <c r="D15" s="4"/>
      <c r="E15" s="4"/>
      <c r="F15" s="4"/>
      <c r="G15" s="4"/>
    </row>
    <row r="16" spans="1:7" ht="15" customHeight="1" x14ac:dyDescent="0.25">
      <c r="A16" s="7" t="s">
        <v>340</v>
      </c>
      <c r="B16" s="4"/>
      <c r="C16" s="4"/>
      <c r="D16" s="4"/>
      <c r="E16" s="4"/>
      <c r="F16" s="4"/>
      <c r="G16" s="4"/>
    </row>
    <row r="17" spans="1:7" ht="15" customHeight="1" x14ac:dyDescent="0.25">
      <c r="A17" s="22" t="s">
        <v>318</v>
      </c>
      <c r="B17" s="24">
        <f>'2_Định giá'!D17*B5*(1-'2_Định giá'!$B$27)</f>
        <v>4367000</v>
      </c>
      <c r="C17" s="24">
        <f>'2_Định giá'!D17*C5*(1-'2_Định giá'!$B$27)</f>
        <v>3970000</v>
      </c>
      <c r="D17" s="24">
        <f>'2_Định giá'!D17*D5*(1-'2_Định giá'!$B$27)</f>
        <v>3176000</v>
      </c>
      <c r="E17" s="4"/>
      <c r="F17" s="4"/>
      <c r="G17" s="4"/>
    </row>
    <row r="18" spans="1:7" ht="15" customHeight="1" x14ac:dyDescent="0.25">
      <c r="A18" s="22" t="s">
        <v>342</v>
      </c>
      <c r="B18" s="24">
        <f>'2_Định giá'!E17*B6</f>
        <v>1115725.8816000002</v>
      </c>
      <c r="C18" s="24">
        <f>'2_Định giá'!E17*C6</f>
        <v>1239695.4240000001</v>
      </c>
      <c r="D18" s="24">
        <f>'2_Định giá'!E17*D6</f>
        <v>1487634.5088000002</v>
      </c>
      <c r="E18" s="4"/>
      <c r="F18" s="4"/>
      <c r="G18" s="4"/>
    </row>
    <row r="19" spans="1:7" ht="15" customHeight="1" x14ac:dyDescent="0.25">
      <c r="A19" s="35" t="s">
        <v>343</v>
      </c>
      <c r="B19" s="4"/>
      <c r="C19" s="4"/>
      <c r="D19" s="4"/>
      <c r="E19" s="4"/>
      <c r="F19" s="4"/>
      <c r="G19" s="4"/>
    </row>
    <row r="20" spans="1:7" ht="15" customHeight="1" x14ac:dyDescent="0.25">
      <c r="A20" s="7" t="s">
        <v>344</v>
      </c>
      <c r="B20" s="4"/>
      <c r="C20" s="4"/>
      <c r="D20" s="4"/>
      <c r="E20" s="4"/>
      <c r="F20" s="4"/>
      <c r="G20" s="4"/>
    </row>
    <row r="21" spans="1:7" ht="15" customHeight="1" x14ac:dyDescent="0.25">
      <c r="A21" s="4" t="s">
        <v>345</v>
      </c>
      <c r="B21" s="32" t="str">
        <f t="shared" ref="B21:B22" si="2">IF(C9=0,"Chưa điền",IF(D9&gt;=1.5*C9,"Đạt","Chưa đủ sốc"))</f>
        <v>Đạt</v>
      </c>
      <c r="C21" s="4"/>
      <c r="D21" s="4"/>
      <c r="E21" s="4"/>
      <c r="F21" s="4"/>
      <c r="G21" s="4"/>
    </row>
    <row r="22" spans="1:7" ht="15" customHeight="1" x14ac:dyDescent="0.25">
      <c r="A22" s="4" t="s">
        <v>346</v>
      </c>
      <c r="B22" s="32" t="str">
        <f t="shared" si="2"/>
        <v>Đạt</v>
      </c>
      <c r="C22" s="4"/>
      <c r="D22" s="4"/>
      <c r="E22" s="4"/>
      <c r="F22" s="4"/>
      <c r="G22" s="4"/>
    </row>
    <row r="23" spans="1:7" ht="15.75" customHeight="1" x14ac:dyDescent="0.25">
      <c r="A23" s="4"/>
      <c r="B23" s="4"/>
      <c r="C23" s="4"/>
      <c r="D23" s="4"/>
      <c r="E23" s="4"/>
      <c r="F23" s="4"/>
      <c r="G23" s="4"/>
    </row>
    <row r="24" spans="1:7" ht="15.75" customHeight="1" x14ac:dyDescent="0.25">
      <c r="A24" s="4"/>
      <c r="B24" s="4"/>
      <c r="C24" s="4"/>
      <c r="D24" s="4"/>
      <c r="E24" s="4"/>
      <c r="F24" s="4"/>
      <c r="G24" s="4"/>
    </row>
    <row r="25" spans="1:7" ht="15.75" customHeight="1" x14ac:dyDescent="0.25">
      <c r="A25" s="4"/>
      <c r="B25" s="4"/>
      <c r="C25" s="4"/>
      <c r="D25" s="4"/>
      <c r="E25" s="4"/>
      <c r="F25" s="4"/>
      <c r="G25" s="4"/>
    </row>
    <row r="26" spans="1:7" ht="15.75" customHeight="1" x14ac:dyDescent="0.25">
      <c r="A26" s="4"/>
      <c r="B26" s="4"/>
      <c r="C26" s="4"/>
      <c r="D26" s="4"/>
      <c r="E26" s="4"/>
      <c r="F26" s="4"/>
      <c r="G26" s="4"/>
    </row>
    <row r="27" spans="1:7" ht="15.75" customHeight="1" x14ac:dyDescent="0.25">
      <c r="A27" s="4"/>
      <c r="B27" s="4"/>
      <c r="C27" s="4"/>
      <c r="D27" s="4"/>
      <c r="E27" s="4"/>
      <c r="F27" s="4"/>
      <c r="G27" s="4"/>
    </row>
    <row r="28" spans="1:7" ht="15.75" customHeight="1" x14ac:dyDescent="0.25">
      <c r="A28" s="4"/>
      <c r="B28" s="4"/>
      <c r="C28" s="4"/>
      <c r="D28" s="4"/>
      <c r="E28" s="4"/>
      <c r="F28" s="4"/>
      <c r="G28" s="4"/>
    </row>
    <row r="29" spans="1:7" ht="15.75" customHeight="1" x14ac:dyDescent="0.25">
      <c r="A29" s="4"/>
      <c r="B29" s="4"/>
      <c r="C29" s="4"/>
      <c r="D29" s="4"/>
      <c r="E29" s="4"/>
      <c r="F29" s="4"/>
      <c r="G29" s="4"/>
    </row>
    <row r="30" spans="1:7" ht="15.75" customHeight="1" x14ac:dyDescent="0.25">
      <c r="A30" s="4"/>
      <c r="B30" s="4"/>
      <c r="C30" s="4"/>
      <c r="D30" s="4"/>
      <c r="E30" s="4"/>
      <c r="F30" s="4"/>
      <c r="G30" s="4"/>
    </row>
    <row r="31" spans="1:7" ht="15.75" customHeight="1" x14ac:dyDescent="0.25">
      <c r="A31" s="4"/>
      <c r="B31" s="4"/>
      <c r="C31" s="4"/>
      <c r="D31" s="4"/>
      <c r="E31" s="4"/>
      <c r="F31" s="4"/>
      <c r="G31" s="4"/>
    </row>
    <row r="32" spans="1:7" ht="15.75" customHeight="1" x14ac:dyDescent="0.25">
      <c r="A32" s="4"/>
      <c r="B32" s="4"/>
      <c r="C32" s="4"/>
      <c r="D32" s="4"/>
      <c r="E32" s="4"/>
      <c r="F32" s="4"/>
      <c r="G32" s="4"/>
    </row>
    <row r="33" spans="1:7" ht="15.75" customHeight="1" x14ac:dyDescent="0.25">
      <c r="A33" s="4"/>
      <c r="B33" s="4"/>
      <c r="C33" s="4"/>
      <c r="D33" s="4"/>
      <c r="E33" s="4"/>
      <c r="F33" s="4"/>
      <c r="G33" s="4"/>
    </row>
    <row r="34" spans="1:7" ht="15.75" customHeight="1" x14ac:dyDescent="0.25">
      <c r="A34" s="4"/>
      <c r="B34" s="4"/>
      <c r="C34" s="4"/>
      <c r="D34" s="4"/>
      <c r="E34" s="4"/>
      <c r="F34" s="4"/>
      <c r="G34" s="4"/>
    </row>
    <row r="35" spans="1:7" ht="15.75" customHeight="1" x14ac:dyDescent="0.25">
      <c r="A35" s="4"/>
      <c r="B35" s="4"/>
      <c r="C35" s="4"/>
      <c r="D35" s="4"/>
      <c r="E35" s="4"/>
      <c r="F35" s="4"/>
      <c r="G35" s="4"/>
    </row>
    <row r="36" spans="1:7" ht="15.75" customHeight="1" x14ac:dyDescent="0.25">
      <c r="A36" s="4"/>
      <c r="B36" s="4"/>
      <c r="C36" s="4"/>
      <c r="D36" s="4"/>
      <c r="E36" s="4"/>
      <c r="F36" s="4"/>
      <c r="G36" s="4"/>
    </row>
    <row r="37" spans="1:7" ht="15.75" customHeight="1" x14ac:dyDescent="0.25">
      <c r="A37" s="4"/>
      <c r="B37" s="4"/>
      <c r="C37" s="4"/>
      <c r="D37" s="4"/>
      <c r="E37" s="4"/>
      <c r="F37" s="4"/>
      <c r="G37" s="4"/>
    </row>
    <row r="38" spans="1:7" ht="15.75" customHeight="1" x14ac:dyDescent="0.25">
      <c r="A38" s="4"/>
      <c r="B38" s="4"/>
      <c r="C38" s="4"/>
      <c r="D38" s="4"/>
      <c r="E38" s="4"/>
      <c r="F38" s="4"/>
      <c r="G38" s="4"/>
    </row>
    <row r="39" spans="1:7" ht="15.75" customHeight="1" x14ac:dyDescent="0.25">
      <c r="A39" s="4"/>
      <c r="B39" s="4"/>
      <c r="C39" s="4"/>
      <c r="D39" s="4"/>
      <c r="E39" s="4"/>
      <c r="F39" s="4"/>
      <c r="G39" s="4"/>
    </row>
    <row r="40" spans="1:7" ht="15.75" customHeight="1" x14ac:dyDescent="0.25">
      <c r="A40" s="4"/>
      <c r="B40" s="4"/>
      <c r="C40" s="4"/>
      <c r="D40" s="4"/>
      <c r="E40" s="4"/>
      <c r="F40" s="4"/>
      <c r="G40" s="4"/>
    </row>
    <row r="41" spans="1:7" ht="15.75" customHeight="1" x14ac:dyDescent="0.25">
      <c r="A41" s="4"/>
      <c r="B41" s="4"/>
      <c r="C41" s="4"/>
      <c r="D41" s="4"/>
      <c r="E41" s="4"/>
      <c r="F41" s="4"/>
      <c r="G41" s="4"/>
    </row>
    <row r="42" spans="1:7" ht="15.75" customHeight="1" x14ac:dyDescent="0.25">
      <c r="A42" s="4"/>
      <c r="B42" s="4"/>
      <c r="C42" s="4"/>
      <c r="D42" s="4"/>
      <c r="E42" s="4"/>
      <c r="F42" s="4"/>
      <c r="G42" s="4"/>
    </row>
    <row r="43" spans="1:7" ht="15.75" customHeight="1" x14ac:dyDescent="0.25">
      <c r="A43" s="4"/>
      <c r="B43" s="4"/>
      <c r="C43" s="4"/>
      <c r="D43" s="4"/>
      <c r="E43" s="4"/>
      <c r="F43" s="4"/>
      <c r="G43" s="4"/>
    </row>
    <row r="44" spans="1:7" ht="15.75" customHeight="1" x14ac:dyDescent="0.25">
      <c r="A44" s="4"/>
      <c r="B44" s="4"/>
      <c r="C44" s="4"/>
      <c r="D44" s="4"/>
      <c r="E44" s="4"/>
      <c r="F44" s="4"/>
      <c r="G44" s="4"/>
    </row>
    <row r="45" spans="1:7" ht="15.75" customHeight="1" x14ac:dyDescent="0.25">
      <c r="A45" s="4"/>
      <c r="B45" s="4"/>
      <c r="C45" s="4"/>
      <c r="D45" s="4"/>
      <c r="E45" s="4"/>
      <c r="F45" s="4"/>
      <c r="G45" s="4"/>
    </row>
    <row r="46" spans="1:7" ht="15.75" customHeight="1" x14ac:dyDescent="0.25">
      <c r="A46" s="4"/>
      <c r="B46" s="4"/>
      <c r="C46" s="4"/>
      <c r="D46" s="4"/>
      <c r="E46" s="4"/>
      <c r="F46" s="4"/>
      <c r="G46" s="4"/>
    </row>
    <row r="47" spans="1:7" ht="15.75" customHeight="1" x14ac:dyDescent="0.25">
      <c r="A47" s="4"/>
      <c r="B47" s="4"/>
      <c r="C47" s="4"/>
      <c r="D47" s="4"/>
      <c r="E47" s="4"/>
      <c r="F47" s="4"/>
      <c r="G47" s="4"/>
    </row>
    <row r="48" spans="1:7" ht="15.75" customHeight="1" x14ac:dyDescent="0.25">
      <c r="A48" s="4"/>
      <c r="B48" s="4"/>
      <c r="C48" s="4"/>
      <c r="D48" s="4"/>
      <c r="E48" s="4"/>
      <c r="F48" s="4"/>
      <c r="G48" s="4"/>
    </row>
    <row r="49" spans="1:7" ht="15.75" customHeight="1" x14ac:dyDescent="0.25">
      <c r="A49" s="4"/>
      <c r="B49" s="4"/>
      <c r="C49" s="4"/>
      <c r="D49" s="4"/>
      <c r="E49" s="4"/>
      <c r="F49" s="4"/>
      <c r="G49" s="4"/>
    </row>
    <row r="50" spans="1:7" ht="15.75" customHeight="1" x14ac:dyDescent="0.25">
      <c r="A50" s="4"/>
      <c r="B50" s="4"/>
      <c r="C50" s="4"/>
      <c r="D50" s="4"/>
      <c r="E50" s="4"/>
      <c r="F50" s="4"/>
      <c r="G50" s="4"/>
    </row>
    <row r="51" spans="1:7" ht="15.75" customHeight="1" x14ac:dyDescent="0.25">
      <c r="A51" s="4"/>
      <c r="B51" s="4"/>
      <c r="C51" s="4"/>
      <c r="D51" s="4"/>
      <c r="E51" s="4"/>
      <c r="F51" s="4"/>
      <c r="G51" s="4"/>
    </row>
    <row r="52" spans="1:7" ht="15.75" customHeight="1" x14ac:dyDescent="0.25">
      <c r="A52" s="4"/>
      <c r="B52" s="4"/>
      <c r="C52" s="4"/>
      <c r="D52" s="4"/>
      <c r="E52" s="4"/>
      <c r="F52" s="4"/>
      <c r="G52" s="4"/>
    </row>
    <row r="53" spans="1:7" ht="15.75" customHeight="1" x14ac:dyDescent="0.25">
      <c r="A53" s="4"/>
      <c r="B53" s="4"/>
      <c r="C53" s="4"/>
      <c r="D53" s="4"/>
      <c r="E53" s="4"/>
      <c r="F53" s="4"/>
      <c r="G53" s="4"/>
    </row>
    <row r="54" spans="1:7" ht="15.75" customHeight="1" x14ac:dyDescent="0.25">
      <c r="A54" s="4"/>
      <c r="B54" s="4"/>
      <c r="C54" s="4"/>
      <c r="D54" s="4"/>
      <c r="E54" s="4"/>
      <c r="F54" s="4"/>
      <c r="G54" s="4"/>
    </row>
    <row r="55" spans="1:7" ht="15.75" customHeight="1" x14ac:dyDescent="0.25">
      <c r="A55" s="4"/>
      <c r="B55" s="4"/>
      <c r="C55" s="4"/>
      <c r="D55" s="4"/>
      <c r="E55" s="4"/>
      <c r="F55" s="4"/>
      <c r="G55" s="4"/>
    </row>
    <row r="56" spans="1:7" ht="15.75" customHeight="1" x14ac:dyDescent="0.25">
      <c r="A56" s="4"/>
      <c r="B56" s="4"/>
      <c r="C56" s="4"/>
      <c r="D56" s="4"/>
      <c r="E56" s="4"/>
      <c r="F56" s="4"/>
      <c r="G56" s="4"/>
    </row>
    <row r="57" spans="1:7" ht="15.75" customHeight="1" x14ac:dyDescent="0.25">
      <c r="A57" s="4"/>
      <c r="B57" s="4"/>
      <c r="C57" s="4"/>
      <c r="D57" s="4"/>
      <c r="E57" s="4"/>
      <c r="F57" s="4"/>
      <c r="G57" s="4"/>
    </row>
    <row r="58" spans="1:7" ht="15.75" customHeight="1" x14ac:dyDescent="0.25">
      <c r="A58" s="4"/>
      <c r="B58" s="4"/>
      <c r="C58" s="4"/>
      <c r="D58" s="4"/>
      <c r="E58" s="4"/>
      <c r="F58" s="4"/>
      <c r="G58" s="4"/>
    </row>
    <row r="59" spans="1:7" ht="15.75" customHeight="1" x14ac:dyDescent="0.25">
      <c r="A59" s="4"/>
      <c r="B59" s="4"/>
      <c r="C59" s="4"/>
      <c r="D59" s="4"/>
      <c r="E59" s="4"/>
      <c r="F59" s="4"/>
      <c r="G59" s="4"/>
    </row>
    <row r="60" spans="1:7" ht="15.7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4"/>
      <c r="B63" s="4"/>
      <c r="C63" s="4"/>
      <c r="D63" s="4"/>
      <c r="E63" s="4"/>
      <c r="F63" s="4"/>
      <c r="G63" s="4"/>
    </row>
    <row r="64" spans="1:7" ht="15.75" customHeight="1" x14ac:dyDescent="0.25">
      <c r="A64" s="4"/>
      <c r="B64" s="4"/>
      <c r="C64" s="4"/>
      <c r="D64" s="4"/>
      <c r="E64" s="4"/>
      <c r="F64" s="4"/>
      <c r="G64" s="4"/>
    </row>
    <row r="65" spans="1:7" ht="15.75" customHeight="1" x14ac:dyDescent="0.25">
      <c r="A65" s="4"/>
      <c r="B65" s="4"/>
      <c r="C65" s="4"/>
      <c r="D65" s="4"/>
      <c r="E65" s="4"/>
      <c r="F65" s="4"/>
      <c r="G65" s="4"/>
    </row>
    <row r="66" spans="1:7" ht="15.75" customHeight="1" x14ac:dyDescent="0.25">
      <c r="A66" s="4"/>
      <c r="B66" s="4"/>
      <c r="C66" s="4"/>
      <c r="D66" s="4"/>
      <c r="E66" s="4"/>
      <c r="F66" s="4"/>
      <c r="G66" s="4"/>
    </row>
    <row r="67" spans="1:7" ht="15.75" customHeight="1" x14ac:dyDescent="0.25">
      <c r="A67" s="4"/>
      <c r="B67" s="4"/>
      <c r="C67" s="4"/>
      <c r="D67" s="4"/>
      <c r="E67" s="4"/>
      <c r="F67" s="4"/>
      <c r="G67" s="4"/>
    </row>
    <row r="68" spans="1:7" ht="15.75" customHeight="1" x14ac:dyDescent="0.25">
      <c r="A68" s="4"/>
      <c r="B68" s="4"/>
      <c r="C68" s="4"/>
      <c r="D68" s="4"/>
      <c r="E68" s="4"/>
      <c r="F68" s="4"/>
      <c r="G68" s="4"/>
    </row>
    <row r="69" spans="1:7" ht="15.75" customHeight="1" x14ac:dyDescent="0.25">
      <c r="A69" s="4"/>
      <c r="B69" s="4"/>
      <c r="C69" s="4"/>
      <c r="D69" s="4"/>
      <c r="E69" s="4"/>
      <c r="F69" s="4"/>
      <c r="G69" s="4"/>
    </row>
    <row r="70" spans="1:7" ht="15.75" customHeight="1" x14ac:dyDescent="0.25">
      <c r="A70" s="4"/>
      <c r="B70" s="4"/>
      <c r="C70" s="4"/>
      <c r="D70" s="4"/>
      <c r="E70" s="4"/>
      <c r="F70" s="4"/>
      <c r="G70" s="4"/>
    </row>
    <row r="71" spans="1:7" ht="15.75" customHeight="1" x14ac:dyDescent="0.25">
      <c r="A71" s="4"/>
      <c r="B71" s="4"/>
      <c r="C71" s="4"/>
      <c r="D71" s="4"/>
      <c r="E71" s="4"/>
      <c r="F71" s="4"/>
      <c r="G71" s="4"/>
    </row>
    <row r="72" spans="1:7" ht="15.75" customHeight="1" x14ac:dyDescent="0.25">
      <c r="A72" s="4"/>
      <c r="B72" s="4"/>
      <c r="C72" s="4"/>
      <c r="D72" s="4"/>
      <c r="E72" s="4"/>
      <c r="F72" s="4"/>
      <c r="G72" s="4"/>
    </row>
    <row r="73" spans="1:7" ht="15.75" customHeight="1" x14ac:dyDescent="0.25">
      <c r="A73" s="4"/>
      <c r="B73" s="4"/>
      <c r="C73" s="4"/>
      <c r="D73" s="4"/>
      <c r="E73" s="4"/>
      <c r="F73" s="4"/>
      <c r="G73" s="4"/>
    </row>
    <row r="74" spans="1:7" ht="15.75" customHeight="1" x14ac:dyDescent="0.25">
      <c r="A74" s="4"/>
      <c r="B74" s="4"/>
      <c r="C74" s="4"/>
      <c r="D74" s="4"/>
      <c r="E74" s="4"/>
      <c r="F74" s="4"/>
      <c r="G74" s="4"/>
    </row>
    <row r="75" spans="1:7" ht="15.75" customHeight="1" x14ac:dyDescent="0.25">
      <c r="A75" s="4"/>
      <c r="B75" s="4"/>
      <c r="C75" s="4"/>
      <c r="D75" s="4"/>
      <c r="E75" s="4"/>
      <c r="F75" s="4"/>
      <c r="G75" s="4"/>
    </row>
    <row r="76" spans="1:7" ht="15.75" customHeight="1" x14ac:dyDescent="0.25">
      <c r="A76" s="4"/>
      <c r="B76" s="4"/>
      <c r="C76" s="4"/>
      <c r="D76" s="4"/>
      <c r="E76" s="4"/>
      <c r="F76" s="4"/>
      <c r="G76" s="4"/>
    </row>
    <row r="77" spans="1:7" ht="15.75" customHeight="1" x14ac:dyDescent="0.25">
      <c r="A77" s="4"/>
      <c r="B77" s="4"/>
      <c r="C77" s="4"/>
      <c r="D77" s="4"/>
      <c r="E77" s="4"/>
      <c r="F77" s="4"/>
      <c r="G77" s="4"/>
    </row>
    <row r="78" spans="1:7" ht="15.75" customHeight="1" x14ac:dyDescent="0.25">
      <c r="A78" s="4"/>
      <c r="B78" s="4"/>
      <c r="C78" s="4"/>
      <c r="D78" s="4"/>
      <c r="E78" s="4"/>
      <c r="F78" s="4"/>
      <c r="G78" s="4"/>
    </row>
    <row r="79" spans="1:7" ht="15.75" customHeight="1" x14ac:dyDescent="0.25">
      <c r="A79" s="4"/>
      <c r="B79" s="4"/>
      <c r="C79" s="4"/>
      <c r="D79" s="4"/>
      <c r="E79" s="4"/>
      <c r="F79" s="4"/>
      <c r="G79" s="4"/>
    </row>
    <row r="80" spans="1:7" ht="15.7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75" customHeight="1" x14ac:dyDescent="0.25">
      <c r="A84" s="4"/>
      <c r="B84" s="4"/>
      <c r="C84" s="4"/>
      <c r="D84" s="4"/>
      <c r="E84" s="4"/>
      <c r="F84" s="4"/>
      <c r="G84" s="4"/>
    </row>
    <row r="85" spans="1:7" ht="15.75" customHeight="1" x14ac:dyDescent="0.25">
      <c r="A85" s="4"/>
      <c r="B85" s="4"/>
      <c r="C85" s="4"/>
      <c r="D85" s="4"/>
      <c r="E85" s="4"/>
      <c r="F85" s="4"/>
      <c r="G85" s="4"/>
    </row>
    <row r="86" spans="1:7" ht="15.75" customHeight="1" x14ac:dyDescent="0.25">
      <c r="A86" s="4"/>
      <c r="B86" s="4"/>
      <c r="C86" s="4"/>
      <c r="D86" s="4"/>
      <c r="E86" s="4"/>
      <c r="F86" s="4"/>
      <c r="G86" s="4"/>
    </row>
    <row r="87" spans="1:7" ht="15.75" customHeight="1" x14ac:dyDescent="0.25">
      <c r="A87" s="4"/>
      <c r="B87" s="4"/>
      <c r="C87" s="4"/>
      <c r="D87" s="4"/>
      <c r="E87" s="4"/>
      <c r="F87" s="4"/>
      <c r="G87" s="4"/>
    </row>
    <row r="88" spans="1:7" ht="15.75" customHeight="1" x14ac:dyDescent="0.25">
      <c r="A88" s="4"/>
      <c r="B88" s="4"/>
      <c r="C88" s="4"/>
      <c r="D88" s="4"/>
      <c r="E88" s="4"/>
      <c r="F88" s="4"/>
      <c r="G88" s="4"/>
    </row>
    <row r="89" spans="1:7" ht="15.75" customHeight="1" x14ac:dyDescent="0.25">
      <c r="A89" s="4"/>
      <c r="B89" s="4"/>
      <c r="C89" s="4"/>
      <c r="D89" s="4"/>
      <c r="E89" s="4"/>
      <c r="F89" s="4"/>
      <c r="G89" s="4"/>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sheetData>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heetViews>
  <sheetFormatPr defaultColWidth="14.42578125" defaultRowHeight="15" customHeight="1" x14ac:dyDescent="0.25"/>
  <cols>
    <col min="1" max="1" width="40" customWidth="1"/>
    <col min="2" max="4" width="18" customWidth="1"/>
    <col min="5" max="5" width="20" customWidth="1"/>
    <col min="6" max="26" width="8.7109375" customWidth="1"/>
  </cols>
  <sheetData>
    <row r="1" spans="1:5" ht="17.25" customHeight="1" x14ac:dyDescent="0.25">
      <c r="A1" s="1" t="s">
        <v>311</v>
      </c>
      <c r="B1" s="4"/>
      <c r="C1" s="4"/>
      <c r="D1" s="4"/>
      <c r="E1" s="4"/>
    </row>
    <row r="2" spans="1:5" ht="15" customHeight="1" x14ac:dyDescent="0.25">
      <c r="A2" s="5" t="s">
        <v>312</v>
      </c>
      <c r="B2" s="4"/>
      <c r="C2" s="4"/>
      <c r="D2" s="4"/>
      <c r="E2" s="4"/>
    </row>
    <row r="3" spans="1:5" x14ac:dyDescent="0.25">
      <c r="A3" s="4"/>
      <c r="B3" s="4"/>
      <c r="C3" s="4"/>
      <c r="D3" s="4"/>
      <c r="E3" s="4"/>
    </row>
    <row r="4" spans="1:5" ht="15" customHeight="1" x14ac:dyDescent="0.25">
      <c r="A4" s="14" t="s">
        <v>315</v>
      </c>
      <c r="B4" s="14" t="s">
        <v>295</v>
      </c>
      <c r="C4" s="14" t="s">
        <v>296</v>
      </c>
      <c r="D4" s="14" t="s">
        <v>297</v>
      </c>
      <c r="E4" s="14" t="s">
        <v>317</v>
      </c>
    </row>
    <row r="5" spans="1:5" ht="15" customHeight="1" x14ac:dyDescent="0.25">
      <c r="A5" s="22" t="s">
        <v>318</v>
      </c>
      <c r="B5" s="24">
        <f>'3_Giả định'!B17</f>
        <v>4367000</v>
      </c>
      <c r="C5" s="24">
        <f>'3_Giả định'!C17</f>
        <v>3970000</v>
      </c>
      <c r="D5" s="24">
        <f>'3_Giả định'!D17</f>
        <v>3176000</v>
      </c>
      <c r="E5" s="4"/>
    </row>
    <row r="6" spans="1:5" ht="15" customHeight="1" x14ac:dyDescent="0.25">
      <c r="A6" s="22" t="s">
        <v>322</v>
      </c>
      <c r="B6" s="24">
        <f>'3_Giả định'!B17-'3_Giả định'!B18</f>
        <v>3251274.1184</v>
      </c>
      <c r="C6" s="24">
        <f>'3_Giả định'!C17-'3_Giả định'!C18</f>
        <v>2730304.5759999999</v>
      </c>
      <c r="D6" s="24">
        <f>'3_Giả định'!D17-'3_Giả định'!D18</f>
        <v>1688365.4911999998</v>
      </c>
      <c r="E6" s="4"/>
    </row>
    <row r="7" spans="1:5" ht="15" customHeight="1" x14ac:dyDescent="0.25">
      <c r="A7" s="22" t="s">
        <v>160</v>
      </c>
      <c r="B7" s="34">
        <f t="shared" ref="B7:D7" si="0">IFERROR(B6/B5,0)</f>
        <v>0.74450975919395468</v>
      </c>
      <c r="C7" s="34">
        <f t="shared" si="0"/>
        <v>0.68773415012594452</v>
      </c>
      <c r="D7" s="34">
        <f t="shared" si="0"/>
        <v>0.53160122518891684</v>
      </c>
      <c r="E7" s="4" t="s">
        <v>334</v>
      </c>
    </row>
    <row r="8" spans="1:5" ht="15" customHeight="1" x14ac:dyDescent="0.25">
      <c r="A8" s="22" t="s">
        <v>336</v>
      </c>
      <c r="B8" s="59">
        <f>IFERROR(1/'3_Giả định'!B9,0)</f>
        <v>55.555555555555557</v>
      </c>
      <c r="C8" s="59">
        <f>IFERROR(1/'3_Giả định'!C9,0)</f>
        <v>33.333333333333336</v>
      </c>
      <c r="D8" s="59">
        <f>IFERROR(1/'3_Giả định'!D9,0)</f>
        <v>20.833333333333332</v>
      </c>
      <c r="E8" s="4"/>
    </row>
    <row r="9" spans="1:5" ht="15" customHeight="1" x14ac:dyDescent="0.25">
      <c r="A9" s="22" t="s">
        <v>341</v>
      </c>
      <c r="B9" s="24">
        <f t="shared" ref="B9:D9" si="1">B6*B8</f>
        <v>180626339.91111112</v>
      </c>
      <c r="C9" s="24">
        <f t="shared" si="1"/>
        <v>91010152.533333331</v>
      </c>
      <c r="D9" s="24">
        <f t="shared" si="1"/>
        <v>35174281.066666663</v>
      </c>
      <c r="E9" s="4"/>
    </row>
    <row r="10" spans="1:5" ht="15" customHeight="1" x14ac:dyDescent="0.25">
      <c r="A10" s="22" t="s">
        <v>347</v>
      </c>
      <c r="B10" s="24">
        <f>'3_Giả định'!B10</f>
        <v>7200000</v>
      </c>
      <c r="C10" s="24">
        <f>'3_Giả định'!C10</f>
        <v>9000000</v>
      </c>
      <c r="D10" s="24">
        <f>'3_Giả định'!D10</f>
        <v>13500000</v>
      </c>
      <c r="E10" s="4"/>
    </row>
    <row r="11" spans="1:5" ht="15" customHeight="1" x14ac:dyDescent="0.25">
      <c r="A11" s="22" t="s">
        <v>348</v>
      </c>
      <c r="B11" s="60">
        <f t="shared" ref="B11:D11" si="2">IFERROR(B9/B10,0)</f>
        <v>25.08699165432099</v>
      </c>
      <c r="C11" s="60">
        <f t="shared" si="2"/>
        <v>10.112239170370371</v>
      </c>
      <c r="D11" s="60">
        <f t="shared" si="2"/>
        <v>2.6055023012345675</v>
      </c>
      <c r="E11" s="3" t="s">
        <v>349</v>
      </c>
    </row>
    <row r="12" spans="1:5" ht="15" customHeight="1" x14ac:dyDescent="0.25">
      <c r="A12" s="22" t="s">
        <v>350</v>
      </c>
      <c r="B12" s="59">
        <f t="shared" ref="B12:D12" si="3">IFERROR(B10/B6,0)</f>
        <v>2.214516444261927</v>
      </c>
      <c r="C12" s="59">
        <f t="shared" si="3"/>
        <v>3.2963355367426965</v>
      </c>
      <c r="D12" s="59">
        <f t="shared" si="3"/>
        <v>7.9958990339259559</v>
      </c>
      <c r="E12" s="4" t="s">
        <v>351</v>
      </c>
    </row>
    <row r="13" spans="1:5" ht="15" customHeight="1" x14ac:dyDescent="0.25">
      <c r="A13" s="22" t="s">
        <v>352</v>
      </c>
      <c r="B13" s="61" t="str">
        <f t="shared" ref="B13:D13" si="4">IF(B5&lt;=0,"Chưa điền trang 2–3",IF(B6&lt;=0,"Lỗ trên từng khách",IF(AND(B11&gt;3,B12&lt;12,B7&gt;=0.6),"Khỏe",IF(B11&gt;=1,"Cần cải thiện","Đốt tiền"))))</f>
        <v>Khỏe</v>
      </c>
      <c r="C13" s="61" t="str">
        <f t="shared" si="4"/>
        <v>Khỏe</v>
      </c>
      <c r="D13" s="61" t="str">
        <f t="shared" si="4"/>
        <v>Cần cải thiện</v>
      </c>
      <c r="E13" s="4"/>
    </row>
    <row r="14" spans="1:5" x14ac:dyDescent="0.25">
      <c r="A14" s="4"/>
      <c r="B14" s="4"/>
      <c r="C14" s="4"/>
      <c r="D14" s="4"/>
      <c r="E14" s="4"/>
    </row>
    <row r="15" spans="1:5" x14ac:dyDescent="0.25">
      <c r="A15" s="4"/>
      <c r="B15" s="4"/>
      <c r="C15" s="4"/>
      <c r="D15" s="4"/>
      <c r="E15" s="4"/>
    </row>
    <row r="16" spans="1:5" x14ac:dyDescent="0.25">
      <c r="A16" s="4"/>
      <c r="B16" s="4"/>
      <c r="C16" s="4"/>
      <c r="D16" s="4"/>
      <c r="E16" s="4"/>
    </row>
    <row r="17" spans="1:5" x14ac:dyDescent="0.25">
      <c r="A17" s="4"/>
      <c r="B17" s="4"/>
      <c r="C17" s="4"/>
      <c r="D17" s="4"/>
      <c r="E17" s="4"/>
    </row>
    <row r="18" spans="1:5" x14ac:dyDescent="0.25">
      <c r="A18" s="4"/>
      <c r="B18" s="4"/>
      <c r="C18" s="4"/>
      <c r="D18" s="4"/>
      <c r="E18" s="4"/>
    </row>
    <row r="19" spans="1:5" x14ac:dyDescent="0.25">
      <c r="A19" s="4"/>
      <c r="B19" s="4"/>
      <c r="C19" s="4"/>
      <c r="D19" s="4"/>
      <c r="E19" s="4"/>
    </row>
    <row r="20" spans="1:5" x14ac:dyDescent="0.25">
      <c r="A20" s="4"/>
      <c r="B20" s="4"/>
      <c r="C20" s="4"/>
      <c r="D20" s="4"/>
      <c r="E20" s="4"/>
    </row>
    <row r="21" spans="1:5" ht="15.75" customHeight="1" x14ac:dyDescent="0.25">
      <c r="A21" s="4"/>
      <c r="B21" s="4"/>
      <c r="C21" s="4"/>
      <c r="D21" s="4"/>
      <c r="E21" s="4"/>
    </row>
    <row r="22" spans="1:5" ht="15.75" customHeight="1" x14ac:dyDescent="0.25">
      <c r="A22" s="4"/>
      <c r="B22" s="4"/>
      <c r="C22" s="4"/>
      <c r="D22" s="4"/>
      <c r="E22" s="4"/>
    </row>
    <row r="23" spans="1:5" ht="15.75" customHeight="1" x14ac:dyDescent="0.25">
      <c r="A23" s="4"/>
      <c r="B23" s="4"/>
      <c r="C23" s="4"/>
      <c r="D23" s="4"/>
      <c r="E23" s="4"/>
    </row>
    <row r="24" spans="1:5" ht="15.75" customHeight="1" x14ac:dyDescent="0.25">
      <c r="A24" s="4"/>
      <c r="B24" s="4"/>
      <c r="C24" s="4"/>
      <c r="D24" s="4"/>
      <c r="E24" s="4"/>
    </row>
    <row r="25" spans="1:5" ht="15.75" customHeight="1" x14ac:dyDescent="0.25">
      <c r="A25" s="4"/>
      <c r="B25" s="4"/>
      <c r="C25" s="4"/>
      <c r="D25" s="4"/>
      <c r="E25" s="4"/>
    </row>
    <row r="26" spans="1:5" ht="15.75" customHeight="1" x14ac:dyDescent="0.25">
      <c r="A26" s="4"/>
      <c r="B26" s="4"/>
      <c r="C26" s="4"/>
      <c r="D26" s="4"/>
      <c r="E26" s="4"/>
    </row>
    <row r="27" spans="1:5" ht="15.75" customHeight="1" x14ac:dyDescent="0.25">
      <c r="A27" s="4"/>
      <c r="B27" s="4"/>
      <c r="C27" s="4"/>
      <c r="D27" s="4"/>
      <c r="E27" s="4"/>
    </row>
    <row r="28" spans="1:5" ht="15.75" customHeight="1" x14ac:dyDescent="0.25">
      <c r="A28" s="4"/>
      <c r="B28" s="4"/>
      <c r="C28" s="4"/>
      <c r="D28" s="4"/>
      <c r="E28" s="4"/>
    </row>
    <row r="29" spans="1:5" ht="15.75" customHeight="1" x14ac:dyDescent="0.25">
      <c r="A29" s="4"/>
      <c r="B29" s="4"/>
      <c r="C29" s="4"/>
      <c r="D29" s="4"/>
      <c r="E29" s="4"/>
    </row>
    <row r="30" spans="1:5" ht="15.75" customHeight="1" x14ac:dyDescent="0.25">
      <c r="A30" s="4"/>
      <c r="B30" s="4"/>
      <c r="C30" s="4"/>
      <c r="D30" s="4"/>
      <c r="E30" s="4"/>
    </row>
    <row r="31" spans="1:5" ht="15.75" customHeight="1" x14ac:dyDescent="0.25">
      <c r="A31" s="4"/>
      <c r="B31" s="4"/>
      <c r="C31" s="4"/>
      <c r="D31" s="4"/>
      <c r="E31" s="4"/>
    </row>
    <row r="32" spans="1:5" ht="15.75" customHeight="1" x14ac:dyDescent="0.25">
      <c r="A32" s="4"/>
      <c r="B32" s="4"/>
      <c r="C32" s="4"/>
      <c r="D32" s="4"/>
      <c r="E32" s="4"/>
    </row>
    <row r="33" spans="1:5" ht="15.75" customHeight="1" x14ac:dyDescent="0.25">
      <c r="A33" s="4"/>
      <c r="B33" s="4"/>
      <c r="C33" s="4"/>
      <c r="D33" s="4"/>
      <c r="E33" s="4"/>
    </row>
    <row r="34" spans="1:5" ht="15.75" customHeight="1" x14ac:dyDescent="0.25">
      <c r="A34" s="4"/>
      <c r="B34" s="4"/>
      <c r="C34" s="4"/>
      <c r="D34" s="4"/>
      <c r="E34" s="4"/>
    </row>
    <row r="35" spans="1:5" ht="15.75" customHeight="1" x14ac:dyDescent="0.25">
      <c r="A35" s="4"/>
      <c r="B35" s="4"/>
      <c r="C35" s="4"/>
      <c r="D35" s="4"/>
      <c r="E35" s="4"/>
    </row>
    <row r="36" spans="1:5" ht="15.75" customHeight="1" x14ac:dyDescent="0.25">
      <c r="A36" s="4"/>
      <c r="B36" s="4"/>
      <c r="C36" s="4"/>
      <c r="D36" s="4"/>
      <c r="E36" s="4"/>
    </row>
    <row r="37" spans="1:5" ht="15.75" customHeight="1" x14ac:dyDescent="0.25">
      <c r="A37" s="4"/>
      <c r="B37" s="4"/>
      <c r="C37" s="4"/>
      <c r="D37" s="4"/>
      <c r="E37" s="4"/>
    </row>
    <row r="38" spans="1:5" ht="15.75" customHeight="1" x14ac:dyDescent="0.25">
      <c r="A38" s="4"/>
      <c r="B38" s="4"/>
      <c r="C38" s="4"/>
      <c r="D38" s="4"/>
      <c r="E38" s="4"/>
    </row>
    <row r="39" spans="1:5" ht="15.75" customHeight="1" x14ac:dyDescent="0.25">
      <c r="A39" s="4"/>
      <c r="B39" s="4"/>
      <c r="C39" s="4"/>
      <c r="D39" s="4"/>
      <c r="E39" s="4"/>
    </row>
    <row r="40" spans="1:5" ht="15.75" customHeight="1" x14ac:dyDescent="0.25">
      <c r="A40" s="4"/>
      <c r="B40" s="4"/>
      <c r="C40" s="4"/>
      <c r="D40" s="4"/>
      <c r="E40" s="4"/>
    </row>
    <row r="41" spans="1:5" ht="15.75" customHeight="1" x14ac:dyDescent="0.25">
      <c r="A41" s="4"/>
      <c r="B41" s="4"/>
      <c r="C41" s="4"/>
      <c r="D41" s="4"/>
      <c r="E41" s="4"/>
    </row>
    <row r="42" spans="1:5" ht="15.75" customHeight="1" x14ac:dyDescent="0.25">
      <c r="A42" s="4"/>
      <c r="B42" s="4"/>
      <c r="C42" s="4"/>
      <c r="D42" s="4"/>
      <c r="E42" s="4"/>
    </row>
    <row r="43" spans="1:5" ht="15.75" customHeight="1" x14ac:dyDescent="0.25">
      <c r="A43" s="4"/>
      <c r="B43" s="4"/>
      <c r="C43" s="4"/>
      <c r="D43" s="4"/>
      <c r="E43" s="4"/>
    </row>
    <row r="44" spans="1:5" ht="15.75" customHeight="1" x14ac:dyDescent="0.25">
      <c r="A44" s="4"/>
      <c r="B44" s="4"/>
      <c r="C44" s="4"/>
      <c r="D44" s="4"/>
      <c r="E44" s="4"/>
    </row>
    <row r="45" spans="1:5" ht="15.75" customHeight="1" x14ac:dyDescent="0.25">
      <c r="A45" s="4"/>
      <c r="B45" s="4"/>
      <c r="C45" s="4"/>
      <c r="D45" s="4"/>
      <c r="E45" s="4"/>
    </row>
    <row r="46" spans="1:5" ht="15.75" customHeight="1" x14ac:dyDescent="0.25">
      <c r="A46" s="4"/>
      <c r="B46" s="4"/>
      <c r="C46" s="4"/>
      <c r="D46" s="4"/>
      <c r="E46" s="4"/>
    </row>
    <row r="47" spans="1:5" ht="15.75" customHeight="1" x14ac:dyDescent="0.25">
      <c r="A47" s="4"/>
      <c r="B47" s="4"/>
      <c r="C47" s="4"/>
      <c r="D47" s="4"/>
      <c r="E47" s="4"/>
    </row>
    <row r="48" spans="1:5" ht="15.75" customHeight="1" x14ac:dyDescent="0.25">
      <c r="A48" s="4"/>
      <c r="B48" s="4"/>
      <c r="C48" s="4"/>
      <c r="D48" s="4"/>
      <c r="E48" s="4"/>
    </row>
    <row r="49" spans="1:5" ht="15.75" customHeight="1" x14ac:dyDescent="0.25">
      <c r="A49" s="4"/>
      <c r="B49" s="4"/>
      <c r="C49" s="4"/>
      <c r="D49" s="4"/>
      <c r="E49" s="4"/>
    </row>
    <row r="50" spans="1:5" ht="15.75" customHeight="1" x14ac:dyDescent="0.25">
      <c r="A50" s="4"/>
      <c r="B50" s="4"/>
      <c r="C50" s="4"/>
      <c r="D50" s="4"/>
      <c r="E50" s="4"/>
    </row>
    <row r="51" spans="1:5" ht="15.75" customHeight="1" x14ac:dyDescent="0.25">
      <c r="A51" s="4"/>
      <c r="B51" s="4"/>
      <c r="C51" s="4"/>
      <c r="D51" s="4"/>
      <c r="E51" s="4"/>
    </row>
    <row r="52" spans="1:5" ht="15.75" customHeight="1" x14ac:dyDescent="0.25">
      <c r="A52" s="4"/>
      <c r="B52" s="4"/>
      <c r="C52" s="4"/>
      <c r="D52" s="4"/>
      <c r="E52" s="4"/>
    </row>
    <row r="53" spans="1:5" ht="15.75" customHeight="1" x14ac:dyDescent="0.25">
      <c r="A53" s="4"/>
      <c r="B53" s="4"/>
      <c r="C53" s="4"/>
      <c r="D53" s="4"/>
      <c r="E53" s="4"/>
    </row>
    <row r="54" spans="1:5" ht="15.75" customHeight="1" x14ac:dyDescent="0.25">
      <c r="A54" s="4"/>
      <c r="B54" s="4"/>
      <c r="C54" s="4"/>
      <c r="D54" s="4"/>
      <c r="E54" s="4"/>
    </row>
    <row r="55" spans="1:5" ht="15.75" customHeight="1" x14ac:dyDescent="0.25">
      <c r="A55" s="4"/>
      <c r="B55" s="4"/>
      <c r="C55" s="4"/>
      <c r="D55" s="4"/>
      <c r="E55" s="4"/>
    </row>
    <row r="56" spans="1:5" ht="15.75" customHeight="1" x14ac:dyDescent="0.25">
      <c r="A56" s="4"/>
      <c r="B56" s="4"/>
      <c r="C56" s="4"/>
      <c r="D56" s="4"/>
      <c r="E56" s="4"/>
    </row>
    <row r="57" spans="1:5" ht="15.75" customHeight="1" x14ac:dyDescent="0.25">
      <c r="A57" s="4"/>
      <c r="B57" s="4"/>
      <c r="C57" s="4"/>
      <c r="D57" s="4"/>
      <c r="E57" s="4"/>
    </row>
    <row r="58" spans="1:5" ht="15.75" customHeight="1" x14ac:dyDescent="0.25">
      <c r="A58" s="4"/>
      <c r="B58" s="4"/>
      <c r="C58" s="4"/>
      <c r="D58" s="4"/>
      <c r="E58" s="4"/>
    </row>
    <row r="59" spans="1:5" ht="15.75" customHeight="1" x14ac:dyDescent="0.25">
      <c r="A59" s="4"/>
      <c r="B59" s="4"/>
      <c r="C59" s="4"/>
      <c r="D59" s="4"/>
      <c r="E59" s="4"/>
    </row>
    <row r="60" spans="1:5" ht="15.75" customHeight="1" x14ac:dyDescent="0.25">
      <c r="A60" s="4"/>
      <c r="B60" s="4"/>
      <c r="C60" s="4"/>
      <c r="D60" s="4"/>
      <c r="E60" s="4"/>
    </row>
    <row r="61" spans="1:5" ht="15.75" customHeight="1" x14ac:dyDescent="0.25">
      <c r="A61" s="4"/>
      <c r="B61" s="4"/>
      <c r="C61" s="4"/>
      <c r="D61" s="4"/>
      <c r="E61" s="4"/>
    </row>
    <row r="62" spans="1:5" ht="15.75" customHeight="1" x14ac:dyDescent="0.25">
      <c r="A62" s="4"/>
      <c r="B62" s="4"/>
      <c r="C62" s="4"/>
      <c r="D62" s="4"/>
      <c r="E62" s="4"/>
    </row>
    <row r="63" spans="1:5" ht="15.75" customHeight="1" x14ac:dyDescent="0.25">
      <c r="A63" s="4"/>
      <c r="B63" s="4"/>
      <c r="C63" s="4"/>
      <c r="D63" s="4"/>
      <c r="E63" s="4"/>
    </row>
    <row r="64" spans="1:5" ht="15.75" customHeight="1" x14ac:dyDescent="0.25">
      <c r="A64" s="4"/>
      <c r="B64" s="4"/>
      <c r="C64" s="4"/>
      <c r="D64" s="4"/>
      <c r="E64" s="4"/>
    </row>
    <row r="65" spans="1:5" ht="15.75" customHeight="1" x14ac:dyDescent="0.25">
      <c r="A65" s="4"/>
      <c r="B65" s="4"/>
      <c r="C65" s="4"/>
      <c r="D65" s="4"/>
      <c r="E65" s="4"/>
    </row>
    <row r="66" spans="1:5" ht="15.75" customHeight="1" x14ac:dyDescent="0.25">
      <c r="A66" s="4"/>
      <c r="B66" s="4"/>
      <c r="C66" s="4"/>
      <c r="D66" s="4"/>
      <c r="E66" s="4"/>
    </row>
    <row r="67" spans="1:5" ht="15.75" customHeight="1" x14ac:dyDescent="0.25">
      <c r="A67" s="4"/>
      <c r="B67" s="4"/>
      <c r="C67" s="4"/>
      <c r="D67" s="4"/>
      <c r="E67" s="4"/>
    </row>
    <row r="68" spans="1:5" ht="15.75" customHeight="1" x14ac:dyDescent="0.25">
      <c r="A68" s="4"/>
      <c r="B68" s="4"/>
      <c r="C68" s="4"/>
      <c r="D68" s="4"/>
      <c r="E68" s="4"/>
    </row>
    <row r="69" spans="1:5" ht="15.75" customHeight="1" x14ac:dyDescent="0.25">
      <c r="A69" s="4"/>
      <c r="B69" s="4"/>
      <c r="C69" s="4"/>
      <c r="D69" s="4"/>
      <c r="E69" s="4"/>
    </row>
    <row r="70" spans="1:5" ht="15.75" customHeight="1" x14ac:dyDescent="0.25">
      <c r="A70" s="4"/>
      <c r="B70" s="4"/>
      <c r="C70" s="4"/>
      <c r="D70" s="4"/>
      <c r="E70" s="4"/>
    </row>
    <row r="71" spans="1:5" ht="15.75" customHeight="1" x14ac:dyDescent="0.25">
      <c r="A71" s="4"/>
      <c r="B71" s="4"/>
      <c r="C71" s="4"/>
      <c r="D71" s="4"/>
      <c r="E71" s="4"/>
    </row>
    <row r="72" spans="1:5" ht="15.75" customHeight="1" x14ac:dyDescent="0.25">
      <c r="A72" s="4"/>
      <c r="B72" s="4"/>
      <c r="C72" s="4"/>
      <c r="D72" s="4"/>
      <c r="E72" s="4"/>
    </row>
    <row r="73" spans="1:5" ht="15.75" customHeight="1" x14ac:dyDescent="0.25">
      <c r="A73" s="4"/>
      <c r="B73" s="4"/>
      <c r="C73" s="4"/>
      <c r="D73" s="4"/>
      <c r="E73" s="4"/>
    </row>
    <row r="74" spans="1:5" ht="15.75" customHeight="1" x14ac:dyDescent="0.25">
      <c r="A74" s="4"/>
      <c r="B74" s="4"/>
      <c r="C74" s="4"/>
      <c r="D74" s="4"/>
      <c r="E74" s="4"/>
    </row>
    <row r="75" spans="1:5" ht="15.75" customHeight="1" x14ac:dyDescent="0.25">
      <c r="A75" s="4"/>
      <c r="B75" s="4"/>
      <c r="C75" s="4"/>
      <c r="D75" s="4"/>
      <c r="E75" s="4"/>
    </row>
    <row r="76" spans="1:5" ht="15.75" customHeight="1" x14ac:dyDescent="0.25">
      <c r="A76" s="4"/>
      <c r="B76" s="4"/>
      <c r="C76" s="4"/>
      <c r="D76" s="4"/>
      <c r="E76" s="4"/>
    </row>
    <row r="77" spans="1:5" ht="15.75" customHeight="1" x14ac:dyDescent="0.25">
      <c r="A77" s="4"/>
      <c r="B77" s="4"/>
      <c r="C77" s="4"/>
      <c r="D77" s="4"/>
      <c r="E77" s="4"/>
    </row>
    <row r="78" spans="1:5" ht="15.75" customHeight="1" x14ac:dyDescent="0.25">
      <c r="A78" s="4"/>
      <c r="B78" s="4"/>
      <c r="C78" s="4"/>
      <c r="D78" s="4"/>
      <c r="E78" s="4"/>
    </row>
    <row r="79" spans="1:5" ht="15.75" customHeight="1" x14ac:dyDescent="0.25">
      <c r="A79" s="4"/>
      <c r="B79" s="4"/>
      <c r="C79" s="4"/>
      <c r="D79" s="4"/>
      <c r="E79" s="4"/>
    </row>
    <row r="80" spans="1:5" ht="15.75" customHeight="1" x14ac:dyDescent="0.25">
      <c r="A80" s="4"/>
      <c r="B80" s="4"/>
      <c r="C80" s="4"/>
      <c r="D80" s="4"/>
      <c r="E80" s="4"/>
    </row>
    <row r="81" spans="1:5" ht="15.75" customHeight="1" x14ac:dyDescent="0.25">
      <c r="A81" s="4"/>
      <c r="B81" s="4"/>
      <c r="C81" s="4"/>
      <c r="D81" s="4"/>
      <c r="E81" s="4"/>
    </row>
    <row r="82" spans="1:5" ht="15.75" customHeight="1" x14ac:dyDescent="0.25">
      <c r="A82" s="4"/>
      <c r="B82" s="4"/>
      <c r="C82" s="4"/>
      <c r="D82" s="4"/>
      <c r="E82" s="4"/>
    </row>
    <row r="83" spans="1:5" ht="15.75" customHeight="1" x14ac:dyDescent="0.25">
      <c r="A83" s="4"/>
      <c r="B83" s="4"/>
      <c r="C83" s="4"/>
      <c r="D83" s="4"/>
      <c r="E83" s="4"/>
    </row>
    <row r="84" spans="1:5" ht="15.75" customHeight="1" x14ac:dyDescent="0.25">
      <c r="A84" s="4"/>
      <c r="B84" s="4"/>
      <c r="C84" s="4"/>
      <c r="D84" s="4"/>
      <c r="E84" s="4"/>
    </row>
    <row r="85" spans="1:5" ht="15.75" customHeight="1" x14ac:dyDescent="0.25">
      <c r="A85" s="4"/>
      <c r="B85" s="4"/>
      <c r="C85" s="4"/>
      <c r="D85" s="4"/>
      <c r="E85" s="4"/>
    </row>
    <row r="86" spans="1:5" ht="15.75" customHeight="1" x14ac:dyDescent="0.25">
      <c r="A86" s="4"/>
      <c r="B86" s="4"/>
      <c r="C86" s="4"/>
      <c r="D86" s="4"/>
      <c r="E86" s="4"/>
    </row>
    <row r="87" spans="1:5" ht="15.75" customHeight="1" x14ac:dyDescent="0.25">
      <c r="A87" s="4"/>
      <c r="B87" s="4"/>
      <c r="C87" s="4"/>
      <c r="D87" s="4"/>
      <c r="E87" s="4"/>
    </row>
    <row r="88" spans="1:5" ht="15.75" customHeight="1" x14ac:dyDescent="0.25">
      <c r="A88" s="4"/>
      <c r="B88" s="4"/>
      <c r="C88" s="4"/>
      <c r="D88" s="4"/>
      <c r="E88" s="4"/>
    </row>
    <row r="89" spans="1:5" ht="15.75" customHeight="1" x14ac:dyDescent="0.25">
      <c r="A89" s="4"/>
      <c r="B89" s="4"/>
      <c r="C89" s="4"/>
      <c r="D89" s="4"/>
      <c r="E89" s="4"/>
    </row>
    <row r="90" spans="1:5" ht="15.75" customHeight="1" x14ac:dyDescent="0.25">
      <c r="A90" s="4"/>
      <c r="B90" s="4"/>
      <c r="C90" s="4"/>
      <c r="D90" s="4"/>
      <c r="E90" s="4"/>
    </row>
    <row r="91" spans="1:5" ht="15.75" customHeight="1" x14ac:dyDescent="0.25">
      <c r="A91" s="4"/>
      <c r="B91" s="4"/>
      <c r="C91" s="4"/>
      <c r="D91" s="4"/>
      <c r="E91" s="4"/>
    </row>
    <row r="92" spans="1:5" ht="15.75" customHeight="1" x14ac:dyDescent="0.25">
      <c r="A92" s="4"/>
      <c r="B92" s="4"/>
      <c r="C92" s="4"/>
      <c r="D92" s="4"/>
      <c r="E92" s="4"/>
    </row>
    <row r="93" spans="1:5" ht="15.75" customHeight="1" x14ac:dyDescent="0.25">
      <c r="A93" s="4"/>
      <c r="B93" s="4"/>
      <c r="C93" s="4"/>
      <c r="D93" s="4"/>
      <c r="E93" s="4"/>
    </row>
    <row r="94" spans="1:5" ht="15.75" customHeight="1" x14ac:dyDescent="0.25">
      <c r="A94" s="4"/>
      <c r="B94" s="4"/>
      <c r="C94" s="4"/>
      <c r="D94" s="4"/>
      <c r="E94" s="4"/>
    </row>
    <row r="95" spans="1:5" ht="15.75" customHeight="1" x14ac:dyDescent="0.25">
      <c r="A95" s="4"/>
      <c r="B95" s="4"/>
      <c r="C95" s="4"/>
      <c r="D95" s="4"/>
      <c r="E95" s="4"/>
    </row>
    <row r="96" spans="1:5" ht="15.75" customHeight="1" x14ac:dyDescent="0.25">
      <c r="A96" s="4"/>
      <c r="B96" s="4"/>
      <c r="C96" s="4"/>
      <c r="D96" s="4"/>
      <c r="E96" s="4"/>
    </row>
    <row r="97" spans="1:5" ht="15.75" customHeight="1" x14ac:dyDescent="0.25">
      <c r="A97" s="4"/>
      <c r="B97" s="4"/>
      <c r="C97" s="4"/>
      <c r="D97" s="4"/>
      <c r="E97" s="4"/>
    </row>
    <row r="98" spans="1:5" ht="15.75" customHeight="1" x14ac:dyDescent="0.25">
      <c r="A98" s="4"/>
      <c r="B98" s="4"/>
      <c r="C98" s="4"/>
      <c r="D98" s="4"/>
      <c r="E98" s="4"/>
    </row>
    <row r="99" spans="1:5" ht="15.75" customHeight="1" x14ac:dyDescent="0.25">
      <c r="A99" s="4"/>
      <c r="B99" s="4"/>
      <c r="C99" s="4"/>
      <c r="D99" s="4"/>
      <c r="E99" s="4"/>
    </row>
    <row r="100" spans="1:5" ht="15.75" customHeight="1" x14ac:dyDescent="0.25">
      <c r="A100" s="4"/>
      <c r="B100" s="4"/>
      <c r="C100" s="4"/>
      <c r="D100" s="4"/>
      <c r="E100" s="4"/>
    </row>
    <row r="101" spans="1:5" ht="15.75" customHeight="1" x14ac:dyDescent="0.25">
      <c r="A101" s="4"/>
      <c r="B101" s="4"/>
      <c r="C101" s="4"/>
      <c r="D101" s="4"/>
      <c r="E101" s="4"/>
    </row>
    <row r="102" spans="1:5" ht="15.75" customHeight="1" x14ac:dyDescent="0.25">
      <c r="A102" s="4"/>
      <c r="B102" s="4"/>
      <c r="C102" s="4"/>
      <c r="D102" s="4"/>
      <c r="E102" s="4"/>
    </row>
    <row r="103" spans="1:5" ht="15.75" customHeight="1" x14ac:dyDescent="0.25">
      <c r="A103" s="4"/>
      <c r="B103" s="4"/>
      <c r="C103" s="4"/>
      <c r="D103" s="4"/>
      <c r="E103" s="4"/>
    </row>
    <row r="104" spans="1:5" ht="15.75" customHeight="1" x14ac:dyDescent="0.25">
      <c r="A104" s="4"/>
      <c r="B104" s="4"/>
      <c r="C104" s="4"/>
      <c r="D104" s="4"/>
      <c r="E104" s="4"/>
    </row>
    <row r="105" spans="1:5" ht="15.75" customHeight="1" x14ac:dyDescent="0.25">
      <c r="A105" s="4"/>
      <c r="B105" s="4"/>
      <c r="C105" s="4"/>
      <c r="D105" s="4"/>
      <c r="E105" s="4"/>
    </row>
    <row r="106" spans="1:5" ht="15.75" customHeight="1" x14ac:dyDescent="0.25">
      <c r="A106" s="4"/>
      <c r="B106" s="4"/>
      <c r="C106" s="4"/>
      <c r="D106" s="4"/>
      <c r="E106" s="4"/>
    </row>
    <row r="107" spans="1:5" ht="15.75" customHeight="1" x14ac:dyDescent="0.25">
      <c r="A107" s="4"/>
      <c r="B107" s="4"/>
      <c r="C107" s="4"/>
      <c r="D107" s="4"/>
      <c r="E107" s="4"/>
    </row>
    <row r="108" spans="1:5" ht="15.75" customHeight="1" x14ac:dyDescent="0.25">
      <c r="A108" s="4"/>
      <c r="B108" s="4"/>
      <c r="C108" s="4"/>
      <c r="D108" s="4"/>
      <c r="E108" s="4"/>
    </row>
    <row r="109" spans="1:5" ht="15.75" customHeight="1" x14ac:dyDescent="0.25">
      <c r="A109" s="4"/>
      <c r="B109" s="4"/>
      <c r="C109" s="4"/>
      <c r="D109" s="4"/>
      <c r="E109" s="4"/>
    </row>
    <row r="110" spans="1:5" ht="15.75" customHeight="1" x14ac:dyDescent="0.25">
      <c r="A110" s="4"/>
      <c r="B110" s="4"/>
      <c r="C110" s="4"/>
      <c r="D110" s="4"/>
      <c r="E110" s="4"/>
    </row>
    <row r="111" spans="1:5" ht="15.75" customHeight="1" x14ac:dyDescent="0.25">
      <c r="A111" s="4"/>
      <c r="B111" s="4"/>
      <c r="C111" s="4"/>
      <c r="D111" s="4"/>
      <c r="E111" s="4"/>
    </row>
    <row r="112" spans="1:5" ht="15.75" customHeight="1" x14ac:dyDescent="0.25">
      <c r="A112" s="4"/>
      <c r="B112" s="4"/>
      <c r="C112" s="4"/>
      <c r="D112" s="4"/>
      <c r="E112" s="4"/>
    </row>
    <row r="113" spans="1:5" ht="15.75" customHeight="1" x14ac:dyDescent="0.25">
      <c r="A113" s="4"/>
      <c r="B113" s="4"/>
      <c r="C113" s="4"/>
      <c r="D113" s="4"/>
      <c r="E113" s="4"/>
    </row>
    <row r="114" spans="1:5" ht="15.75" customHeight="1" x14ac:dyDescent="0.25">
      <c r="A114" s="4"/>
      <c r="B114" s="4"/>
      <c r="C114" s="4"/>
      <c r="D114" s="4"/>
      <c r="E114" s="4"/>
    </row>
    <row r="115" spans="1:5" ht="15.75" customHeight="1" x14ac:dyDescent="0.25">
      <c r="A115" s="4"/>
      <c r="B115" s="4"/>
      <c r="C115" s="4"/>
      <c r="D115" s="4"/>
      <c r="E115" s="4"/>
    </row>
    <row r="116" spans="1:5" ht="15.75" customHeight="1" x14ac:dyDescent="0.25">
      <c r="A116" s="4"/>
      <c r="B116" s="4"/>
      <c r="C116" s="4"/>
      <c r="D116" s="4"/>
      <c r="E116" s="4"/>
    </row>
    <row r="117" spans="1:5" ht="15.75" customHeight="1" x14ac:dyDescent="0.25">
      <c r="A117" s="4"/>
      <c r="B117" s="4"/>
      <c r="C117" s="4"/>
      <c r="D117" s="4"/>
      <c r="E117" s="4"/>
    </row>
    <row r="118" spans="1:5" ht="15.75" customHeight="1" x14ac:dyDescent="0.25">
      <c r="A118" s="4"/>
      <c r="B118" s="4"/>
      <c r="C118" s="4"/>
      <c r="D118" s="4"/>
      <c r="E118" s="4"/>
    </row>
    <row r="119" spans="1:5" ht="15.75" customHeight="1" x14ac:dyDescent="0.25">
      <c r="A119" s="4"/>
      <c r="B119" s="4"/>
      <c r="C119" s="4"/>
      <c r="D119" s="4"/>
      <c r="E119" s="4"/>
    </row>
    <row r="120" spans="1:5" ht="15.75" customHeight="1" x14ac:dyDescent="0.25">
      <c r="A120" s="4"/>
      <c r="B120" s="4"/>
      <c r="C120" s="4"/>
      <c r="D120" s="4"/>
      <c r="E120" s="4"/>
    </row>
    <row r="121" spans="1:5" ht="15.75" customHeight="1" x14ac:dyDescent="0.25">
      <c r="A121" s="4"/>
      <c r="B121" s="4"/>
      <c r="C121" s="4"/>
      <c r="D121" s="4"/>
      <c r="E121" s="4"/>
    </row>
    <row r="122" spans="1:5" ht="15.75" customHeight="1" x14ac:dyDescent="0.25">
      <c r="A122" s="4"/>
      <c r="B122" s="4"/>
      <c r="C122" s="4"/>
      <c r="D122" s="4"/>
      <c r="E122" s="4"/>
    </row>
    <row r="123" spans="1:5" ht="15.75" customHeight="1" x14ac:dyDescent="0.25">
      <c r="A123" s="4"/>
      <c r="B123" s="4"/>
      <c r="C123" s="4"/>
      <c r="D123" s="4"/>
      <c r="E123" s="4"/>
    </row>
    <row r="124" spans="1:5" ht="15.75" customHeight="1" x14ac:dyDescent="0.25">
      <c r="A124" s="4"/>
      <c r="B124" s="4"/>
      <c r="C124" s="4"/>
      <c r="D124" s="4"/>
      <c r="E124" s="4"/>
    </row>
    <row r="125" spans="1:5" ht="15.75" customHeight="1" x14ac:dyDescent="0.25">
      <c r="A125" s="4"/>
      <c r="B125" s="4"/>
      <c r="C125" s="4"/>
      <c r="D125" s="4"/>
      <c r="E125" s="4"/>
    </row>
    <row r="126" spans="1:5" ht="15.75" customHeight="1" x14ac:dyDescent="0.25">
      <c r="A126" s="4"/>
      <c r="B126" s="4"/>
      <c r="C126" s="4"/>
      <c r="D126" s="4"/>
      <c r="E126" s="4"/>
    </row>
    <row r="127" spans="1:5" ht="15.75" customHeight="1" x14ac:dyDescent="0.25">
      <c r="A127" s="4"/>
      <c r="B127" s="4"/>
      <c r="C127" s="4"/>
      <c r="D127" s="4"/>
      <c r="E127" s="4"/>
    </row>
    <row r="128" spans="1:5" ht="15.75" customHeight="1" x14ac:dyDescent="0.25">
      <c r="A128" s="4"/>
      <c r="B128" s="4"/>
      <c r="C128" s="4"/>
      <c r="D128" s="4"/>
      <c r="E128" s="4"/>
    </row>
    <row r="129" spans="1:5" ht="15.75" customHeight="1" x14ac:dyDescent="0.25">
      <c r="A129" s="4"/>
      <c r="B129" s="4"/>
      <c r="C129" s="4"/>
      <c r="D129" s="4"/>
      <c r="E129" s="4"/>
    </row>
    <row r="130" spans="1:5" ht="15.75" customHeight="1" x14ac:dyDescent="0.25">
      <c r="A130" s="4"/>
      <c r="B130" s="4"/>
      <c r="C130" s="4"/>
      <c r="D130" s="4"/>
      <c r="E130" s="4"/>
    </row>
    <row r="131" spans="1:5" ht="15.75" customHeight="1" x14ac:dyDescent="0.25">
      <c r="A131" s="4"/>
      <c r="B131" s="4"/>
      <c r="C131" s="4"/>
      <c r="D131" s="4"/>
      <c r="E131" s="4"/>
    </row>
    <row r="132" spans="1:5" ht="15.75" customHeight="1" x14ac:dyDescent="0.25">
      <c r="A132" s="4"/>
      <c r="B132" s="4"/>
      <c r="C132" s="4"/>
      <c r="D132" s="4"/>
      <c r="E132" s="4"/>
    </row>
    <row r="133" spans="1:5" ht="15.75" customHeight="1" x14ac:dyDescent="0.25">
      <c r="A133" s="4"/>
      <c r="B133" s="4"/>
      <c r="C133" s="4"/>
      <c r="D133" s="4"/>
      <c r="E133" s="4"/>
    </row>
    <row r="134" spans="1:5" ht="15.75" customHeight="1" x14ac:dyDescent="0.25">
      <c r="A134" s="4"/>
      <c r="B134" s="4"/>
      <c r="C134" s="4"/>
      <c r="D134" s="4"/>
      <c r="E134" s="4"/>
    </row>
    <row r="135" spans="1:5" ht="15.75" customHeight="1" x14ac:dyDescent="0.25">
      <c r="A135" s="4"/>
      <c r="B135" s="4"/>
      <c r="C135" s="4"/>
      <c r="D135" s="4"/>
      <c r="E135" s="4"/>
    </row>
    <row r="136" spans="1:5" ht="15.75" customHeight="1" x14ac:dyDescent="0.25">
      <c r="A136" s="4"/>
      <c r="B136" s="4"/>
      <c r="C136" s="4"/>
      <c r="D136" s="4"/>
      <c r="E136" s="4"/>
    </row>
    <row r="137" spans="1:5" ht="15.75" customHeight="1" x14ac:dyDescent="0.25">
      <c r="A137" s="4"/>
      <c r="B137" s="4"/>
      <c r="C137" s="4"/>
      <c r="D137" s="4"/>
      <c r="E137" s="4"/>
    </row>
    <row r="138" spans="1:5" ht="15.75" customHeight="1" x14ac:dyDescent="0.25">
      <c r="A138" s="4"/>
      <c r="B138" s="4"/>
      <c r="C138" s="4"/>
      <c r="D138" s="4"/>
      <c r="E138" s="4"/>
    </row>
    <row r="139" spans="1:5" ht="15.75" customHeight="1" x14ac:dyDescent="0.25">
      <c r="A139" s="4"/>
      <c r="B139" s="4"/>
      <c r="C139" s="4"/>
      <c r="D139" s="4"/>
      <c r="E139" s="4"/>
    </row>
    <row r="140" spans="1:5" ht="15.75" customHeight="1" x14ac:dyDescent="0.25">
      <c r="A140" s="4"/>
      <c r="B140" s="4"/>
      <c r="C140" s="4"/>
      <c r="D140" s="4"/>
      <c r="E140" s="4"/>
    </row>
    <row r="141" spans="1:5" ht="15.75" customHeight="1" x14ac:dyDescent="0.25">
      <c r="A141" s="4"/>
      <c r="B141" s="4"/>
      <c r="C141" s="4"/>
      <c r="D141" s="4"/>
      <c r="E141" s="4"/>
    </row>
    <row r="142" spans="1:5" ht="15.75" customHeight="1" x14ac:dyDescent="0.25">
      <c r="A142" s="4"/>
      <c r="B142" s="4"/>
      <c r="C142" s="4"/>
      <c r="D142" s="4"/>
      <c r="E142" s="4"/>
    </row>
    <row r="143" spans="1:5" ht="15.75" customHeight="1" x14ac:dyDescent="0.25">
      <c r="A143" s="4"/>
      <c r="B143" s="4"/>
      <c r="C143" s="4"/>
      <c r="D143" s="4"/>
      <c r="E143" s="4"/>
    </row>
    <row r="144" spans="1:5" ht="15.75" customHeight="1" x14ac:dyDescent="0.25">
      <c r="A144" s="4"/>
      <c r="B144" s="4"/>
      <c r="C144" s="4"/>
      <c r="D144" s="4"/>
      <c r="E144" s="4"/>
    </row>
    <row r="145" spans="1:5" ht="15.75" customHeight="1" x14ac:dyDescent="0.25">
      <c r="A145" s="4"/>
      <c r="B145" s="4"/>
      <c r="C145" s="4"/>
      <c r="D145" s="4"/>
      <c r="E145" s="4"/>
    </row>
    <row r="146" spans="1:5" ht="15.75" customHeight="1" x14ac:dyDescent="0.25">
      <c r="A146" s="4"/>
      <c r="B146" s="4"/>
      <c r="C146" s="4"/>
      <c r="D146" s="4"/>
      <c r="E146" s="4"/>
    </row>
    <row r="147" spans="1:5" ht="15.75" customHeight="1" x14ac:dyDescent="0.25">
      <c r="A147" s="4"/>
      <c r="B147" s="4"/>
      <c r="C147" s="4"/>
      <c r="D147" s="4"/>
      <c r="E147" s="4"/>
    </row>
    <row r="148" spans="1:5" ht="15.75" customHeight="1" x14ac:dyDescent="0.25">
      <c r="A148" s="4"/>
      <c r="B148" s="4"/>
      <c r="C148" s="4"/>
      <c r="D148" s="4"/>
      <c r="E148" s="4"/>
    </row>
    <row r="149" spans="1:5" ht="15.75" customHeight="1" x14ac:dyDescent="0.25">
      <c r="A149" s="4"/>
      <c r="B149" s="4"/>
      <c r="C149" s="4"/>
      <c r="D149" s="4"/>
      <c r="E149" s="4"/>
    </row>
    <row r="150" spans="1:5" ht="15.75" customHeight="1" x14ac:dyDescent="0.25">
      <c r="A150" s="4"/>
      <c r="B150" s="4"/>
      <c r="C150" s="4"/>
      <c r="D150" s="4"/>
      <c r="E150" s="4"/>
    </row>
    <row r="151" spans="1:5" ht="15.75" customHeight="1" x14ac:dyDescent="0.25">
      <c r="A151" s="4"/>
      <c r="B151" s="4"/>
      <c r="C151" s="4"/>
      <c r="D151" s="4"/>
      <c r="E151" s="4"/>
    </row>
    <row r="152" spans="1:5" ht="15.75" customHeight="1" x14ac:dyDescent="0.25">
      <c r="A152" s="4"/>
      <c r="B152" s="4"/>
      <c r="C152" s="4"/>
      <c r="D152" s="4"/>
      <c r="E152" s="4"/>
    </row>
    <row r="153" spans="1:5" ht="15.75" customHeight="1" x14ac:dyDescent="0.25">
      <c r="A153" s="4"/>
      <c r="B153" s="4"/>
      <c r="C153" s="4"/>
      <c r="D153" s="4"/>
      <c r="E153" s="4"/>
    </row>
    <row r="154" spans="1:5" ht="15.75" customHeight="1" x14ac:dyDescent="0.25">
      <c r="A154" s="4"/>
      <c r="B154" s="4"/>
      <c r="C154" s="4"/>
      <c r="D154" s="4"/>
      <c r="E154" s="4"/>
    </row>
    <row r="155" spans="1:5" ht="15.75" customHeight="1" x14ac:dyDescent="0.25">
      <c r="A155" s="4"/>
      <c r="B155" s="4"/>
      <c r="C155" s="4"/>
      <c r="D155" s="4"/>
      <c r="E155" s="4"/>
    </row>
    <row r="156" spans="1:5" ht="15.75" customHeight="1" x14ac:dyDescent="0.25">
      <c r="A156" s="4"/>
      <c r="B156" s="4"/>
      <c r="C156" s="4"/>
      <c r="D156" s="4"/>
      <c r="E156" s="4"/>
    </row>
    <row r="157" spans="1:5" ht="15.75" customHeight="1" x14ac:dyDescent="0.25">
      <c r="A157" s="4"/>
      <c r="B157" s="4"/>
      <c r="C157" s="4"/>
      <c r="D157" s="4"/>
      <c r="E157" s="4"/>
    </row>
    <row r="158" spans="1:5" ht="15.75" customHeight="1" x14ac:dyDescent="0.25">
      <c r="A158" s="4"/>
      <c r="B158" s="4"/>
      <c r="C158" s="4"/>
      <c r="D158" s="4"/>
      <c r="E158" s="4"/>
    </row>
    <row r="159" spans="1:5" ht="15.75" customHeight="1" x14ac:dyDescent="0.25">
      <c r="A159" s="4"/>
      <c r="B159" s="4"/>
      <c r="C159" s="4"/>
      <c r="D159" s="4"/>
      <c r="E159" s="4"/>
    </row>
    <row r="160" spans="1:5" ht="15.75" customHeight="1" x14ac:dyDescent="0.25">
      <c r="A160" s="4"/>
      <c r="B160" s="4"/>
      <c r="C160" s="4"/>
      <c r="D160" s="4"/>
      <c r="E160" s="4"/>
    </row>
    <row r="161" spans="1:5" ht="15.75" customHeight="1" x14ac:dyDescent="0.25">
      <c r="A161" s="4"/>
      <c r="B161" s="4"/>
      <c r="C161" s="4"/>
      <c r="D161" s="4"/>
      <c r="E161" s="4"/>
    </row>
    <row r="162" spans="1:5" ht="15.75" customHeight="1" x14ac:dyDescent="0.25">
      <c r="A162" s="4"/>
      <c r="B162" s="4"/>
      <c r="C162" s="4"/>
      <c r="D162" s="4"/>
      <c r="E162" s="4"/>
    </row>
    <row r="163" spans="1:5" ht="15.75" customHeight="1" x14ac:dyDescent="0.25">
      <c r="A163" s="4"/>
      <c r="B163" s="4"/>
      <c r="C163" s="4"/>
      <c r="D163" s="4"/>
      <c r="E163" s="4"/>
    </row>
    <row r="164" spans="1:5" ht="15.75" customHeight="1" x14ac:dyDescent="0.25">
      <c r="A164" s="4"/>
      <c r="B164" s="4"/>
      <c r="C164" s="4"/>
      <c r="D164" s="4"/>
      <c r="E164" s="4"/>
    </row>
    <row r="165" spans="1:5" ht="15.75" customHeight="1" x14ac:dyDescent="0.25">
      <c r="A165" s="4"/>
      <c r="B165" s="4"/>
      <c r="C165" s="4"/>
      <c r="D165" s="4"/>
      <c r="E165" s="4"/>
    </row>
    <row r="166" spans="1:5" ht="15.75" customHeight="1" x14ac:dyDescent="0.25">
      <c r="A166" s="4"/>
      <c r="B166" s="4"/>
      <c r="C166" s="4"/>
      <c r="D166" s="4"/>
      <c r="E166" s="4"/>
    </row>
    <row r="167" spans="1:5" ht="15.75" customHeight="1" x14ac:dyDescent="0.25">
      <c r="A167" s="4"/>
      <c r="B167" s="4"/>
      <c r="C167" s="4"/>
      <c r="D167" s="4"/>
      <c r="E167" s="4"/>
    </row>
    <row r="168" spans="1:5" ht="15.75" customHeight="1" x14ac:dyDescent="0.25">
      <c r="A168" s="4"/>
      <c r="B168" s="4"/>
      <c r="C168" s="4"/>
      <c r="D168" s="4"/>
      <c r="E168" s="4"/>
    </row>
    <row r="169" spans="1:5" ht="15.75" customHeight="1" x14ac:dyDescent="0.25">
      <c r="A169" s="4"/>
      <c r="B169" s="4"/>
      <c r="C169" s="4"/>
      <c r="D169" s="4"/>
      <c r="E169" s="4"/>
    </row>
    <row r="170" spans="1:5" ht="15.75" customHeight="1" x14ac:dyDescent="0.25">
      <c r="A170" s="4"/>
      <c r="B170" s="4"/>
      <c r="C170" s="4"/>
      <c r="D170" s="4"/>
      <c r="E170" s="4"/>
    </row>
    <row r="171" spans="1:5" ht="15.75" customHeight="1" x14ac:dyDescent="0.25">
      <c r="A171" s="4"/>
      <c r="B171" s="4"/>
      <c r="C171" s="4"/>
      <c r="D171" s="4"/>
      <c r="E171" s="4"/>
    </row>
    <row r="172" spans="1:5" ht="15.75" customHeight="1" x14ac:dyDescent="0.25">
      <c r="A172" s="4"/>
      <c r="B172" s="4"/>
      <c r="C172" s="4"/>
      <c r="D172" s="4"/>
      <c r="E172" s="4"/>
    </row>
    <row r="173" spans="1:5" ht="15.75" customHeight="1" x14ac:dyDescent="0.25">
      <c r="A173" s="4"/>
      <c r="B173" s="4"/>
      <c r="C173" s="4"/>
      <c r="D173" s="4"/>
      <c r="E173" s="4"/>
    </row>
    <row r="174" spans="1:5" ht="15.75" customHeight="1" x14ac:dyDescent="0.25">
      <c r="A174" s="4"/>
      <c r="B174" s="4"/>
      <c r="C174" s="4"/>
      <c r="D174" s="4"/>
      <c r="E174" s="4"/>
    </row>
    <row r="175" spans="1:5" ht="15.75" customHeight="1" x14ac:dyDescent="0.25">
      <c r="A175" s="4"/>
      <c r="B175" s="4"/>
      <c r="C175" s="4"/>
      <c r="D175" s="4"/>
      <c r="E175" s="4"/>
    </row>
    <row r="176" spans="1:5" ht="15.75" customHeight="1" x14ac:dyDescent="0.25">
      <c r="A176" s="4"/>
      <c r="B176" s="4"/>
      <c r="C176" s="4"/>
      <c r="D176" s="4"/>
      <c r="E176" s="4"/>
    </row>
    <row r="177" spans="1:5" ht="15.75" customHeight="1" x14ac:dyDescent="0.25">
      <c r="A177" s="4"/>
      <c r="B177" s="4"/>
      <c r="C177" s="4"/>
      <c r="D177" s="4"/>
      <c r="E177" s="4"/>
    </row>
    <row r="178" spans="1:5" ht="15.75" customHeight="1" x14ac:dyDescent="0.25">
      <c r="A178" s="4"/>
      <c r="B178" s="4"/>
      <c r="C178" s="4"/>
      <c r="D178" s="4"/>
      <c r="E178" s="4"/>
    </row>
    <row r="179" spans="1:5" ht="15.75" customHeight="1" x14ac:dyDescent="0.25">
      <c r="A179" s="4"/>
      <c r="B179" s="4"/>
      <c r="C179" s="4"/>
      <c r="D179" s="4"/>
      <c r="E179" s="4"/>
    </row>
    <row r="180" spans="1:5" ht="15.75" customHeight="1" x14ac:dyDescent="0.25">
      <c r="A180" s="4"/>
      <c r="B180" s="4"/>
      <c r="C180" s="4"/>
      <c r="D180" s="4"/>
      <c r="E180" s="4"/>
    </row>
    <row r="181" spans="1:5" ht="15.75" customHeight="1" x14ac:dyDescent="0.25">
      <c r="A181" s="4"/>
      <c r="B181" s="4"/>
      <c r="C181" s="4"/>
      <c r="D181" s="4"/>
      <c r="E181" s="4"/>
    </row>
    <row r="182" spans="1:5" ht="15.75" customHeight="1" x14ac:dyDescent="0.25">
      <c r="A182" s="4"/>
      <c r="B182" s="4"/>
      <c r="C182" s="4"/>
      <c r="D182" s="4"/>
      <c r="E182" s="4"/>
    </row>
    <row r="183" spans="1:5" ht="15.75" customHeight="1" x14ac:dyDescent="0.25">
      <c r="A183" s="4"/>
      <c r="B183" s="4"/>
      <c r="C183" s="4"/>
      <c r="D183" s="4"/>
      <c r="E183" s="4"/>
    </row>
    <row r="184" spans="1:5" ht="15.75" customHeight="1" x14ac:dyDescent="0.25">
      <c r="A184" s="4"/>
      <c r="B184" s="4"/>
      <c r="C184" s="4"/>
      <c r="D184" s="4"/>
      <c r="E184" s="4"/>
    </row>
    <row r="185" spans="1:5" ht="15.75" customHeight="1" x14ac:dyDescent="0.25">
      <c r="A185" s="4"/>
      <c r="B185" s="4"/>
      <c r="C185" s="4"/>
      <c r="D185" s="4"/>
      <c r="E185" s="4"/>
    </row>
    <row r="186" spans="1:5" ht="15.75" customHeight="1" x14ac:dyDescent="0.25">
      <c r="A186" s="4"/>
      <c r="B186" s="4"/>
      <c r="C186" s="4"/>
      <c r="D186" s="4"/>
      <c r="E186" s="4"/>
    </row>
    <row r="187" spans="1:5" ht="15.75" customHeight="1" x14ac:dyDescent="0.25">
      <c r="A187" s="4"/>
      <c r="B187" s="4"/>
      <c r="C187" s="4"/>
      <c r="D187" s="4"/>
      <c r="E187" s="4"/>
    </row>
    <row r="188" spans="1:5" ht="15.75" customHeight="1" x14ac:dyDescent="0.25">
      <c r="A188" s="4"/>
      <c r="B188" s="4"/>
      <c r="C188" s="4"/>
      <c r="D188" s="4"/>
      <c r="E188" s="4"/>
    </row>
    <row r="189" spans="1:5" ht="15.75" customHeight="1" x14ac:dyDescent="0.25">
      <c r="A189" s="4"/>
      <c r="B189" s="4"/>
      <c r="C189" s="4"/>
      <c r="D189" s="4"/>
      <c r="E189" s="4"/>
    </row>
    <row r="190" spans="1:5" ht="15.75" customHeight="1" x14ac:dyDescent="0.25">
      <c r="A190" s="4"/>
      <c r="B190" s="4"/>
      <c r="C190" s="4"/>
      <c r="D190" s="4"/>
      <c r="E190" s="4"/>
    </row>
    <row r="191" spans="1:5" ht="15.75" customHeight="1" x14ac:dyDescent="0.25">
      <c r="A191" s="4"/>
      <c r="B191" s="4"/>
      <c r="C191" s="4"/>
      <c r="D191" s="4"/>
      <c r="E191" s="4"/>
    </row>
    <row r="192" spans="1:5" ht="15.75" customHeight="1" x14ac:dyDescent="0.25">
      <c r="A192" s="4"/>
      <c r="B192" s="4"/>
      <c r="C192" s="4"/>
      <c r="D192" s="4"/>
      <c r="E192" s="4"/>
    </row>
    <row r="193" spans="1:5" ht="15.75" customHeight="1" x14ac:dyDescent="0.25">
      <c r="A193" s="4"/>
      <c r="B193" s="4"/>
      <c r="C193" s="4"/>
      <c r="D193" s="4"/>
      <c r="E193" s="4"/>
    </row>
    <row r="194" spans="1:5" ht="15.75" customHeight="1" x14ac:dyDescent="0.25">
      <c r="A194" s="4"/>
      <c r="B194" s="4"/>
      <c r="C194" s="4"/>
      <c r="D194" s="4"/>
      <c r="E194" s="4"/>
    </row>
    <row r="195" spans="1:5" ht="15.75" customHeight="1" x14ac:dyDescent="0.25">
      <c r="A195" s="4"/>
      <c r="B195" s="4"/>
      <c r="C195" s="4"/>
      <c r="D195" s="4"/>
      <c r="E195" s="4"/>
    </row>
    <row r="196" spans="1:5" ht="15.75" customHeight="1" x14ac:dyDescent="0.25">
      <c r="A196" s="4"/>
      <c r="B196" s="4"/>
      <c r="C196" s="4"/>
      <c r="D196" s="4"/>
      <c r="E196" s="4"/>
    </row>
    <row r="197" spans="1:5" ht="15.75" customHeight="1" x14ac:dyDescent="0.25">
      <c r="A197" s="4"/>
      <c r="B197" s="4"/>
      <c r="C197" s="4"/>
      <c r="D197" s="4"/>
      <c r="E197" s="4"/>
    </row>
    <row r="198" spans="1:5" ht="15.75" customHeight="1" x14ac:dyDescent="0.25">
      <c r="A198" s="4"/>
      <c r="B198" s="4"/>
      <c r="C198" s="4"/>
      <c r="D198" s="4"/>
      <c r="E198" s="4"/>
    </row>
    <row r="199" spans="1:5" ht="15.75" customHeight="1" x14ac:dyDescent="0.25">
      <c r="A199" s="4"/>
      <c r="B199" s="4"/>
      <c r="C199" s="4"/>
      <c r="D199" s="4"/>
      <c r="E199" s="4"/>
    </row>
    <row r="200" spans="1:5" ht="15.75" customHeight="1" x14ac:dyDescent="0.25">
      <c r="A200" s="4"/>
      <c r="B200" s="4"/>
      <c r="C200" s="4"/>
      <c r="D200" s="4"/>
      <c r="E200" s="4"/>
    </row>
    <row r="201" spans="1:5" ht="15.75" customHeight="1" x14ac:dyDescent="0.25">
      <c r="A201" s="4"/>
      <c r="B201" s="4"/>
      <c r="C201" s="4"/>
      <c r="D201" s="4"/>
      <c r="E201" s="4"/>
    </row>
    <row r="202" spans="1:5" ht="15.75" customHeight="1" x14ac:dyDescent="0.25">
      <c r="A202" s="4"/>
      <c r="B202" s="4"/>
      <c r="C202" s="4"/>
      <c r="D202" s="4"/>
      <c r="E202" s="4"/>
    </row>
    <row r="203" spans="1:5" ht="15.75" customHeight="1" x14ac:dyDescent="0.25">
      <c r="A203" s="4"/>
      <c r="B203" s="4"/>
      <c r="C203" s="4"/>
      <c r="D203" s="4"/>
      <c r="E203" s="4"/>
    </row>
    <row r="204" spans="1:5" ht="15.75" customHeight="1" x14ac:dyDescent="0.25">
      <c r="A204" s="4"/>
      <c r="B204" s="4"/>
      <c r="C204" s="4"/>
      <c r="D204" s="4"/>
      <c r="E204" s="4"/>
    </row>
    <row r="205" spans="1:5" ht="15.75" customHeight="1" x14ac:dyDescent="0.25">
      <c r="A205" s="4"/>
      <c r="B205" s="4"/>
      <c r="C205" s="4"/>
      <c r="D205" s="4"/>
      <c r="E205" s="4"/>
    </row>
    <row r="206" spans="1:5" ht="15.75" customHeight="1" x14ac:dyDescent="0.25">
      <c r="A206" s="4"/>
      <c r="B206" s="4"/>
      <c r="C206" s="4"/>
      <c r="D206" s="4"/>
      <c r="E206" s="4"/>
    </row>
    <row r="207" spans="1:5" ht="15.75" customHeight="1" x14ac:dyDescent="0.25">
      <c r="A207" s="4"/>
      <c r="B207" s="4"/>
      <c r="C207" s="4"/>
      <c r="D207" s="4"/>
      <c r="E207" s="4"/>
    </row>
    <row r="208" spans="1:5" ht="15.75" customHeight="1" x14ac:dyDescent="0.25">
      <c r="A208" s="4"/>
      <c r="B208" s="4"/>
      <c r="C208" s="4"/>
      <c r="D208" s="4"/>
      <c r="E208" s="4"/>
    </row>
    <row r="209" spans="1:5" ht="15.75" customHeight="1" x14ac:dyDescent="0.25">
      <c r="A209" s="4"/>
      <c r="B209" s="4"/>
      <c r="C209" s="4"/>
      <c r="D209" s="4"/>
      <c r="E209" s="4"/>
    </row>
    <row r="210" spans="1:5" ht="15.75" customHeight="1" x14ac:dyDescent="0.25">
      <c r="A210" s="4"/>
      <c r="B210" s="4"/>
      <c r="C210" s="4"/>
      <c r="D210" s="4"/>
      <c r="E210" s="4"/>
    </row>
    <row r="211" spans="1:5" ht="15.75" customHeight="1" x14ac:dyDescent="0.25">
      <c r="A211" s="4"/>
      <c r="B211" s="4"/>
      <c r="C211" s="4"/>
      <c r="D211" s="4"/>
      <c r="E211" s="4"/>
    </row>
    <row r="212" spans="1:5" ht="15.75" customHeight="1" x14ac:dyDescent="0.25">
      <c r="A212" s="4"/>
      <c r="B212" s="4"/>
      <c r="C212" s="4"/>
      <c r="D212" s="4"/>
      <c r="E212" s="4"/>
    </row>
    <row r="213" spans="1:5" ht="15.75" customHeight="1" x14ac:dyDescent="0.25">
      <c r="A213" s="4"/>
      <c r="B213" s="4"/>
      <c r="C213" s="4"/>
      <c r="D213" s="4"/>
      <c r="E213" s="4"/>
    </row>
    <row r="214" spans="1:5" ht="15.75" customHeight="1" x14ac:dyDescent="0.25">
      <c r="A214" s="4"/>
      <c r="B214" s="4"/>
      <c r="C214" s="4"/>
      <c r="D214" s="4"/>
      <c r="E214" s="4"/>
    </row>
    <row r="215" spans="1:5" ht="15.75" customHeight="1" x14ac:dyDescent="0.25">
      <c r="A215" s="4"/>
      <c r="B215" s="4"/>
      <c r="C215" s="4"/>
      <c r="D215" s="4"/>
      <c r="E215" s="4"/>
    </row>
    <row r="216" spans="1:5" ht="15.75" customHeight="1" x14ac:dyDescent="0.25">
      <c r="A216" s="4"/>
      <c r="B216" s="4"/>
      <c r="C216" s="4"/>
      <c r="D216" s="4"/>
      <c r="E216" s="4"/>
    </row>
    <row r="217" spans="1:5" ht="15.75" customHeight="1" x14ac:dyDescent="0.25">
      <c r="A217" s="4"/>
      <c r="B217" s="4"/>
      <c r="C217" s="4"/>
      <c r="D217" s="4"/>
      <c r="E217" s="4"/>
    </row>
    <row r="218" spans="1:5" ht="15.75" customHeight="1" x14ac:dyDescent="0.25">
      <c r="A218" s="4"/>
      <c r="B218" s="4"/>
      <c r="C218" s="4"/>
      <c r="D218" s="4"/>
      <c r="E218" s="4"/>
    </row>
    <row r="219" spans="1:5" ht="15.75" customHeight="1" x14ac:dyDescent="0.25">
      <c r="A219" s="4"/>
      <c r="B219" s="4"/>
      <c r="C219" s="4"/>
      <c r="D219" s="4"/>
      <c r="E219" s="4"/>
    </row>
    <row r="220" spans="1:5" ht="15.75" customHeight="1" x14ac:dyDescent="0.25">
      <c r="A220" s="4"/>
      <c r="B220" s="4"/>
      <c r="C220" s="4"/>
      <c r="D220" s="4"/>
      <c r="E220" s="4"/>
    </row>
    <row r="221" spans="1:5" ht="15.75" customHeight="1" x14ac:dyDescent="0.25">
      <c r="A221" s="4"/>
      <c r="B221" s="4"/>
      <c r="C221" s="4"/>
      <c r="D221" s="4"/>
      <c r="E221" s="4"/>
    </row>
    <row r="222" spans="1:5" ht="15.75" customHeight="1" x14ac:dyDescent="0.25">
      <c r="A222" s="4"/>
      <c r="B222" s="4"/>
      <c r="C222" s="4"/>
      <c r="D222" s="4"/>
      <c r="E222" s="4"/>
    </row>
    <row r="223" spans="1:5" ht="15.75" customHeight="1" x14ac:dyDescent="0.25">
      <c r="A223" s="4"/>
      <c r="B223" s="4"/>
      <c r="C223" s="4"/>
      <c r="D223" s="4"/>
      <c r="E223" s="4"/>
    </row>
    <row r="224" spans="1:5" ht="15.75" customHeight="1" x14ac:dyDescent="0.25">
      <c r="A224" s="4"/>
      <c r="B224" s="4"/>
      <c r="C224" s="4"/>
      <c r="D224" s="4"/>
      <c r="E224" s="4"/>
    </row>
    <row r="225" spans="1:5" ht="15.75" customHeight="1" x14ac:dyDescent="0.25">
      <c r="A225" s="4"/>
      <c r="B225" s="4"/>
      <c r="C225" s="4"/>
      <c r="D225" s="4"/>
      <c r="E225" s="4"/>
    </row>
    <row r="226" spans="1:5" ht="15.75" customHeight="1" x14ac:dyDescent="0.25">
      <c r="A226" s="4"/>
      <c r="B226" s="4"/>
      <c r="C226" s="4"/>
      <c r="D226" s="4"/>
      <c r="E226" s="4"/>
    </row>
    <row r="227" spans="1:5" ht="15.75" customHeight="1" x14ac:dyDescent="0.25">
      <c r="A227" s="4"/>
      <c r="B227" s="4"/>
      <c r="C227" s="4"/>
      <c r="D227" s="4"/>
      <c r="E227" s="4"/>
    </row>
    <row r="228" spans="1:5" ht="15.75" customHeight="1" x14ac:dyDescent="0.25">
      <c r="A228" s="4"/>
      <c r="B228" s="4"/>
      <c r="C228" s="4"/>
      <c r="D228" s="4"/>
      <c r="E228" s="4"/>
    </row>
    <row r="229" spans="1:5" ht="15.75" customHeight="1" x14ac:dyDescent="0.25">
      <c r="A229" s="4"/>
      <c r="B229" s="4"/>
      <c r="C229" s="4"/>
      <c r="D229" s="4"/>
      <c r="E229" s="4"/>
    </row>
    <row r="230" spans="1:5" ht="15.75" customHeight="1" x14ac:dyDescent="0.25">
      <c r="A230" s="4"/>
      <c r="B230" s="4"/>
      <c r="C230" s="4"/>
      <c r="D230" s="4"/>
      <c r="E230" s="4"/>
    </row>
    <row r="231" spans="1:5" ht="15.75" customHeight="1" x14ac:dyDescent="0.25">
      <c r="A231" s="4"/>
      <c r="B231" s="4"/>
      <c r="C231" s="4"/>
      <c r="D231" s="4"/>
      <c r="E231" s="4"/>
    </row>
    <row r="232" spans="1:5" ht="15.75" customHeight="1" x14ac:dyDescent="0.25">
      <c r="A232" s="4"/>
      <c r="B232" s="4"/>
      <c r="C232" s="4"/>
      <c r="D232" s="4"/>
      <c r="E232" s="4"/>
    </row>
    <row r="233" spans="1:5" ht="15.75" customHeight="1" x14ac:dyDescent="0.25">
      <c r="A233" s="4"/>
      <c r="B233" s="4"/>
      <c r="C233" s="4"/>
      <c r="D233" s="4"/>
      <c r="E233" s="4"/>
    </row>
    <row r="234" spans="1:5" ht="15.75" customHeight="1" x14ac:dyDescent="0.25">
      <c r="A234" s="4"/>
      <c r="B234" s="4"/>
      <c r="C234" s="4"/>
      <c r="D234" s="4"/>
      <c r="E234" s="4"/>
    </row>
    <row r="235" spans="1:5" ht="15.75" customHeight="1" x14ac:dyDescent="0.25">
      <c r="A235" s="4"/>
      <c r="B235" s="4"/>
      <c r="C235" s="4"/>
      <c r="D235" s="4"/>
      <c r="E235" s="4"/>
    </row>
    <row r="236" spans="1:5" ht="15.75" customHeight="1" x14ac:dyDescent="0.25">
      <c r="A236" s="4"/>
      <c r="B236" s="4"/>
      <c r="C236" s="4"/>
      <c r="D236" s="4"/>
      <c r="E236" s="4"/>
    </row>
    <row r="237" spans="1:5" ht="15.75" customHeight="1" x14ac:dyDescent="0.25">
      <c r="A237" s="4"/>
      <c r="B237" s="4"/>
      <c r="C237" s="4"/>
      <c r="D237" s="4"/>
      <c r="E237" s="4"/>
    </row>
    <row r="238" spans="1:5" ht="15.75" customHeight="1" x14ac:dyDescent="0.25">
      <c r="A238" s="4"/>
      <c r="B238" s="4"/>
      <c r="C238" s="4"/>
      <c r="D238" s="4"/>
      <c r="E238" s="4"/>
    </row>
    <row r="239" spans="1:5" ht="15.75" customHeight="1" x14ac:dyDescent="0.25">
      <c r="A239" s="4"/>
      <c r="B239" s="4"/>
      <c r="C239" s="4"/>
      <c r="D239" s="4"/>
      <c r="E239" s="4"/>
    </row>
    <row r="240" spans="1:5" ht="15.75" customHeight="1" x14ac:dyDescent="0.25">
      <c r="A240" s="4"/>
      <c r="B240" s="4"/>
      <c r="C240" s="4"/>
      <c r="D240" s="4"/>
      <c r="E240" s="4"/>
    </row>
    <row r="241" spans="1:5" ht="15.75" customHeight="1" x14ac:dyDescent="0.25">
      <c r="A241" s="4"/>
      <c r="B241" s="4"/>
      <c r="C241" s="4"/>
      <c r="D241" s="4"/>
      <c r="E241" s="4"/>
    </row>
    <row r="242" spans="1:5" ht="15.75" customHeight="1" x14ac:dyDescent="0.25">
      <c r="A242" s="4"/>
      <c r="B242" s="4"/>
      <c r="C242" s="4"/>
      <c r="D242" s="4"/>
      <c r="E242" s="4"/>
    </row>
    <row r="243" spans="1:5" ht="15.75" customHeight="1" x14ac:dyDescent="0.25">
      <c r="A243" s="4"/>
      <c r="B243" s="4"/>
      <c r="C243" s="4"/>
      <c r="D243" s="4"/>
      <c r="E243" s="4"/>
    </row>
    <row r="244" spans="1:5" ht="15.75" customHeight="1" x14ac:dyDescent="0.25">
      <c r="A244" s="4"/>
      <c r="B244" s="4"/>
      <c r="C244" s="4"/>
      <c r="D244" s="4"/>
      <c r="E244" s="4"/>
    </row>
    <row r="245" spans="1:5" ht="15.75" customHeight="1" x14ac:dyDescent="0.25">
      <c r="A245" s="4"/>
      <c r="B245" s="4"/>
      <c r="C245" s="4"/>
      <c r="D245" s="4"/>
      <c r="E245" s="4"/>
    </row>
    <row r="246" spans="1:5" ht="15.75" customHeight="1" x14ac:dyDescent="0.25">
      <c r="A246" s="4"/>
      <c r="B246" s="4"/>
      <c r="C246" s="4"/>
      <c r="D246" s="4"/>
      <c r="E246" s="4"/>
    </row>
    <row r="247" spans="1:5" ht="15.75" customHeight="1" x14ac:dyDescent="0.25">
      <c r="A247" s="4"/>
      <c r="B247" s="4"/>
      <c r="C247" s="4"/>
      <c r="D247" s="4"/>
      <c r="E247" s="4"/>
    </row>
    <row r="248" spans="1:5" ht="15.75" customHeight="1" x14ac:dyDescent="0.25">
      <c r="A248" s="4"/>
      <c r="B248" s="4"/>
      <c r="C248" s="4"/>
      <c r="D248" s="4"/>
      <c r="E248" s="4"/>
    </row>
    <row r="249" spans="1:5" ht="15.75" customHeight="1" x14ac:dyDescent="0.25">
      <c r="A249" s="4"/>
      <c r="B249" s="4"/>
      <c r="C249" s="4"/>
      <c r="D249" s="4"/>
      <c r="E249" s="4"/>
    </row>
    <row r="250" spans="1:5" ht="15.75" customHeight="1" x14ac:dyDescent="0.25">
      <c r="A250" s="4"/>
      <c r="B250" s="4"/>
      <c r="C250" s="4"/>
      <c r="D250" s="4"/>
      <c r="E250" s="4"/>
    </row>
    <row r="251" spans="1:5" ht="15.75" customHeight="1" x14ac:dyDescent="0.25">
      <c r="A251" s="4"/>
      <c r="B251" s="4"/>
      <c r="C251" s="4"/>
      <c r="D251" s="4"/>
      <c r="E251" s="4"/>
    </row>
    <row r="252" spans="1:5" ht="15.75" customHeight="1" x14ac:dyDescent="0.25">
      <c r="A252" s="4"/>
      <c r="B252" s="4"/>
      <c r="C252" s="4"/>
      <c r="D252" s="4"/>
      <c r="E252" s="4"/>
    </row>
    <row r="253" spans="1:5" ht="15.75" customHeight="1" x14ac:dyDescent="0.25">
      <c r="A253" s="4"/>
      <c r="B253" s="4"/>
      <c r="C253" s="4"/>
      <c r="D253" s="4"/>
      <c r="E253" s="4"/>
    </row>
    <row r="254" spans="1:5" ht="15.75" customHeight="1" x14ac:dyDescent="0.25">
      <c r="A254" s="4"/>
      <c r="B254" s="4"/>
      <c r="C254" s="4"/>
      <c r="D254" s="4"/>
      <c r="E254" s="4"/>
    </row>
    <row r="255" spans="1:5" ht="15.75" customHeight="1" x14ac:dyDescent="0.25">
      <c r="A255" s="4"/>
      <c r="B255" s="4"/>
      <c r="C255" s="4"/>
      <c r="D255" s="4"/>
      <c r="E255" s="4"/>
    </row>
    <row r="256" spans="1:5" ht="15.75" customHeight="1" x14ac:dyDescent="0.25">
      <c r="A256" s="4"/>
      <c r="B256" s="4"/>
      <c r="C256" s="4"/>
      <c r="D256" s="4"/>
      <c r="E256" s="4"/>
    </row>
    <row r="257" spans="1:5" ht="15.75" customHeight="1" x14ac:dyDescent="0.25">
      <c r="A257" s="4"/>
      <c r="B257" s="4"/>
      <c r="C257" s="4"/>
      <c r="D257" s="4"/>
      <c r="E257" s="4"/>
    </row>
    <row r="258" spans="1:5" ht="15.75" customHeight="1" x14ac:dyDescent="0.25">
      <c r="A258" s="4"/>
      <c r="B258" s="4"/>
      <c r="C258" s="4"/>
      <c r="D258" s="4"/>
      <c r="E258" s="4"/>
    </row>
    <row r="259" spans="1:5" ht="15.75" customHeight="1" x14ac:dyDescent="0.25">
      <c r="A259" s="4"/>
      <c r="B259" s="4"/>
      <c r="C259" s="4"/>
      <c r="D259" s="4"/>
      <c r="E259" s="4"/>
    </row>
    <row r="260" spans="1:5" ht="15.75" customHeight="1" x14ac:dyDescent="0.25">
      <c r="A260" s="4"/>
      <c r="B260" s="4"/>
      <c r="C260" s="4"/>
      <c r="D260" s="4"/>
      <c r="E260" s="4"/>
    </row>
    <row r="261" spans="1:5" ht="15.75" customHeight="1" x14ac:dyDescent="0.25">
      <c r="A261" s="4"/>
      <c r="B261" s="4"/>
      <c r="C261" s="4"/>
      <c r="D261" s="4"/>
      <c r="E261" s="4"/>
    </row>
    <row r="262" spans="1:5" ht="15.75" customHeight="1" x14ac:dyDescent="0.25">
      <c r="A262" s="4"/>
      <c r="B262" s="4"/>
      <c r="C262" s="4"/>
      <c r="D262" s="4"/>
      <c r="E262" s="4"/>
    </row>
    <row r="263" spans="1:5" ht="15.75" customHeight="1" x14ac:dyDescent="0.25">
      <c r="A263" s="4"/>
      <c r="B263" s="4"/>
      <c r="C263" s="4"/>
      <c r="D263" s="4"/>
      <c r="E263" s="4"/>
    </row>
    <row r="264" spans="1:5" ht="15.75" customHeight="1" x14ac:dyDescent="0.25">
      <c r="A264" s="4"/>
      <c r="B264" s="4"/>
      <c r="C264" s="4"/>
      <c r="D264" s="4"/>
      <c r="E264" s="4"/>
    </row>
    <row r="265" spans="1:5" ht="15.75" customHeight="1" x14ac:dyDescent="0.25">
      <c r="A265" s="4"/>
      <c r="B265" s="4"/>
      <c r="C265" s="4"/>
      <c r="D265" s="4"/>
      <c r="E265" s="4"/>
    </row>
    <row r="266" spans="1:5" ht="15.75" customHeight="1" x14ac:dyDescent="0.25">
      <c r="A266" s="4"/>
      <c r="B266" s="4"/>
      <c r="C266" s="4"/>
      <c r="D266" s="4"/>
      <c r="E266" s="4"/>
    </row>
    <row r="267" spans="1:5" ht="15.75" customHeight="1" x14ac:dyDescent="0.25">
      <c r="A267" s="4"/>
      <c r="B267" s="4"/>
      <c r="C267" s="4"/>
      <c r="D267" s="4"/>
      <c r="E267" s="4"/>
    </row>
    <row r="268" spans="1:5" ht="15.75" customHeight="1" x14ac:dyDescent="0.25">
      <c r="A268" s="4"/>
      <c r="B268" s="4"/>
      <c r="C268" s="4"/>
      <c r="D268" s="4"/>
      <c r="E268" s="4"/>
    </row>
    <row r="269" spans="1:5" ht="15.75" customHeight="1" x14ac:dyDescent="0.25">
      <c r="A269" s="4"/>
      <c r="B269" s="4"/>
      <c r="C269" s="4"/>
      <c r="D269" s="4"/>
      <c r="E269" s="4"/>
    </row>
    <row r="270" spans="1:5" ht="15.75" customHeight="1" x14ac:dyDescent="0.25">
      <c r="A270" s="4"/>
      <c r="B270" s="4"/>
      <c r="C270" s="4"/>
      <c r="D270" s="4"/>
      <c r="E270" s="4"/>
    </row>
    <row r="271" spans="1:5" ht="15.75" customHeight="1" x14ac:dyDescent="0.25">
      <c r="A271" s="4"/>
      <c r="B271" s="4"/>
      <c r="C271" s="4"/>
      <c r="D271" s="4"/>
      <c r="E271" s="4"/>
    </row>
    <row r="272" spans="1:5" ht="15.75" customHeight="1" x14ac:dyDescent="0.25">
      <c r="A272" s="4"/>
      <c r="B272" s="4"/>
      <c r="C272" s="4"/>
      <c r="D272" s="4"/>
      <c r="E272" s="4"/>
    </row>
    <row r="273" spans="1:5" ht="15.75" customHeight="1" x14ac:dyDescent="0.25">
      <c r="A273" s="4"/>
      <c r="B273" s="4"/>
      <c r="C273" s="4"/>
      <c r="D273" s="4"/>
      <c r="E273" s="4"/>
    </row>
    <row r="274" spans="1:5" ht="15.75" customHeight="1" x14ac:dyDescent="0.25">
      <c r="A274" s="4"/>
      <c r="B274" s="4"/>
      <c r="C274" s="4"/>
      <c r="D274" s="4"/>
      <c r="E274" s="4"/>
    </row>
    <row r="275" spans="1:5" ht="15.75" customHeight="1" x14ac:dyDescent="0.25">
      <c r="A275" s="4"/>
      <c r="B275" s="4"/>
      <c r="C275" s="4"/>
      <c r="D275" s="4"/>
      <c r="E275" s="4"/>
    </row>
    <row r="276" spans="1:5" ht="15.75" customHeight="1" x14ac:dyDescent="0.25">
      <c r="A276" s="4"/>
      <c r="B276" s="4"/>
      <c r="C276" s="4"/>
      <c r="D276" s="4"/>
      <c r="E276" s="4"/>
    </row>
    <row r="277" spans="1:5" ht="15.75" customHeight="1" x14ac:dyDescent="0.25">
      <c r="A277" s="4"/>
      <c r="B277" s="4"/>
      <c r="C277" s="4"/>
      <c r="D277" s="4"/>
      <c r="E277" s="4"/>
    </row>
    <row r="278" spans="1:5" ht="15.75" customHeight="1" x14ac:dyDescent="0.25">
      <c r="A278" s="4"/>
      <c r="B278" s="4"/>
      <c r="C278" s="4"/>
      <c r="D278" s="4"/>
      <c r="E278" s="4"/>
    </row>
    <row r="279" spans="1:5" ht="15.75" customHeight="1" x14ac:dyDescent="0.25">
      <c r="A279" s="4"/>
      <c r="B279" s="4"/>
      <c r="C279" s="4"/>
      <c r="D279" s="4"/>
      <c r="E279" s="4"/>
    </row>
    <row r="280" spans="1:5" ht="15.75" customHeight="1" x14ac:dyDescent="0.25">
      <c r="A280" s="4"/>
      <c r="B280" s="4"/>
      <c r="C280" s="4"/>
      <c r="D280" s="4"/>
      <c r="E280" s="4"/>
    </row>
    <row r="281" spans="1:5" ht="15.75" customHeight="1" x14ac:dyDescent="0.25">
      <c r="A281" s="4"/>
      <c r="B281" s="4"/>
      <c r="C281" s="4"/>
      <c r="D281" s="4"/>
      <c r="E281" s="4"/>
    </row>
    <row r="282" spans="1:5" ht="15.75" customHeight="1" x14ac:dyDescent="0.25">
      <c r="A282" s="4"/>
      <c r="B282" s="4"/>
      <c r="C282" s="4"/>
      <c r="D282" s="4"/>
      <c r="E282" s="4"/>
    </row>
    <row r="283" spans="1:5" ht="15.75" customHeight="1" x14ac:dyDescent="0.25">
      <c r="A283" s="4"/>
      <c r="B283" s="4"/>
      <c r="C283" s="4"/>
      <c r="D283" s="4"/>
      <c r="E283" s="4"/>
    </row>
    <row r="284" spans="1:5" ht="15.75" customHeight="1" x14ac:dyDescent="0.25">
      <c r="A284" s="4"/>
      <c r="B284" s="4"/>
      <c r="C284" s="4"/>
      <c r="D284" s="4"/>
      <c r="E284" s="4"/>
    </row>
    <row r="285" spans="1:5" ht="15.75" customHeight="1" x14ac:dyDescent="0.25">
      <c r="A285" s="4"/>
      <c r="B285" s="4"/>
      <c r="C285" s="4"/>
      <c r="D285" s="4"/>
      <c r="E285" s="4"/>
    </row>
    <row r="286" spans="1:5" ht="15.75" customHeight="1" x14ac:dyDescent="0.25">
      <c r="A286" s="4"/>
      <c r="B286" s="4"/>
      <c r="C286" s="4"/>
      <c r="D286" s="4"/>
      <c r="E286" s="4"/>
    </row>
    <row r="287" spans="1:5" ht="15.75" customHeight="1" x14ac:dyDescent="0.25">
      <c r="A287" s="4"/>
      <c r="B287" s="4"/>
      <c r="C287" s="4"/>
      <c r="D287" s="4"/>
      <c r="E287" s="4"/>
    </row>
    <row r="288" spans="1:5" ht="15.75" customHeight="1" x14ac:dyDescent="0.25">
      <c r="A288" s="4"/>
      <c r="B288" s="4"/>
      <c r="C288" s="4"/>
      <c r="D288" s="4"/>
      <c r="E288" s="4"/>
    </row>
    <row r="289" spans="1:5" ht="15.75" customHeight="1" x14ac:dyDescent="0.25">
      <c r="A289" s="4"/>
      <c r="B289" s="4"/>
      <c r="C289" s="4"/>
      <c r="D289" s="4"/>
      <c r="E289" s="4"/>
    </row>
    <row r="290" spans="1:5" ht="15.75" customHeight="1" x14ac:dyDescent="0.25">
      <c r="A290" s="4"/>
      <c r="B290" s="4"/>
      <c r="C290" s="4"/>
      <c r="D290" s="4"/>
      <c r="E290" s="4"/>
    </row>
    <row r="291" spans="1:5" ht="15.75" customHeight="1" x14ac:dyDescent="0.25">
      <c r="A291" s="4"/>
      <c r="B291" s="4"/>
      <c r="C291" s="4"/>
      <c r="D291" s="4"/>
      <c r="E291" s="4"/>
    </row>
    <row r="292" spans="1:5" ht="15.75" customHeight="1" x14ac:dyDescent="0.25">
      <c r="A292" s="4"/>
      <c r="B292" s="4"/>
      <c r="C292" s="4"/>
      <c r="D292" s="4"/>
      <c r="E292" s="4"/>
    </row>
    <row r="293" spans="1:5" ht="15.75" customHeight="1" x14ac:dyDescent="0.25">
      <c r="A293" s="4"/>
      <c r="B293" s="4"/>
      <c r="C293" s="4"/>
      <c r="D293" s="4"/>
      <c r="E293" s="4"/>
    </row>
    <row r="294" spans="1:5" ht="15.75" customHeight="1" x14ac:dyDescent="0.25">
      <c r="A294" s="4"/>
      <c r="B294" s="4"/>
      <c r="C294" s="4"/>
      <c r="D294" s="4"/>
      <c r="E294" s="4"/>
    </row>
    <row r="295" spans="1:5" ht="15.75" customHeight="1" x14ac:dyDescent="0.25">
      <c r="A295" s="4"/>
      <c r="B295" s="4"/>
      <c r="C295" s="4"/>
      <c r="D295" s="4"/>
      <c r="E295" s="4"/>
    </row>
    <row r="296" spans="1:5" ht="15.75" customHeight="1" x14ac:dyDescent="0.25">
      <c r="A296" s="4"/>
      <c r="B296" s="4"/>
      <c r="C296" s="4"/>
      <c r="D296" s="4"/>
      <c r="E296" s="4"/>
    </row>
    <row r="297" spans="1:5" ht="15.75" customHeight="1" x14ac:dyDescent="0.25">
      <c r="A297" s="4"/>
      <c r="B297" s="4"/>
      <c r="C297" s="4"/>
      <c r="D297" s="4"/>
      <c r="E297" s="4"/>
    </row>
    <row r="298" spans="1:5" ht="15.75" customHeight="1" x14ac:dyDescent="0.25">
      <c r="A298" s="4"/>
      <c r="B298" s="4"/>
      <c r="C298" s="4"/>
      <c r="D298" s="4"/>
      <c r="E298" s="4"/>
    </row>
    <row r="299" spans="1:5" ht="15.75" customHeight="1" x14ac:dyDescent="0.25">
      <c r="A299" s="4"/>
      <c r="B299" s="4"/>
      <c r="C299" s="4"/>
      <c r="D299" s="4"/>
      <c r="E299" s="4"/>
    </row>
    <row r="300" spans="1:5" ht="15.75" customHeight="1" x14ac:dyDescent="0.25">
      <c r="A300" s="4"/>
      <c r="B300" s="4"/>
      <c r="C300" s="4"/>
      <c r="D300" s="4"/>
      <c r="E300" s="4"/>
    </row>
    <row r="301" spans="1:5" ht="15.75" customHeight="1" x14ac:dyDescent="0.25">
      <c r="A301" s="4"/>
      <c r="B301" s="4"/>
      <c r="C301" s="4"/>
      <c r="D301" s="4"/>
      <c r="E301" s="4"/>
    </row>
    <row r="302" spans="1:5" ht="15.75" customHeight="1" x14ac:dyDescent="0.25">
      <c r="A302" s="4"/>
      <c r="B302" s="4"/>
      <c r="C302" s="4"/>
      <c r="D302" s="4"/>
      <c r="E302" s="4"/>
    </row>
    <row r="303" spans="1:5" ht="15.75" customHeight="1" x14ac:dyDescent="0.25">
      <c r="A303" s="4"/>
      <c r="B303" s="4"/>
      <c r="C303" s="4"/>
      <c r="D303" s="4"/>
      <c r="E303" s="4"/>
    </row>
    <row r="304" spans="1:5" ht="15.75" customHeight="1" x14ac:dyDescent="0.25">
      <c r="A304" s="4"/>
      <c r="B304" s="4"/>
      <c r="C304" s="4"/>
      <c r="D304" s="4"/>
      <c r="E304" s="4"/>
    </row>
    <row r="305" spans="1:5" ht="15.75" customHeight="1" x14ac:dyDescent="0.25">
      <c r="A305" s="4"/>
      <c r="B305" s="4"/>
      <c r="C305" s="4"/>
      <c r="D305" s="4"/>
      <c r="E305" s="4"/>
    </row>
    <row r="306" spans="1:5" ht="15.75" customHeight="1" x14ac:dyDescent="0.25">
      <c r="A306" s="4"/>
      <c r="B306" s="4"/>
      <c r="C306" s="4"/>
      <c r="D306" s="4"/>
      <c r="E306" s="4"/>
    </row>
    <row r="307" spans="1:5" ht="15.75" customHeight="1" x14ac:dyDescent="0.25">
      <c r="A307" s="4"/>
      <c r="B307" s="4"/>
      <c r="C307" s="4"/>
      <c r="D307" s="4"/>
      <c r="E307" s="4"/>
    </row>
    <row r="308" spans="1:5" ht="15.75" customHeight="1" x14ac:dyDescent="0.25">
      <c r="A308" s="4"/>
      <c r="B308" s="4"/>
      <c r="C308" s="4"/>
      <c r="D308" s="4"/>
      <c r="E308" s="4"/>
    </row>
    <row r="309" spans="1:5" ht="15.75" customHeight="1" x14ac:dyDescent="0.25">
      <c r="A309" s="4"/>
      <c r="B309" s="4"/>
      <c r="C309" s="4"/>
      <c r="D309" s="4"/>
      <c r="E309" s="4"/>
    </row>
    <row r="310" spans="1:5" ht="15.75" customHeight="1" x14ac:dyDescent="0.25">
      <c r="A310" s="4"/>
      <c r="B310" s="4"/>
      <c r="C310" s="4"/>
      <c r="D310" s="4"/>
      <c r="E310" s="4"/>
    </row>
    <row r="311" spans="1:5" ht="15.75" customHeight="1" x14ac:dyDescent="0.25">
      <c r="A311" s="4"/>
      <c r="B311" s="4"/>
      <c r="C311" s="4"/>
      <c r="D311" s="4"/>
      <c r="E311" s="4"/>
    </row>
    <row r="312" spans="1:5" ht="15.75" customHeight="1" x14ac:dyDescent="0.25">
      <c r="A312" s="4"/>
      <c r="B312" s="4"/>
      <c r="C312" s="4"/>
      <c r="D312" s="4"/>
      <c r="E312" s="4"/>
    </row>
    <row r="313" spans="1:5" ht="15.75" customHeight="1" x14ac:dyDescent="0.25">
      <c r="A313" s="4"/>
      <c r="B313" s="4"/>
      <c r="C313" s="4"/>
      <c r="D313" s="4"/>
      <c r="E313" s="4"/>
    </row>
    <row r="314" spans="1:5" ht="15.75" customHeight="1" x14ac:dyDescent="0.25">
      <c r="A314" s="4"/>
      <c r="B314" s="4"/>
      <c r="C314" s="4"/>
      <c r="D314" s="4"/>
      <c r="E314" s="4"/>
    </row>
    <row r="315" spans="1:5" ht="15.75" customHeight="1" x14ac:dyDescent="0.25">
      <c r="A315" s="4"/>
      <c r="B315" s="4"/>
      <c r="C315" s="4"/>
      <c r="D315" s="4"/>
      <c r="E315" s="4"/>
    </row>
    <row r="316" spans="1:5" ht="15.75" customHeight="1" x14ac:dyDescent="0.25">
      <c r="A316" s="4"/>
      <c r="B316" s="4"/>
      <c r="C316" s="4"/>
      <c r="D316" s="4"/>
      <c r="E316" s="4"/>
    </row>
    <row r="317" spans="1:5" ht="15.75" customHeight="1" x14ac:dyDescent="0.25">
      <c r="A317" s="4"/>
      <c r="B317" s="4"/>
      <c r="C317" s="4"/>
      <c r="D317" s="4"/>
      <c r="E317" s="4"/>
    </row>
    <row r="318" spans="1:5" ht="15.75" customHeight="1" x14ac:dyDescent="0.25">
      <c r="A318" s="4"/>
      <c r="B318" s="4"/>
      <c r="C318" s="4"/>
      <c r="D318" s="4"/>
      <c r="E318" s="4"/>
    </row>
    <row r="319" spans="1:5" ht="15.75" customHeight="1" x14ac:dyDescent="0.25">
      <c r="A319" s="4"/>
      <c r="B319" s="4"/>
      <c r="C319" s="4"/>
      <c r="D319" s="4"/>
      <c r="E319" s="4"/>
    </row>
    <row r="320" spans="1:5" ht="15.75" customHeight="1" x14ac:dyDescent="0.25">
      <c r="A320" s="4"/>
      <c r="B320" s="4"/>
      <c r="C320" s="4"/>
      <c r="D320" s="4"/>
      <c r="E320" s="4"/>
    </row>
    <row r="321" spans="1:5" ht="15.75" customHeight="1" x14ac:dyDescent="0.25">
      <c r="A321" s="4"/>
      <c r="B321" s="4"/>
      <c r="C321" s="4"/>
      <c r="D321" s="4"/>
      <c r="E321" s="4"/>
    </row>
    <row r="322" spans="1:5" ht="15.75" customHeight="1" x14ac:dyDescent="0.25">
      <c r="A322" s="4"/>
      <c r="B322" s="4"/>
      <c r="C322" s="4"/>
      <c r="D322" s="4"/>
      <c r="E322" s="4"/>
    </row>
    <row r="323" spans="1:5" ht="15.75" customHeight="1" x14ac:dyDescent="0.25">
      <c r="A323" s="4"/>
      <c r="B323" s="4"/>
      <c r="C323" s="4"/>
      <c r="D323" s="4"/>
      <c r="E323" s="4"/>
    </row>
    <row r="324" spans="1:5" ht="15.75" customHeight="1" x14ac:dyDescent="0.25">
      <c r="A324" s="4"/>
      <c r="B324" s="4"/>
      <c r="C324" s="4"/>
      <c r="D324" s="4"/>
      <c r="E324" s="4"/>
    </row>
    <row r="325" spans="1:5" ht="15.75" customHeight="1" x14ac:dyDescent="0.25">
      <c r="A325" s="4"/>
      <c r="B325" s="4"/>
      <c r="C325" s="4"/>
      <c r="D325" s="4"/>
      <c r="E325" s="4"/>
    </row>
    <row r="326" spans="1:5" ht="15.75" customHeight="1" x14ac:dyDescent="0.25">
      <c r="A326" s="4"/>
      <c r="B326" s="4"/>
      <c r="C326" s="4"/>
      <c r="D326" s="4"/>
      <c r="E326" s="4"/>
    </row>
    <row r="327" spans="1:5" ht="15.75" customHeight="1" x14ac:dyDescent="0.25">
      <c r="A327" s="4"/>
      <c r="B327" s="4"/>
      <c r="C327" s="4"/>
      <c r="D327" s="4"/>
      <c r="E327" s="4"/>
    </row>
    <row r="328" spans="1:5" ht="15.75" customHeight="1" x14ac:dyDescent="0.25">
      <c r="A328" s="4"/>
      <c r="B328" s="4"/>
      <c r="C328" s="4"/>
      <c r="D328" s="4"/>
      <c r="E328" s="4"/>
    </row>
    <row r="329" spans="1:5" ht="15.75" customHeight="1" x14ac:dyDescent="0.25">
      <c r="A329" s="4"/>
      <c r="B329" s="4"/>
      <c r="C329" s="4"/>
      <c r="D329" s="4"/>
      <c r="E329" s="4"/>
    </row>
    <row r="330" spans="1:5" ht="15.75" customHeight="1" x14ac:dyDescent="0.25">
      <c r="A330" s="4"/>
      <c r="B330" s="4"/>
      <c r="C330" s="4"/>
      <c r="D330" s="4"/>
      <c r="E330" s="4"/>
    </row>
    <row r="331" spans="1:5" ht="15.75" customHeight="1" x14ac:dyDescent="0.25">
      <c r="A331" s="4"/>
      <c r="B331" s="4"/>
      <c r="C331" s="4"/>
      <c r="D331" s="4"/>
      <c r="E331" s="4"/>
    </row>
    <row r="332" spans="1:5" ht="15.75" customHeight="1" x14ac:dyDescent="0.25">
      <c r="A332" s="4"/>
      <c r="B332" s="4"/>
      <c r="C332" s="4"/>
      <c r="D332" s="4"/>
      <c r="E332" s="4"/>
    </row>
    <row r="333" spans="1:5" ht="15.75" customHeight="1" x14ac:dyDescent="0.25">
      <c r="A333" s="4"/>
      <c r="B333" s="4"/>
      <c r="C333" s="4"/>
      <c r="D333" s="4"/>
      <c r="E333" s="4"/>
    </row>
    <row r="334" spans="1:5" ht="15.75" customHeight="1" x14ac:dyDescent="0.25">
      <c r="A334" s="4"/>
      <c r="B334" s="4"/>
      <c r="C334" s="4"/>
      <c r="D334" s="4"/>
      <c r="E334" s="4"/>
    </row>
    <row r="335" spans="1:5" ht="15.75" customHeight="1" x14ac:dyDescent="0.25">
      <c r="A335" s="4"/>
      <c r="B335" s="4"/>
      <c r="C335" s="4"/>
      <c r="D335" s="4"/>
      <c r="E335" s="4"/>
    </row>
    <row r="336" spans="1:5" ht="15.75" customHeight="1" x14ac:dyDescent="0.25">
      <c r="A336" s="4"/>
      <c r="B336" s="4"/>
      <c r="C336" s="4"/>
      <c r="D336" s="4"/>
      <c r="E336" s="4"/>
    </row>
    <row r="337" spans="1:5" ht="15.75" customHeight="1" x14ac:dyDescent="0.25">
      <c r="A337" s="4"/>
      <c r="B337" s="4"/>
      <c r="C337" s="4"/>
      <c r="D337" s="4"/>
      <c r="E337" s="4"/>
    </row>
    <row r="338" spans="1:5" ht="15.75" customHeight="1" x14ac:dyDescent="0.25">
      <c r="A338" s="4"/>
      <c r="B338" s="4"/>
      <c r="C338" s="4"/>
      <c r="D338" s="4"/>
      <c r="E338" s="4"/>
    </row>
    <row r="339" spans="1:5" ht="15.75" customHeight="1" x14ac:dyDescent="0.25">
      <c r="A339" s="4"/>
      <c r="B339" s="4"/>
      <c r="C339" s="4"/>
      <c r="D339" s="4"/>
      <c r="E339" s="4"/>
    </row>
    <row r="340" spans="1:5" ht="15.75" customHeight="1" x14ac:dyDescent="0.25">
      <c r="A340" s="4"/>
      <c r="B340" s="4"/>
      <c r="C340" s="4"/>
      <c r="D340" s="4"/>
      <c r="E340" s="4"/>
    </row>
    <row r="341" spans="1:5" ht="15.75" customHeight="1" x14ac:dyDescent="0.25">
      <c r="A341" s="4"/>
      <c r="B341" s="4"/>
      <c r="C341" s="4"/>
      <c r="D341" s="4"/>
      <c r="E341" s="4"/>
    </row>
    <row r="342" spans="1:5" ht="15.75" customHeight="1" x14ac:dyDescent="0.25">
      <c r="A342" s="4"/>
      <c r="B342" s="4"/>
      <c r="C342" s="4"/>
      <c r="D342" s="4"/>
      <c r="E342" s="4"/>
    </row>
    <row r="343" spans="1:5" ht="15.75" customHeight="1" x14ac:dyDescent="0.25">
      <c r="A343" s="4"/>
      <c r="B343" s="4"/>
      <c r="C343" s="4"/>
      <c r="D343" s="4"/>
      <c r="E343" s="4"/>
    </row>
    <row r="344" spans="1:5" ht="15.75" customHeight="1" x14ac:dyDescent="0.25">
      <c r="A344" s="4"/>
      <c r="B344" s="4"/>
      <c r="C344" s="4"/>
      <c r="D344" s="4"/>
      <c r="E344" s="4"/>
    </row>
    <row r="345" spans="1:5" ht="15.75" customHeight="1" x14ac:dyDescent="0.25">
      <c r="A345" s="4"/>
      <c r="B345" s="4"/>
      <c r="C345" s="4"/>
      <c r="D345" s="4"/>
      <c r="E345" s="4"/>
    </row>
    <row r="346" spans="1:5" ht="15.75" customHeight="1" x14ac:dyDescent="0.25">
      <c r="A346" s="4"/>
      <c r="B346" s="4"/>
      <c r="C346" s="4"/>
      <c r="D346" s="4"/>
      <c r="E346" s="4"/>
    </row>
    <row r="347" spans="1:5" ht="15.75" customHeight="1" x14ac:dyDescent="0.25">
      <c r="A347" s="4"/>
      <c r="B347" s="4"/>
      <c r="C347" s="4"/>
      <c r="D347" s="4"/>
      <c r="E347" s="4"/>
    </row>
    <row r="348" spans="1:5" ht="15.75" customHeight="1" x14ac:dyDescent="0.25">
      <c r="A348" s="4"/>
      <c r="B348" s="4"/>
      <c r="C348" s="4"/>
      <c r="D348" s="4"/>
      <c r="E348" s="4"/>
    </row>
    <row r="349" spans="1:5" ht="15.75" customHeight="1" x14ac:dyDescent="0.25">
      <c r="A349" s="4"/>
      <c r="B349" s="4"/>
      <c r="C349" s="4"/>
      <c r="D349" s="4"/>
      <c r="E349" s="4"/>
    </row>
    <row r="350" spans="1:5" ht="15.75" customHeight="1" x14ac:dyDescent="0.25">
      <c r="A350" s="4"/>
      <c r="B350" s="4"/>
      <c r="C350" s="4"/>
      <c r="D350" s="4"/>
      <c r="E350" s="4"/>
    </row>
    <row r="351" spans="1:5" ht="15.75" customHeight="1" x14ac:dyDescent="0.25">
      <c r="A351" s="4"/>
      <c r="B351" s="4"/>
      <c r="C351" s="4"/>
      <c r="D351" s="4"/>
      <c r="E351" s="4"/>
    </row>
    <row r="352" spans="1:5" ht="15.75" customHeight="1" x14ac:dyDescent="0.25">
      <c r="A352" s="4"/>
      <c r="B352" s="4"/>
      <c r="C352" s="4"/>
      <c r="D352" s="4"/>
      <c r="E352" s="4"/>
    </row>
    <row r="353" spans="1:5" ht="15.75" customHeight="1" x14ac:dyDescent="0.25">
      <c r="A353" s="4"/>
      <c r="B353" s="4"/>
      <c r="C353" s="4"/>
      <c r="D353" s="4"/>
      <c r="E353" s="4"/>
    </row>
    <row r="354" spans="1:5" ht="15.75" customHeight="1" x14ac:dyDescent="0.25">
      <c r="A354" s="4"/>
      <c r="B354" s="4"/>
      <c r="C354" s="4"/>
      <c r="D354" s="4"/>
      <c r="E354" s="4"/>
    </row>
    <row r="355" spans="1:5" ht="15.75" customHeight="1" x14ac:dyDescent="0.25">
      <c r="A355" s="4"/>
      <c r="B355" s="4"/>
      <c r="C355" s="4"/>
      <c r="D355" s="4"/>
      <c r="E355" s="4"/>
    </row>
    <row r="356" spans="1:5" ht="15.75" customHeight="1" x14ac:dyDescent="0.25">
      <c r="A356" s="4"/>
      <c r="B356" s="4"/>
      <c r="C356" s="4"/>
      <c r="D356" s="4"/>
      <c r="E356" s="4"/>
    </row>
    <row r="357" spans="1:5" ht="15.75" customHeight="1" x14ac:dyDescent="0.25">
      <c r="A357" s="4"/>
      <c r="B357" s="4"/>
      <c r="C357" s="4"/>
      <c r="D357" s="4"/>
      <c r="E357" s="4"/>
    </row>
    <row r="358" spans="1:5" ht="15.75" customHeight="1" x14ac:dyDescent="0.25">
      <c r="A358" s="4"/>
      <c r="B358" s="4"/>
      <c r="C358" s="4"/>
      <c r="D358" s="4"/>
      <c r="E358" s="4"/>
    </row>
    <row r="359" spans="1:5" ht="15.75" customHeight="1" x14ac:dyDescent="0.25">
      <c r="A359" s="4"/>
      <c r="B359" s="4"/>
      <c r="C359" s="4"/>
      <c r="D359" s="4"/>
      <c r="E359" s="4"/>
    </row>
    <row r="360" spans="1:5" ht="15.75" customHeight="1" x14ac:dyDescent="0.25">
      <c r="A360" s="4"/>
      <c r="B360" s="4"/>
      <c r="C360" s="4"/>
      <c r="D360" s="4"/>
      <c r="E360" s="4"/>
    </row>
    <row r="361" spans="1:5" ht="15.75" customHeight="1" x14ac:dyDescent="0.25">
      <c r="A361" s="4"/>
      <c r="B361" s="4"/>
      <c r="C361" s="4"/>
      <c r="D361" s="4"/>
      <c r="E361" s="4"/>
    </row>
    <row r="362" spans="1:5" ht="15.75" customHeight="1" x14ac:dyDescent="0.25">
      <c r="A362" s="4"/>
      <c r="B362" s="4"/>
      <c r="C362" s="4"/>
      <c r="D362" s="4"/>
      <c r="E362" s="4"/>
    </row>
    <row r="363" spans="1:5" ht="15.75" customHeight="1" x14ac:dyDescent="0.25">
      <c r="A363" s="4"/>
      <c r="B363" s="4"/>
      <c r="C363" s="4"/>
      <c r="D363" s="4"/>
      <c r="E363" s="4"/>
    </row>
    <row r="364" spans="1:5" ht="15.75" customHeight="1" x14ac:dyDescent="0.25">
      <c r="A364" s="4"/>
      <c r="B364" s="4"/>
      <c r="C364" s="4"/>
      <c r="D364" s="4"/>
      <c r="E364" s="4"/>
    </row>
    <row r="365" spans="1:5" ht="15.75" customHeight="1" x14ac:dyDescent="0.25">
      <c r="A365" s="4"/>
      <c r="B365" s="4"/>
      <c r="C365" s="4"/>
      <c r="D365" s="4"/>
      <c r="E365" s="4"/>
    </row>
    <row r="366" spans="1:5" ht="15.75" customHeight="1" x14ac:dyDescent="0.25">
      <c r="A366" s="4"/>
      <c r="B366" s="4"/>
      <c r="C366" s="4"/>
      <c r="D366" s="4"/>
      <c r="E366" s="4"/>
    </row>
    <row r="367" spans="1:5" ht="15.75" customHeight="1" x14ac:dyDescent="0.25">
      <c r="A367" s="4"/>
      <c r="B367" s="4"/>
      <c r="C367" s="4"/>
      <c r="D367" s="4"/>
      <c r="E367" s="4"/>
    </row>
    <row r="368" spans="1:5" ht="15.75" customHeight="1" x14ac:dyDescent="0.25">
      <c r="A368" s="4"/>
      <c r="B368" s="4"/>
      <c r="C368" s="4"/>
      <c r="D368" s="4"/>
      <c r="E368" s="4"/>
    </row>
    <row r="369" spans="1:5" ht="15.75" customHeight="1" x14ac:dyDescent="0.25">
      <c r="A369" s="4"/>
      <c r="B369" s="4"/>
      <c r="C369" s="4"/>
      <c r="D369" s="4"/>
      <c r="E369" s="4"/>
    </row>
    <row r="370" spans="1:5" ht="15.75" customHeight="1" x14ac:dyDescent="0.25">
      <c r="A370" s="4"/>
      <c r="B370" s="4"/>
      <c r="C370" s="4"/>
      <c r="D370" s="4"/>
      <c r="E370" s="4"/>
    </row>
    <row r="371" spans="1:5" ht="15.75" customHeight="1" x14ac:dyDescent="0.25">
      <c r="A371" s="4"/>
      <c r="B371" s="4"/>
      <c r="C371" s="4"/>
      <c r="D371" s="4"/>
      <c r="E371" s="4"/>
    </row>
    <row r="372" spans="1:5" ht="15.75" customHeight="1" x14ac:dyDescent="0.25">
      <c r="A372" s="4"/>
      <c r="B372" s="4"/>
      <c r="C372" s="4"/>
      <c r="D372" s="4"/>
      <c r="E372" s="4"/>
    </row>
    <row r="373" spans="1:5" ht="15.75" customHeight="1" x14ac:dyDescent="0.25">
      <c r="A373" s="4"/>
      <c r="B373" s="4"/>
      <c r="C373" s="4"/>
      <c r="D373" s="4"/>
      <c r="E373" s="4"/>
    </row>
    <row r="374" spans="1:5" ht="15.75" customHeight="1" x14ac:dyDescent="0.25">
      <c r="A374" s="4"/>
      <c r="B374" s="4"/>
      <c r="C374" s="4"/>
      <c r="D374" s="4"/>
      <c r="E374" s="4"/>
    </row>
    <row r="375" spans="1:5" ht="15.75" customHeight="1" x14ac:dyDescent="0.25">
      <c r="A375" s="4"/>
      <c r="B375" s="4"/>
      <c r="C375" s="4"/>
      <c r="D375" s="4"/>
      <c r="E375" s="4"/>
    </row>
    <row r="376" spans="1:5" ht="15.75" customHeight="1" x14ac:dyDescent="0.25">
      <c r="A376" s="4"/>
      <c r="B376" s="4"/>
      <c r="C376" s="4"/>
      <c r="D376" s="4"/>
      <c r="E376" s="4"/>
    </row>
    <row r="377" spans="1:5" ht="15.75" customHeight="1" x14ac:dyDescent="0.25">
      <c r="A377" s="4"/>
      <c r="B377" s="4"/>
      <c r="C377" s="4"/>
      <c r="D377" s="4"/>
      <c r="E377" s="4"/>
    </row>
    <row r="378" spans="1:5" ht="15.75" customHeight="1" x14ac:dyDescent="0.25">
      <c r="A378" s="4"/>
      <c r="B378" s="4"/>
      <c r="C378" s="4"/>
      <c r="D378" s="4"/>
      <c r="E378" s="4"/>
    </row>
    <row r="379" spans="1:5" ht="15.75" customHeight="1" x14ac:dyDescent="0.25">
      <c r="A379" s="4"/>
      <c r="B379" s="4"/>
      <c r="C379" s="4"/>
      <c r="D379" s="4"/>
      <c r="E379" s="4"/>
    </row>
    <row r="380" spans="1:5" ht="15.75" customHeight="1" x14ac:dyDescent="0.25">
      <c r="A380" s="4"/>
      <c r="B380" s="4"/>
      <c r="C380" s="4"/>
      <c r="D380" s="4"/>
      <c r="E380" s="4"/>
    </row>
    <row r="381" spans="1:5" ht="15.75" customHeight="1" x14ac:dyDescent="0.25">
      <c r="A381" s="4"/>
      <c r="B381" s="4"/>
      <c r="C381" s="4"/>
      <c r="D381" s="4"/>
      <c r="E381" s="4"/>
    </row>
    <row r="382" spans="1:5" ht="15.75" customHeight="1" x14ac:dyDescent="0.25">
      <c r="A382" s="4"/>
      <c r="B382" s="4"/>
      <c r="C382" s="4"/>
      <c r="D382" s="4"/>
      <c r="E382" s="4"/>
    </row>
    <row r="383" spans="1:5" ht="15.75" customHeight="1" x14ac:dyDescent="0.25">
      <c r="A383" s="4"/>
      <c r="B383" s="4"/>
      <c r="C383" s="4"/>
      <c r="D383" s="4"/>
      <c r="E383" s="4"/>
    </row>
    <row r="384" spans="1:5" ht="15.75" customHeight="1" x14ac:dyDescent="0.25">
      <c r="A384" s="4"/>
      <c r="B384" s="4"/>
      <c r="C384" s="4"/>
      <c r="D384" s="4"/>
      <c r="E384" s="4"/>
    </row>
    <row r="385" spans="1:5" ht="15.75" customHeight="1" x14ac:dyDescent="0.25">
      <c r="A385" s="4"/>
      <c r="B385" s="4"/>
      <c r="C385" s="4"/>
      <c r="D385" s="4"/>
      <c r="E385" s="4"/>
    </row>
    <row r="386" spans="1:5" ht="15.75" customHeight="1" x14ac:dyDescent="0.25">
      <c r="A386" s="4"/>
      <c r="B386" s="4"/>
      <c r="C386" s="4"/>
      <c r="D386" s="4"/>
      <c r="E386" s="4"/>
    </row>
    <row r="387" spans="1:5" ht="15.75" customHeight="1" x14ac:dyDescent="0.25">
      <c r="A387" s="4"/>
      <c r="B387" s="4"/>
      <c r="C387" s="4"/>
      <c r="D387" s="4"/>
      <c r="E387" s="4"/>
    </row>
    <row r="388" spans="1:5" ht="15.75" customHeight="1" x14ac:dyDescent="0.25">
      <c r="A388" s="4"/>
      <c r="B388" s="4"/>
      <c r="C388" s="4"/>
      <c r="D388" s="4"/>
      <c r="E388" s="4"/>
    </row>
    <row r="389" spans="1:5" ht="15.75" customHeight="1" x14ac:dyDescent="0.25">
      <c r="A389" s="4"/>
      <c r="B389" s="4"/>
      <c r="C389" s="4"/>
      <c r="D389" s="4"/>
      <c r="E389" s="4"/>
    </row>
    <row r="390" spans="1:5" ht="15.75" customHeight="1" x14ac:dyDescent="0.25">
      <c r="A390" s="4"/>
      <c r="B390" s="4"/>
      <c r="C390" s="4"/>
      <c r="D390" s="4"/>
      <c r="E390" s="4"/>
    </row>
    <row r="391" spans="1:5" ht="15.75" customHeight="1" x14ac:dyDescent="0.25">
      <c r="A391" s="4"/>
      <c r="B391" s="4"/>
      <c r="C391" s="4"/>
      <c r="D391" s="4"/>
      <c r="E391" s="4"/>
    </row>
    <row r="392" spans="1:5" ht="15.75" customHeight="1" x14ac:dyDescent="0.25">
      <c r="A392" s="4"/>
      <c r="B392" s="4"/>
      <c r="C392" s="4"/>
      <c r="D392" s="4"/>
      <c r="E392" s="4"/>
    </row>
    <row r="393" spans="1:5" ht="15.75" customHeight="1" x14ac:dyDescent="0.25">
      <c r="A393" s="4"/>
      <c r="B393" s="4"/>
      <c r="C393" s="4"/>
      <c r="D393" s="4"/>
      <c r="E393" s="4"/>
    </row>
    <row r="394" spans="1:5" ht="15.75" customHeight="1" x14ac:dyDescent="0.25">
      <c r="A394" s="4"/>
      <c r="B394" s="4"/>
      <c r="C394" s="4"/>
      <c r="D394" s="4"/>
      <c r="E394" s="4"/>
    </row>
    <row r="395" spans="1:5" ht="15.75" customHeight="1" x14ac:dyDescent="0.25">
      <c r="A395" s="4"/>
      <c r="B395" s="4"/>
      <c r="C395" s="4"/>
      <c r="D395" s="4"/>
      <c r="E395" s="4"/>
    </row>
    <row r="396" spans="1:5" ht="15.75" customHeight="1" x14ac:dyDescent="0.25">
      <c r="A396" s="4"/>
      <c r="B396" s="4"/>
      <c r="C396" s="4"/>
      <c r="D396" s="4"/>
      <c r="E396" s="4"/>
    </row>
    <row r="397" spans="1:5" ht="15.75" customHeight="1" x14ac:dyDescent="0.25">
      <c r="A397" s="4"/>
      <c r="B397" s="4"/>
      <c r="C397" s="4"/>
      <c r="D397" s="4"/>
      <c r="E397" s="4"/>
    </row>
    <row r="398" spans="1:5" ht="15.75" customHeight="1" x14ac:dyDescent="0.25">
      <c r="A398" s="4"/>
      <c r="B398" s="4"/>
      <c r="C398" s="4"/>
      <c r="D398" s="4"/>
      <c r="E398" s="4"/>
    </row>
    <row r="399" spans="1:5" ht="15.75" customHeight="1" x14ac:dyDescent="0.25">
      <c r="A399" s="4"/>
      <c r="B399" s="4"/>
      <c r="C399" s="4"/>
      <c r="D399" s="4"/>
      <c r="E399" s="4"/>
    </row>
    <row r="400" spans="1:5" ht="15.75" customHeight="1" x14ac:dyDescent="0.25">
      <c r="A400" s="4"/>
      <c r="B400" s="4"/>
      <c r="C400" s="4"/>
      <c r="D400" s="4"/>
      <c r="E400" s="4"/>
    </row>
    <row r="401" spans="1:5" ht="15.75" customHeight="1" x14ac:dyDescent="0.25">
      <c r="A401" s="4"/>
      <c r="B401" s="4"/>
      <c r="C401" s="4"/>
      <c r="D401" s="4"/>
      <c r="E401" s="4"/>
    </row>
    <row r="402" spans="1:5" ht="15.75" customHeight="1" x14ac:dyDescent="0.25">
      <c r="A402" s="4"/>
      <c r="B402" s="4"/>
      <c r="C402" s="4"/>
      <c r="D402" s="4"/>
      <c r="E402" s="4"/>
    </row>
    <row r="403" spans="1:5" ht="15.75" customHeight="1" x14ac:dyDescent="0.25">
      <c r="A403" s="4"/>
      <c r="B403" s="4"/>
      <c r="C403" s="4"/>
      <c r="D403" s="4"/>
      <c r="E403" s="4"/>
    </row>
    <row r="404" spans="1:5" ht="15.75" customHeight="1" x14ac:dyDescent="0.25">
      <c r="A404" s="4"/>
      <c r="B404" s="4"/>
      <c r="C404" s="4"/>
      <c r="D404" s="4"/>
      <c r="E404" s="4"/>
    </row>
    <row r="405" spans="1:5" ht="15.75" customHeight="1" x14ac:dyDescent="0.25">
      <c r="A405" s="4"/>
      <c r="B405" s="4"/>
      <c r="C405" s="4"/>
      <c r="D405" s="4"/>
      <c r="E405" s="4"/>
    </row>
    <row r="406" spans="1:5" ht="15.75" customHeight="1" x14ac:dyDescent="0.25">
      <c r="A406" s="4"/>
      <c r="B406" s="4"/>
      <c r="C406" s="4"/>
      <c r="D406" s="4"/>
      <c r="E406" s="4"/>
    </row>
    <row r="407" spans="1:5" ht="15.75" customHeight="1" x14ac:dyDescent="0.25">
      <c r="A407" s="4"/>
      <c r="B407" s="4"/>
      <c r="C407" s="4"/>
      <c r="D407" s="4"/>
      <c r="E407" s="4"/>
    </row>
    <row r="408" spans="1:5" ht="15.75" customHeight="1" x14ac:dyDescent="0.25">
      <c r="A408" s="4"/>
      <c r="B408" s="4"/>
      <c r="C408" s="4"/>
      <c r="D408" s="4"/>
      <c r="E408" s="4"/>
    </row>
    <row r="409" spans="1:5" ht="15.75" customHeight="1" x14ac:dyDescent="0.25">
      <c r="A409" s="4"/>
      <c r="B409" s="4"/>
      <c r="C409" s="4"/>
      <c r="D409" s="4"/>
      <c r="E409" s="4"/>
    </row>
    <row r="410" spans="1:5" ht="15.75" customHeight="1" x14ac:dyDescent="0.25">
      <c r="A410" s="4"/>
      <c r="B410" s="4"/>
      <c r="C410" s="4"/>
      <c r="D410" s="4"/>
      <c r="E410" s="4"/>
    </row>
    <row r="411" spans="1:5" ht="15.75" customHeight="1" x14ac:dyDescent="0.25">
      <c r="A411" s="4"/>
      <c r="B411" s="4"/>
      <c r="C411" s="4"/>
      <c r="D411" s="4"/>
      <c r="E411" s="4"/>
    </row>
    <row r="412" spans="1:5" ht="15.75" customHeight="1" x14ac:dyDescent="0.25">
      <c r="A412" s="4"/>
      <c r="B412" s="4"/>
      <c r="C412" s="4"/>
      <c r="D412" s="4"/>
      <c r="E412" s="4"/>
    </row>
    <row r="413" spans="1:5" ht="15.75" customHeight="1" x14ac:dyDescent="0.25">
      <c r="A413" s="4"/>
      <c r="B413" s="4"/>
      <c r="C413" s="4"/>
      <c r="D413" s="4"/>
      <c r="E413" s="4"/>
    </row>
    <row r="414" spans="1:5" ht="15.75" customHeight="1" x14ac:dyDescent="0.25">
      <c r="A414" s="4"/>
      <c r="B414" s="4"/>
      <c r="C414" s="4"/>
      <c r="D414" s="4"/>
      <c r="E414" s="4"/>
    </row>
    <row r="415" spans="1:5" ht="15.75" customHeight="1" x14ac:dyDescent="0.25">
      <c r="A415" s="4"/>
      <c r="B415" s="4"/>
      <c r="C415" s="4"/>
      <c r="D415" s="4"/>
      <c r="E415" s="4"/>
    </row>
    <row r="416" spans="1:5" ht="15.75" customHeight="1" x14ac:dyDescent="0.25">
      <c r="A416" s="4"/>
      <c r="B416" s="4"/>
      <c r="C416" s="4"/>
      <c r="D416" s="4"/>
      <c r="E416" s="4"/>
    </row>
    <row r="417" spans="1:5" ht="15.75" customHeight="1" x14ac:dyDescent="0.25">
      <c r="A417" s="4"/>
      <c r="B417" s="4"/>
      <c r="C417" s="4"/>
      <c r="D417" s="4"/>
      <c r="E417" s="4"/>
    </row>
    <row r="418" spans="1:5" ht="15.75" customHeight="1" x14ac:dyDescent="0.25">
      <c r="A418" s="4"/>
      <c r="B418" s="4"/>
      <c r="C418" s="4"/>
      <c r="D418" s="4"/>
      <c r="E418" s="4"/>
    </row>
    <row r="419" spans="1:5" ht="15.75" customHeight="1" x14ac:dyDescent="0.25">
      <c r="A419" s="4"/>
      <c r="B419" s="4"/>
      <c r="C419" s="4"/>
      <c r="D419" s="4"/>
      <c r="E419" s="4"/>
    </row>
    <row r="420" spans="1:5" ht="15.75" customHeight="1" x14ac:dyDescent="0.25">
      <c r="A420" s="4"/>
      <c r="B420" s="4"/>
      <c r="C420" s="4"/>
      <c r="D420" s="4"/>
      <c r="E420" s="4"/>
    </row>
    <row r="421" spans="1:5" ht="15.75" customHeight="1" x14ac:dyDescent="0.25">
      <c r="A421" s="4"/>
      <c r="B421" s="4"/>
      <c r="C421" s="4"/>
      <c r="D421" s="4"/>
      <c r="E421" s="4"/>
    </row>
    <row r="422" spans="1:5" ht="15.75" customHeight="1" x14ac:dyDescent="0.25">
      <c r="A422" s="4"/>
      <c r="B422" s="4"/>
      <c r="C422" s="4"/>
      <c r="D422" s="4"/>
      <c r="E422" s="4"/>
    </row>
    <row r="423" spans="1:5" ht="15.75" customHeight="1" x14ac:dyDescent="0.25">
      <c r="A423" s="4"/>
      <c r="B423" s="4"/>
      <c r="C423" s="4"/>
      <c r="D423" s="4"/>
      <c r="E423" s="4"/>
    </row>
    <row r="424" spans="1:5" ht="15.75" customHeight="1" x14ac:dyDescent="0.25">
      <c r="A424" s="4"/>
      <c r="B424" s="4"/>
      <c r="C424" s="4"/>
      <c r="D424" s="4"/>
      <c r="E424" s="4"/>
    </row>
    <row r="425" spans="1:5" ht="15.75" customHeight="1" x14ac:dyDescent="0.25">
      <c r="A425" s="4"/>
      <c r="B425" s="4"/>
      <c r="C425" s="4"/>
      <c r="D425" s="4"/>
      <c r="E425" s="4"/>
    </row>
    <row r="426" spans="1:5" ht="15.75" customHeight="1" x14ac:dyDescent="0.25">
      <c r="A426" s="4"/>
      <c r="B426" s="4"/>
      <c r="C426" s="4"/>
      <c r="D426" s="4"/>
      <c r="E426" s="4"/>
    </row>
    <row r="427" spans="1:5" ht="15.75" customHeight="1" x14ac:dyDescent="0.25">
      <c r="A427" s="4"/>
      <c r="B427" s="4"/>
      <c r="C427" s="4"/>
      <c r="D427" s="4"/>
      <c r="E427" s="4"/>
    </row>
    <row r="428" spans="1:5" ht="15.75" customHeight="1" x14ac:dyDescent="0.25">
      <c r="A428" s="4"/>
      <c r="B428" s="4"/>
      <c r="C428" s="4"/>
      <c r="D428" s="4"/>
      <c r="E428" s="4"/>
    </row>
    <row r="429" spans="1:5" ht="15.75" customHeight="1" x14ac:dyDescent="0.25">
      <c r="A429" s="4"/>
      <c r="B429" s="4"/>
      <c r="C429" s="4"/>
      <c r="D429" s="4"/>
      <c r="E429" s="4"/>
    </row>
    <row r="430" spans="1:5" ht="15.75" customHeight="1" x14ac:dyDescent="0.25">
      <c r="A430" s="4"/>
      <c r="B430" s="4"/>
      <c r="C430" s="4"/>
      <c r="D430" s="4"/>
      <c r="E430" s="4"/>
    </row>
    <row r="431" spans="1:5" ht="15.75" customHeight="1" x14ac:dyDescent="0.25">
      <c r="A431" s="4"/>
      <c r="B431" s="4"/>
      <c r="C431" s="4"/>
      <c r="D431" s="4"/>
      <c r="E431" s="4"/>
    </row>
    <row r="432" spans="1:5" ht="15.75" customHeight="1" x14ac:dyDescent="0.25">
      <c r="A432" s="4"/>
      <c r="B432" s="4"/>
      <c r="C432" s="4"/>
      <c r="D432" s="4"/>
      <c r="E432" s="4"/>
    </row>
    <row r="433" spans="1:5" ht="15.75" customHeight="1" x14ac:dyDescent="0.25">
      <c r="A433" s="4"/>
      <c r="B433" s="4"/>
      <c r="C433" s="4"/>
      <c r="D433" s="4"/>
      <c r="E433" s="4"/>
    </row>
    <row r="434" spans="1:5" ht="15.75" customHeight="1" x14ac:dyDescent="0.25">
      <c r="A434" s="4"/>
      <c r="B434" s="4"/>
      <c r="C434" s="4"/>
      <c r="D434" s="4"/>
      <c r="E434" s="4"/>
    </row>
    <row r="435" spans="1:5" ht="15.75" customHeight="1" x14ac:dyDescent="0.25">
      <c r="A435" s="4"/>
      <c r="B435" s="4"/>
      <c r="C435" s="4"/>
      <c r="D435" s="4"/>
      <c r="E435" s="4"/>
    </row>
    <row r="436" spans="1:5" ht="15.75" customHeight="1" x14ac:dyDescent="0.25">
      <c r="A436" s="4"/>
      <c r="B436" s="4"/>
      <c r="C436" s="4"/>
      <c r="D436" s="4"/>
      <c r="E436" s="4"/>
    </row>
    <row r="437" spans="1:5" ht="15.75" customHeight="1" x14ac:dyDescent="0.25">
      <c r="A437" s="4"/>
      <c r="B437" s="4"/>
      <c r="C437" s="4"/>
      <c r="D437" s="4"/>
      <c r="E437" s="4"/>
    </row>
    <row r="438" spans="1:5" ht="15.75" customHeight="1" x14ac:dyDescent="0.25">
      <c r="A438" s="4"/>
      <c r="B438" s="4"/>
      <c r="C438" s="4"/>
      <c r="D438" s="4"/>
      <c r="E438" s="4"/>
    </row>
    <row r="439" spans="1:5" ht="15.75" customHeight="1" x14ac:dyDescent="0.25">
      <c r="A439" s="4"/>
      <c r="B439" s="4"/>
      <c r="C439" s="4"/>
      <c r="D439" s="4"/>
      <c r="E439" s="4"/>
    </row>
    <row r="440" spans="1:5" ht="15.75" customHeight="1" x14ac:dyDescent="0.25">
      <c r="A440" s="4"/>
      <c r="B440" s="4"/>
      <c r="C440" s="4"/>
      <c r="D440" s="4"/>
      <c r="E440" s="4"/>
    </row>
    <row r="441" spans="1:5" ht="15.75" customHeight="1" x14ac:dyDescent="0.25">
      <c r="A441" s="4"/>
      <c r="B441" s="4"/>
      <c r="C441" s="4"/>
      <c r="D441" s="4"/>
      <c r="E441" s="4"/>
    </row>
    <row r="442" spans="1:5" ht="15.75" customHeight="1" x14ac:dyDescent="0.25">
      <c r="A442" s="4"/>
      <c r="B442" s="4"/>
      <c r="C442" s="4"/>
      <c r="D442" s="4"/>
      <c r="E442" s="4"/>
    </row>
    <row r="443" spans="1:5" ht="15.75" customHeight="1" x14ac:dyDescent="0.25">
      <c r="A443" s="4"/>
      <c r="B443" s="4"/>
      <c r="C443" s="4"/>
      <c r="D443" s="4"/>
      <c r="E443" s="4"/>
    </row>
    <row r="444" spans="1:5" ht="15.75" customHeight="1" x14ac:dyDescent="0.25">
      <c r="A444" s="4"/>
      <c r="B444" s="4"/>
      <c r="C444" s="4"/>
      <c r="D444" s="4"/>
      <c r="E444" s="4"/>
    </row>
    <row r="445" spans="1:5" ht="15.75" customHeight="1" x14ac:dyDescent="0.25">
      <c r="A445" s="4"/>
      <c r="B445" s="4"/>
      <c r="C445" s="4"/>
      <c r="D445" s="4"/>
      <c r="E445" s="4"/>
    </row>
    <row r="446" spans="1:5" ht="15.75" customHeight="1" x14ac:dyDescent="0.25">
      <c r="A446" s="4"/>
      <c r="B446" s="4"/>
      <c r="C446" s="4"/>
      <c r="D446" s="4"/>
      <c r="E446" s="4"/>
    </row>
    <row r="447" spans="1:5" ht="15.75" customHeight="1" x14ac:dyDescent="0.25">
      <c r="A447" s="4"/>
      <c r="B447" s="4"/>
      <c r="C447" s="4"/>
      <c r="D447" s="4"/>
      <c r="E447" s="4"/>
    </row>
    <row r="448" spans="1:5" ht="15.75" customHeight="1" x14ac:dyDescent="0.25">
      <c r="A448" s="4"/>
      <c r="B448" s="4"/>
      <c r="C448" s="4"/>
      <c r="D448" s="4"/>
      <c r="E448" s="4"/>
    </row>
    <row r="449" spans="1:5" ht="15.75" customHeight="1" x14ac:dyDescent="0.25">
      <c r="A449" s="4"/>
      <c r="B449" s="4"/>
      <c r="C449" s="4"/>
      <c r="D449" s="4"/>
      <c r="E449" s="4"/>
    </row>
    <row r="450" spans="1:5" ht="15.75" customHeight="1" x14ac:dyDescent="0.25">
      <c r="A450" s="4"/>
      <c r="B450" s="4"/>
      <c r="C450" s="4"/>
      <c r="D450" s="4"/>
      <c r="E450" s="4"/>
    </row>
    <row r="451" spans="1:5" ht="15.75" customHeight="1" x14ac:dyDescent="0.25">
      <c r="A451" s="4"/>
      <c r="B451" s="4"/>
      <c r="C451" s="4"/>
      <c r="D451" s="4"/>
      <c r="E451" s="4"/>
    </row>
    <row r="452" spans="1:5" ht="15.75" customHeight="1" x14ac:dyDescent="0.25">
      <c r="A452" s="4"/>
      <c r="B452" s="4"/>
      <c r="C452" s="4"/>
      <c r="D452" s="4"/>
      <c r="E452" s="4"/>
    </row>
    <row r="453" spans="1:5" ht="15.75" customHeight="1" x14ac:dyDescent="0.25">
      <c r="A453" s="4"/>
      <c r="B453" s="4"/>
      <c r="C453" s="4"/>
      <c r="D453" s="4"/>
      <c r="E453" s="4"/>
    </row>
    <row r="454" spans="1:5" ht="15.75" customHeight="1" x14ac:dyDescent="0.25">
      <c r="A454" s="4"/>
      <c r="B454" s="4"/>
      <c r="C454" s="4"/>
      <c r="D454" s="4"/>
      <c r="E454" s="4"/>
    </row>
    <row r="455" spans="1:5" ht="15.75" customHeight="1" x14ac:dyDescent="0.25">
      <c r="A455" s="4"/>
      <c r="B455" s="4"/>
      <c r="C455" s="4"/>
      <c r="D455" s="4"/>
      <c r="E455" s="4"/>
    </row>
    <row r="456" spans="1:5" ht="15.75" customHeight="1" x14ac:dyDescent="0.25">
      <c r="A456" s="4"/>
      <c r="B456" s="4"/>
      <c r="C456" s="4"/>
      <c r="D456" s="4"/>
      <c r="E456" s="4"/>
    </row>
    <row r="457" spans="1:5" ht="15.75" customHeight="1" x14ac:dyDescent="0.25">
      <c r="A457" s="4"/>
      <c r="B457" s="4"/>
      <c r="C457" s="4"/>
      <c r="D457" s="4"/>
      <c r="E457" s="4"/>
    </row>
    <row r="458" spans="1:5" ht="15.75" customHeight="1" x14ac:dyDescent="0.25">
      <c r="A458" s="4"/>
      <c r="B458" s="4"/>
      <c r="C458" s="4"/>
      <c r="D458" s="4"/>
      <c r="E458" s="4"/>
    </row>
    <row r="459" spans="1:5" ht="15.75" customHeight="1" x14ac:dyDescent="0.25">
      <c r="A459" s="4"/>
      <c r="B459" s="4"/>
      <c r="C459" s="4"/>
      <c r="D459" s="4"/>
      <c r="E459" s="4"/>
    </row>
    <row r="460" spans="1:5" ht="15.75" customHeight="1" x14ac:dyDescent="0.25">
      <c r="A460" s="4"/>
      <c r="B460" s="4"/>
      <c r="C460" s="4"/>
      <c r="D460" s="4"/>
      <c r="E460" s="4"/>
    </row>
    <row r="461" spans="1:5" ht="15.75" customHeight="1" x14ac:dyDescent="0.25">
      <c r="A461" s="4"/>
      <c r="B461" s="4"/>
      <c r="C461" s="4"/>
      <c r="D461" s="4"/>
      <c r="E461" s="4"/>
    </row>
    <row r="462" spans="1:5" ht="15.75" customHeight="1" x14ac:dyDescent="0.25">
      <c r="A462" s="4"/>
      <c r="B462" s="4"/>
      <c r="C462" s="4"/>
      <c r="D462" s="4"/>
      <c r="E462" s="4"/>
    </row>
    <row r="463" spans="1:5" ht="15.75" customHeight="1" x14ac:dyDescent="0.25">
      <c r="A463" s="4"/>
      <c r="B463" s="4"/>
      <c r="C463" s="4"/>
      <c r="D463" s="4"/>
      <c r="E463" s="4"/>
    </row>
    <row r="464" spans="1:5" ht="15.75" customHeight="1" x14ac:dyDescent="0.25">
      <c r="A464" s="4"/>
      <c r="B464" s="4"/>
      <c r="C464" s="4"/>
      <c r="D464" s="4"/>
      <c r="E464" s="4"/>
    </row>
    <row r="465" spans="1:5" ht="15.75" customHeight="1" x14ac:dyDescent="0.25">
      <c r="A465" s="4"/>
      <c r="B465" s="4"/>
      <c r="C465" s="4"/>
      <c r="D465" s="4"/>
      <c r="E465" s="4"/>
    </row>
    <row r="466" spans="1:5" ht="15.75" customHeight="1" x14ac:dyDescent="0.25">
      <c r="A466" s="4"/>
      <c r="B466" s="4"/>
      <c r="C466" s="4"/>
      <c r="D466" s="4"/>
      <c r="E466" s="4"/>
    </row>
    <row r="467" spans="1:5" ht="15.75" customHeight="1" x14ac:dyDescent="0.25">
      <c r="A467" s="4"/>
      <c r="B467" s="4"/>
      <c r="C467" s="4"/>
      <c r="D467" s="4"/>
      <c r="E467" s="4"/>
    </row>
    <row r="468" spans="1:5" ht="15.75" customHeight="1" x14ac:dyDescent="0.25">
      <c r="A468" s="4"/>
      <c r="B468" s="4"/>
      <c r="C468" s="4"/>
      <c r="D468" s="4"/>
      <c r="E468" s="4"/>
    </row>
    <row r="469" spans="1:5" ht="15.75" customHeight="1" x14ac:dyDescent="0.25">
      <c r="A469" s="4"/>
      <c r="B469" s="4"/>
      <c r="C469" s="4"/>
      <c r="D469" s="4"/>
      <c r="E469" s="4"/>
    </row>
    <row r="470" spans="1:5" ht="15.75" customHeight="1" x14ac:dyDescent="0.25">
      <c r="A470" s="4"/>
      <c r="B470" s="4"/>
      <c r="C470" s="4"/>
      <c r="D470" s="4"/>
      <c r="E470" s="4"/>
    </row>
    <row r="471" spans="1:5" ht="15.75" customHeight="1" x14ac:dyDescent="0.25">
      <c r="A471" s="4"/>
      <c r="B471" s="4"/>
      <c r="C471" s="4"/>
      <c r="D471" s="4"/>
      <c r="E471" s="4"/>
    </row>
    <row r="472" spans="1:5" ht="15.75" customHeight="1" x14ac:dyDescent="0.25">
      <c r="A472" s="4"/>
      <c r="B472" s="4"/>
      <c r="C472" s="4"/>
      <c r="D472" s="4"/>
      <c r="E472" s="4"/>
    </row>
    <row r="473" spans="1:5" ht="15.75" customHeight="1" x14ac:dyDescent="0.25">
      <c r="A473" s="4"/>
      <c r="B473" s="4"/>
      <c r="C473" s="4"/>
      <c r="D473" s="4"/>
      <c r="E473" s="4"/>
    </row>
    <row r="474" spans="1:5" ht="15.75" customHeight="1" x14ac:dyDescent="0.25">
      <c r="A474" s="4"/>
      <c r="B474" s="4"/>
      <c r="C474" s="4"/>
      <c r="D474" s="4"/>
      <c r="E474" s="4"/>
    </row>
    <row r="475" spans="1:5" ht="15.75" customHeight="1" x14ac:dyDescent="0.25">
      <c r="A475" s="4"/>
      <c r="B475" s="4"/>
      <c r="C475" s="4"/>
      <c r="D475" s="4"/>
      <c r="E475" s="4"/>
    </row>
    <row r="476" spans="1:5" ht="15.75" customHeight="1" x14ac:dyDescent="0.25">
      <c r="A476" s="4"/>
      <c r="B476" s="4"/>
      <c r="C476" s="4"/>
      <c r="D476" s="4"/>
      <c r="E476" s="4"/>
    </row>
    <row r="477" spans="1:5" ht="15.75" customHeight="1" x14ac:dyDescent="0.25">
      <c r="A477" s="4"/>
      <c r="B477" s="4"/>
      <c r="C477" s="4"/>
      <c r="D477" s="4"/>
      <c r="E477" s="4"/>
    </row>
    <row r="478" spans="1:5" ht="15.75" customHeight="1" x14ac:dyDescent="0.25">
      <c r="A478" s="4"/>
      <c r="B478" s="4"/>
      <c r="C478" s="4"/>
      <c r="D478" s="4"/>
      <c r="E478" s="4"/>
    </row>
    <row r="479" spans="1:5" ht="15.75" customHeight="1" x14ac:dyDescent="0.25">
      <c r="A479" s="4"/>
      <c r="B479" s="4"/>
      <c r="C479" s="4"/>
      <c r="D479" s="4"/>
      <c r="E479" s="4"/>
    </row>
    <row r="480" spans="1:5" ht="15.75" customHeight="1" x14ac:dyDescent="0.25">
      <c r="A480" s="4"/>
      <c r="B480" s="4"/>
      <c r="C480" s="4"/>
      <c r="D480" s="4"/>
      <c r="E480" s="4"/>
    </row>
    <row r="481" spans="1:5" ht="15.75" customHeight="1" x14ac:dyDescent="0.25">
      <c r="A481" s="4"/>
      <c r="B481" s="4"/>
      <c r="C481" s="4"/>
      <c r="D481" s="4"/>
      <c r="E481" s="4"/>
    </row>
    <row r="482" spans="1:5" ht="15.75" customHeight="1" x14ac:dyDescent="0.25">
      <c r="A482" s="4"/>
      <c r="B482" s="4"/>
      <c r="C482" s="4"/>
      <c r="D482" s="4"/>
      <c r="E482" s="4"/>
    </row>
    <row r="483" spans="1:5" ht="15.75" customHeight="1" x14ac:dyDescent="0.25">
      <c r="A483" s="4"/>
      <c r="B483" s="4"/>
      <c r="C483" s="4"/>
      <c r="D483" s="4"/>
      <c r="E483" s="4"/>
    </row>
    <row r="484" spans="1:5" ht="15.75" customHeight="1" x14ac:dyDescent="0.25">
      <c r="A484" s="4"/>
      <c r="B484" s="4"/>
      <c r="C484" s="4"/>
      <c r="D484" s="4"/>
      <c r="E484" s="4"/>
    </row>
    <row r="485" spans="1:5" ht="15.75" customHeight="1" x14ac:dyDescent="0.25">
      <c r="A485" s="4"/>
      <c r="B485" s="4"/>
      <c r="C485" s="4"/>
      <c r="D485" s="4"/>
      <c r="E485" s="4"/>
    </row>
    <row r="486" spans="1:5" ht="15.75" customHeight="1" x14ac:dyDescent="0.25">
      <c r="A486" s="4"/>
      <c r="B486" s="4"/>
      <c r="C486" s="4"/>
      <c r="D486" s="4"/>
      <c r="E486" s="4"/>
    </row>
    <row r="487" spans="1:5" ht="15.75" customHeight="1" x14ac:dyDescent="0.25">
      <c r="A487" s="4"/>
      <c r="B487" s="4"/>
      <c r="C487" s="4"/>
      <c r="D487" s="4"/>
      <c r="E487" s="4"/>
    </row>
    <row r="488" spans="1:5" ht="15.75" customHeight="1" x14ac:dyDescent="0.25">
      <c r="A488" s="4"/>
      <c r="B488" s="4"/>
      <c r="C488" s="4"/>
      <c r="D488" s="4"/>
      <c r="E488" s="4"/>
    </row>
    <row r="489" spans="1:5" ht="15.75" customHeight="1" x14ac:dyDescent="0.25">
      <c r="A489" s="4"/>
      <c r="B489" s="4"/>
      <c r="C489" s="4"/>
      <c r="D489" s="4"/>
      <c r="E489" s="4"/>
    </row>
    <row r="490" spans="1:5" ht="15.75" customHeight="1" x14ac:dyDescent="0.25">
      <c r="A490" s="4"/>
      <c r="B490" s="4"/>
      <c r="C490" s="4"/>
      <c r="D490" s="4"/>
      <c r="E490" s="4"/>
    </row>
    <row r="491" spans="1:5" ht="15.75" customHeight="1" x14ac:dyDescent="0.25">
      <c r="A491" s="4"/>
      <c r="B491" s="4"/>
      <c r="C491" s="4"/>
      <c r="D491" s="4"/>
      <c r="E491" s="4"/>
    </row>
    <row r="492" spans="1:5" ht="15.75" customHeight="1" x14ac:dyDescent="0.25">
      <c r="A492" s="4"/>
      <c r="B492" s="4"/>
      <c r="C492" s="4"/>
      <c r="D492" s="4"/>
      <c r="E492" s="4"/>
    </row>
    <row r="493" spans="1:5" ht="15.75" customHeight="1" x14ac:dyDescent="0.25">
      <c r="A493" s="4"/>
      <c r="B493" s="4"/>
      <c r="C493" s="4"/>
      <c r="D493" s="4"/>
      <c r="E493" s="4"/>
    </row>
    <row r="494" spans="1:5" ht="15.75" customHeight="1" x14ac:dyDescent="0.25">
      <c r="A494" s="4"/>
      <c r="B494" s="4"/>
      <c r="C494" s="4"/>
      <c r="D494" s="4"/>
      <c r="E494" s="4"/>
    </row>
    <row r="495" spans="1:5" ht="15.75" customHeight="1" x14ac:dyDescent="0.25">
      <c r="A495" s="4"/>
      <c r="B495" s="4"/>
      <c r="C495" s="4"/>
      <c r="D495" s="4"/>
      <c r="E495" s="4"/>
    </row>
    <row r="496" spans="1:5" ht="15.75" customHeight="1" x14ac:dyDescent="0.25">
      <c r="A496" s="4"/>
      <c r="B496" s="4"/>
      <c r="C496" s="4"/>
      <c r="D496" s="4"/>
      <c r="E496" s="4"/>
    </row>
    <row r="497" spans="1:5" ht="15.75" customHeight="1" x14ac:dyDescent="0.25">
      <c r="A497" s="4"/>
      <c r="B497" s="4"/>
      <c r="C497" s="4"/>
      <c r="D497" s="4"/>
      <c r="E497" s="4"/>
    </row>
    <row r="498" spans="1:5" ht="15.75" customHeight="1" x14ac:dyDescent="0.25">
      <c r="A498" s="4"/>
      <c r="B498" s="4"/>
      <c r="C498" s="4"/>
      <c r="D498" s="4"/>
      <c r="E498" s="4"/>
    </row>
    <row r="499" spans="1:5" ht="15.75" customHeight="1" x14ac:dyDescent="0.25">
      <c r="A499" s="4"/>
      <c r="B499" s="4"/>
      <c r="C499" s="4"/>
      <c r="D499" s="4"/>
      <c r="E499" s="4"/>
    </row>
    <row r="500" spans="1:5" ht="15.75" customHeight="1" x14ac:dyDescent="0.25">
      <c r="A500" s="4"/>
      <c r="B500" s="4"/>
      <c r="C500" s="4"/>
      <c r="D500" s="4"/>
      <c r="E500" s="4"/>
    </row>
    <row r="501" spans="1:5" ht="15.75" customHeight="1" x14ac:dyDescent="0.25">
      <c r="A501" s="4"/>
      <c r="B501" s="4"/>
      <c r="C501" s="4"/>
      <c r="D501" s="4"/>
      <c r="E501" s="4"/>
    </row>
    <row r="502" spans="1:5" ht="15.75" customHeight="1" x14ac:dyDescent="0.25">
      <c r="A502" s="4"/>
      <c r="B502" s="4"/>
      <c r="C502" s="4"/>
      <c r="D502" s="4"/>
      <c r="E502" s="4"/>
    </row>
    <row r="503" spans="1:5" ht="15.75" customHeight="1" x14ac:dyDescent="0.25">
      <c r="A503" s="4"/>
      <c r="B503" s="4"/>
      <c r="C503" s="4"/>
      <c r="D503" s="4"/>
      <c r="E503" s="4"/>
    </row>
    <row r="504" spans="1:5" ht="15.75" customHeight="1" x14ac:dyDescent="0.25">
      <c r="A504" s="4"/>
      <c r="B504" s="4"/>
      <c r="C504" s="4"/>
      <c r="D504" s="4"/>
      <c r="E504" s="4"/>
    </row>
    <row r="505" spans="1:5" ht="15.75" customHeight="1" x14ac:dyDescent="0.25">
      <c r="A505" s="4"/>
      <c r="B505" s="4"/>
      <c r="C505" s="4"/>
      <c r="D505" s="4"/>
      <c r="E505" s="4"/>
    </row>
    <row r="506" spans="1:5" ht="15.75" customHeight="1" x14ac:dyDescent="0.25">
      <c r="A506" s="4"/>
      <c r="B506" s="4"/>
      <c r="C506" s="4"/>
      <c r="D506" s="4"/>
      <c r="E506" s="4"/>
    </row>
    <row r="507" spans="1:5" ht="15.75" customHeight="1" x14ac:dyDescent="0.25">
      <c r="A507" s="4"/>
      <c r="B507" s="4"/>
      <c r="C507" s="4"/>
      <c r="D507" s="4"/>
      <c r="E507" s="4"/>
    </row>
    <row r="508" spans="1:5" ht="15.75" customHeight="1" x14ac:dyDescent="0.25">
      <c r="A508" s="4"/>
      <c r="B508" s="4"/>
      <c r="C508" s="4"/>
      <c r="D508" s="4"/>
      <c r="E508" s="4"/>
    </row>
    <row r="509" spans="1:5" ht="15.75" customHeight="1" x14ac:dyDescent="0.25">
      <c r="A509" s="4"/>
      <c r="B509" s="4"/>
      <c r="C509" s="4"/>
      <c r="D509" s="4"/>
      <c r="E509" s="4"/>
    </row>
    <row r="510" spans="1:5" ht="15.75" customHeight="1" x14ac:dyDescent="0.25">
      <c r="A510" s="4"/>
      <c r="B510" s="4"/>
      <c r="C510" s="4"/>
      <c r="D510" s="4"/>
      <c r="E510" s="4"/>
    </row>
    <row r="511" spans="1:5" ht="15.75" customHeight="1" x14ac:dyDescent="0.25">
      <c r="A511" s="4"/>
      <c r="B511" s="4"/>
      <c r="C511" s="4"/>
      <c r="D511" s="4"/>
      <c r="E511" s="4"/>
    </row>
    <row r="512" spans="1:5" ht="15.75" customHeight="1" x14ac:dyDescent="0.25">
      <c r="A512" s="4"/>
      <c r="B512" s="4"/>
      <c r="C512" s="4"/>
      <c r="D512" s="4"/>
      <c r="E512" s="4"/>
    </row>
    <row r="513" spans="1:5" ht="15.75" customHeight="1" x14ac:dyDescent="0.25">
      <c r="A513" s="4"/>
      <c r="B513" s="4"/>
      <c r="C513" s="4"/>
      <c r="D513" s="4"/>
      <c r="E513" s="4"/>
    </row>
    <row r="514" spans="1:5" ht="15.75" customHeight="1" x14ac:dyDescent="0.25">
      <c r="A514" s="4"/>
      <c r="B514" s="4"/>
      <c r="C514" s="4"/>
      <c r="D514" s="4"/>
      <c r="E514" s="4"/>
    </row>
    <row r="515" spans="1:5" ht="15.75" customHeight="1" x14ac:dyDescent="0.25">
      <c r="A515" s="4"/>
      <c r="B515" s="4"/>
      <c r="C515" s="4"/>
      <c r="D515" s="4"/>
      <c r="E515" s="4"/>
    </row>
    <row r="516" spans="1:5" ht="15.75" customHeight="1" x14ac:dyDescent="0.25">
      <c r="A516" s="4"/>
      <c r="B516" s="4"/>
      <c r="C516" s="4"/>
      <c r="D516" s="4"/>
      <c r="E516" s="4"/>
    </row>
    <row r="517" spans="1:5" ht="15.75" customHeight="1" x14ac:dyDescent="0.25">
      <c r="A517" s="4"/>
      <c r="B517" s="4"/>
      <c r="C517" s="4"/>
      <c r="D517" s="4"/>
      <c r="E517" s="4"/>
    </row>
    <row r="518" spans="1:5" ht="15.75" customHeight="1" x14ac:dyDescent="0.25">
      <c r="A518" s="4"/>
      <c r="B518" s="4"/>
      <c r="C518" s="4"/>
      <c r="D518" s="4"/>
      <c r="E518" s="4"/>
    </row>
    <row r="519" spans="1:5" ht="15.75" customHeight="1" x14ac:dyDescent="0.25">
      <c r="A519" s="4"/>
      <c r="B519" s="4"/>
      <c r="C519" s="4"/>
      <c r="D519" s="4"/>
      <c r="E519" s="4"/>
    </row>
    <row r="520" spans="1:5" ht="15.75" customHeight="1" x14ac:dyDescent="0.25">
      <c r="A520" s="4"/>
      <c r="B520" s="4"/>
      <c r="C520" s="4"/>
      <c r="D520" s="4"/>
      <c r="E520" s="4"/>
    </row>
    <row r="521" spans="1:5" ht="15.75" customHeight="1" x14ac:dyDescent="0.25">
      <c r="A521" s="4"/>
      <c r="B521" s="4"/>
      <c r="C521" s="4"/>
      <c r="D521" s="4"/>
      <c r="E521" s="4"/>
    </row>
    <row r="522" spans="1:5" ht="15.75" customHeight="1" x14ac:dyDescent="0.25">
      <c r="A522" s="4"/>
      <c r="B522" s="4"/>
      <c r="C522" s="4"/>
      <c r="D522" s="4"/>
      <c r="E522" s="4"/>
    </row>
    <row r="523" spans="1:5" ht="15.75" customHeight="1" x14ac:dyDescent="0.25">
      <c r="A523" s="4"/>
      <c r="B523" s="4"/>
      <c r="C523" s="4"/>
      <c r="D523" s="4"/>
      <c r="E523" s="4"/>
    </row>
    <row r="524" spans="1:5" ht="15.75" customHeight="1" x14ac:dyDescent="0.25">
      <c r="A524" s="4"/>
      <c r="B524" s="4"/>
      <c r="C524" s="4"/>
      <c r="D524" s="4"/>
      <c r="E524" s="4"/>
    </row>
    <row r="525" spans="1:5" ht="15.75" customHeight="1" x14ac:dyDescent="0.25">
      <c r="A525" s="4"/>
      <c r="B525" s="4"/>
      <c r="C525" s="4"/>
      <c r="D525" s="4"/>
      <c r="E525" s="4"/>
    </row>
    <row r="526" spans="1:5" ht="15.75" customHeight="1" x14ac:dyDescent="0.25">
      <c r="A526" s="4"/>
      <c r="B526" s="4"/>
      <c r="C526" s="4"/>
      <c r="D526" s="4"/>
      <c r="E526" s="4"/>
    </row>
    <row r="527" spans="1:5" ht="15.75" customHeight="1" x14ac:dyDescent="0.25">
      <c r="A527" s="4"/>
      <c r="B527" s="4"/>
      <c r="C527" s="4"/>
      <c r="D527" s="4"/>
      <c r="E527" s="4"/>
    </row>
    <row r="528" spans="1:5" ht="15.75" customHeight="1" x14ac:dyDescent="0.25">
      <c r="A528" s="4"/>
      <c r="B528" s="4"/>
      <c r="C528" s="4"/>
      <c r="D528" s="4"/>
      <c r="E528" s="4"/>
    </row>
    <row r="529" spans="1:5" ht="15.75" customHeight="1" x14ac:dyDescent="0.25">
      <c r="A529" s="4"/>
      <c r="B529" s="4"/>
      <c r="C529" s="4"/>
      <c r="D529" s="4"/>
      <c r="E529" s="4"/>
    </row>
    <row r="530" spans="1:5" ht="15.75" customHeight="1" x14ac:dyDescent="0.25">
      <c r="A530" s="4"/>
      <c r="B530" s="4"/>
      <c r="C530" s="4"/>
      <c r="D530" s="4"/>
      <c r="E530" s="4"/>
    </row>
    <row r="531" spans="1:5" ht="15.75" customHeight="1" x14ac:dyDescent="0.25">
      <c r="A531" s="4"/>
      <c r="B531" s="4"/>
      <c r="C531" s="4"/>
      <c r="D531" s="4"/>
      <c r="E531" s="4"/>
    </row>
    <row r="532" spans="1:5" ht="15.75" customHeight="1" x14ac:dyDescent="0.25">
      <c r="A532" s="4"/>
      <c r="B532" s="4"/>
      <c r="C532" s="4"/>
      <c r="D532" s="4"/>
      <c r="E532" s="4"/>
    </row>
    <row r="533" spans="1:5" ht="15.75" customHeight="1" x14ac:dyDescent="0.25">
      <c r="A533" s="4"/>
      <c r="B533" s="4"/>
      <c r="C533" s="4"/>
      <c r="D533" s="4"/>
      <c r="E533" s="4"/>
    </row>
    <row r="534" spans="1:5" ht="15.75" customHeight="1" x14ac:dyDescent="0.25">
      <c r="A534" s="4"/>
      <c r="B534" s="4"/>
      <c r="C534" s="4"/>
      <c r="D534" s="4"/>
      <c r="E534" s="4"/>
    </row>
    <row r="535" spans="1:5" ht="15.75" customHeight="1" x14ac:dyDescent="0.25">
      <c r="A535" s="4"/>
      <c r="B535" s="4"/>
      <c r="C535" s="4"/>
      <c r="D535" s="4"/>
      <c r="E535" s="4"/>
    </row>
    <row r="536" spans="1:5" ht="15.75" customHeight="1" x14ac:dyDescent="0.25">
      <c r="A536" s="4"/>
      <c r="B536" s="4"/>
      <c r="C536" s="4"/>
      <c r="D536" s="4"/>
      <c r="E536" s="4"/>
    </row>
    <row r="537" spans="1:5" ht="15.75" customHeight="1" x14ac:dyDescent="0.25">
      <c r="A537" s="4"/>
      <c r="B537" s="4"/>
      <c r="C537" s="4"/>
      <c r="D537" s="4"/>
      <c r="E537" s="4"/>
    </row>
    <row r="538" spans="1:5" ht="15.75" customHeight="1" x14ac:dyDescent="0.25">
      <c r="A538" s="4"/>
      <c r="B538" s="4"/>
      <c r="C538" s="4"/>
      <c r="D538" s="4"/>
      <c r="E538" s="4"/>
    </row>
    <row r="539" spans="1:5" ht="15.75" customHeight="1" x14ac:dyDescent="0.25">
      <c r="A539" s="4"/>
      <c r="B539" s="4"/>
      <c r="C539" s="4"/>
      <c r="D539" s="4"/>
      <c r="E539" s="4"/>
    </row>
    <row r="540" spans="1:5" ht="15.75" customHeight="1" x14ac:dyDescent="0.25">
      <c r="A540" s="4"/>
      <c r="B540" s="4"/>
      <c r="C540" s="4"/>
      <c r="D540" s="4"/>
      <c r="E540" s="4"/>
    </row>
    <row r="541" spans="1:5" ht="15.75" customHeight="1" x14ac:dyDescent="0.25">
      <c r="A541" s="4"/>
      <c r="B541" s="4"/>
      <c r="C541" s="4"/>
      <c r="D541" s="4"/>
      <c r="E541" s="4"/>
    </row>
    <row r="542" spans="1:5" ht="15.75" customHeight="1" x14ac:dyDescent="0.25">
      <c r="A542" s="4"/>
      <c r="B542" s="4"/>
      <c r="C542" s="4"/>
      <c r="D542" s="4"/>
      <c r="E542" s="4"/>
    </row>
    <row r="543" spans="1:5" ht="15.75" customHeight="1" x14ac:dyDescent="0.25">
      <c r="A543" s="4"/>
      <c r="B543" s="4"/>
      <c r="C543" s="4"/>
      <c r="D543" s="4"/>
      <c r="E543" s="4"/>
    </row>
    <row r="544" spans="1:5" ht="15.75" customHeight="1" x14ac:dyDescent="0.25">
      <c r="A544" s="4"/>
      <c r="B544" s="4"/>
      <c r="C544" s="4"/>
      <c r="D544" s="4"/>
      <c r="E544" s="4"/>
    </row>
    <row r="545" spans="1:5" ht="15.75" customHeight="1" x14ac:dyDescent="0.25">
      <c r="A545" s="4"/>
      <c r="B545" s="4"/>
      <c r="C545" s="4"/>
      <c r="D545" s="4"/>
      <c r="E545" s="4"/>
    </row>
    <row r="546" spans="1:5" ht="15.75" customHeight="1" x14ac:dyDescent="0.25">
      <c r="A546" s="4"/>
      <c r="B546" s="4"/>
      <c r="C546" s="4"/>
      <c r="D546" s="4"/>
      <c r="E546" s="4"/>
    </row>
    <row r="547" spans="1:5" ht="15.75" customHeight="1" x14ac:dyDescent="0.25">
      <c r="A547" s="4"/>
      <c r="B547" s="4"/>
      <c r="C547" s="4"/>
      <c r="D547" s="4"/>
      <c r="E547" s="4"/>
    </row>
    <row r="548" spans="1:5" ht="15.75" customHeight="1" x14ac:dyDescent="0.25">
      <c r="A548" s="4"/>
      <c r="B548" s="4"/>
      <c r="C548" s="4"/>
      <c r="D548" s="4"/>
      <c r="E548" s="4"/>
    </row>
    <row r="549" spans="1:5" ht="15.75" customHeight="1" x14ac:dyDescent="0.25">
      <c r="A549" s="4"/>
      <c r="B549" s="4"/>
      <c r="C549" s="4"/>
      <c r="D549" s="4"/>
      <c r="E549" s="4"/>
    </row>
    <row r="550" spans="1:5" ht="15.75" customHeight="1" x14ac:dyDescent="0.25">
      <c r="A550" s="4"/>
      <c r="B550" s="4"/>
      <c r="C550" s="4"/>
      <c r="D550" s="4"/>
      <c r="E550" s="4"/>
    </row>
    <row r="551" spans="1:5" ht="15.75" customHeight="1" x14ac:dyDescent="0.25">
      <c r="A551" s="4"/>
      <c r="B551" s="4"/>
      <c r="C551" s="4"/>
      <c r="D551" s="4"/>
      <c r="E551" s="4"/>
    </row>
    <row r="552" spans="1:5" ht="15.75" customHeight="1" x14ac:dyDescent="0.25">
      <c r="A552" s="4"/>
      <c r="B552" s="4"/>
      <c r="C552" s="4"/>
      <c r="D552" s="4"/>
      <c r="E552" s="4"/>
    </row>
    <row r="553" spans="1:5" ht="15.75" customHeight="1" x14ac:dyDescent="0.25">
      <c r="A553" s="4"/>
      <c r="B553" s="4"/>
      <c r="C553" s="4"/>
      <c r="D553" s="4"/>
      <c r="E553" s="4"/>
    </row>
    <row r="554" spans="1:5" ht="15.75" customHeight="1" x14ac:dyDescent="0.25">
      <c r="A554" s="4"/>
      <c r="B554" s="4"/>
      <c r="C554" s="4"/>
      <c r="D554" s="4"/>
      <c r="E554" s="4"/>
    </row>
    <row r="555" spans="1:5" ht="15.75" customHeight="1" x14ac:dyDescent="0.25">
      <c r="A555" s="4"/>
      <c r="B555" s="4"/>
      <c r="C555" s="4"/>
      <c r="D555" s="4"/>
      <c r="E555" s="4"/>
    </row>
    <row r="556" spans="1:5" ht="15.75" customHeight="1" x14ac:dyDescent="0.25">
      <c r="A556" s="4"/>
      <c r="B556" s="4"/>
      <c r="C556" s="4"/>
      <c r="D556" s="4"/>
      <c r="E556" s="4"/>
    </row>
    <row r="557" spans="1:5" ht="15.75" customHeight="1" x14ac:dyDescent="0.25">
      <c r="A557" s="4"/>
      <c r="B557" s="4"/>
      <c r="C557" s="4"/>
      <c r="D557" s="4"/>
      <c r="E557" s="4"/>
    </row>
    <row r="558" spans="1:5" ht="15.75" customHeight="1" x14ac:dyDescent="0.25">
      <c r="A558" s="4"/>
      <c r="B558" s="4"/>
      <c r="C558" s="4"/>
      <c r="D558" s="4"/>
      <c r="E558" s="4"/>
    </row>
    <row r="559" spans="1:5" ht="15.75" customHeight="1" x14ac:dyDescent="0.25">
      <c r="A559" s="4"/>
      <c r="B559" s="4"/>
      <c r="C559" s="4"/>
      <c r="D559" s="4"/>
      <c r="E559" s="4"/>
    </row>
    <row r="560" spans="1:5" ht="15.75" customHeight="1" x14ac:dyDescent="0.25">
      <c r="A560" s="4"/>
      <c r="B560" s="4"/>
      <c r="C560" s="4"/>
      <c r="D560" s="4"/>
      <c r="E560" s="4"/>
    </row>
    <row r="561" spans="1:5" ht="15.75" customHeight="1" x14ac:dyDescent="0.25">
      <c r="A561" s="4"/>
      <c r="B561" s="4"/>
      <c r="C561" s="4"/>
      <c r="D561" s="4"/>
      <c r="E561" s="4"/>
    </row>
    <row r="562" spans="1:5" ht="15.75" customHeight="1" x14ac:dyDescent="0.25">
      <c r="A562" s="4"/>
      <c r="B562" s="4"/>
      <c r="C562" s="4"/>
      <c r="D562" s="4"/>
      <c r="E562" s="4"/>
    </row>
    <row r="563" spans="1:5" ht="15.75" customHeight="1" x14ac:dyDescent="0.25">
      <c r="A563" s="4"/>
      <c r="B563" s="4"/>
      <c r="C563" s="4"/>
      <c r="D563" s="4"/>
      <c r="E563" s="4"/>
    </row>
    <row r="564" spans="1:5" ht="15.75" customHeight="1" x14ac:dyDescent="0.25">
      <c r="A564" s="4"/>
      <c r="B564" s="4"/>
      <c r="C564" s="4"/>
      <c r="D564" s="4"/>
      <c r="E564" s="4"/>
    </row>
    <row r="565" spans="1:5" ht="15.75" customHeight="1" x14ac:dyDescent="0.25">
      <c r="A565" s="4"/>
      <c r="B565" s="4"/>
      <c r="C565" s="4"/>
      <c r="D565" s="4"/>
      <c r="E565" s="4"/>
    </row>
    <row r="566" spans="1:5" ht="15.75" customHeight="1" x14ac:dyDescent="0.25">
      <c r="A566" s="4"/>
      <c r="B566" s="4"/>
      <c r="C566" s="4"/>
      <c r="D566" s="4"/>
      <c r="E566" s="4"/>
    </row>
    <row r="567" spans="1:5" ht="15.75" customHeight="1" x14ac:dyDescent="0.25">
      <c r="A567" s="4"/>
      <c r="B567" s="4"/>
      <c r="C567" s="4"/>
      <c r="D567" s="4"/>
      <c r="E567" s="4"/>
    </row>
    <row r="568" spans="1:5" ht="15.75" customHeight="1" x14ac:dyDescent="0.25">
      <c r="A568" s="4"/>
      <c r="B568" s="4"/>
      <c r="C568" s="4"/>
      <c r="D568" s="4"/>
      <c r="E568" s="4"/>
    </row>
    <row r="569" spans="1:5" ht="15.75" customHeight="1" x14ac:dyDescent="0.25">
      <c r="A569" s="4"/>
      <c r="B569" s="4"/>
      <c r="C569" s="4"/>
      <c r="D569" s="4"/>
      <c r="E569" s="4"/>
    </row>
    <row r="570" spans="1:5" ht="15.75" customHeight="1" x14ac:dyDescent="0.25">
      <c r="A570" s="4"/>
      <c r="B570" s="4"/>
      <c r="C570" s="4"/>
      <c r="D570" s="4"/>
      <c r="E570" s="4"/>
    </row>
    <row r="571" spans="1:5" ht="15.75" customHeight="1" x14ac:dyDescent="0.25">
      <c r="A571" s="4"/>
      <c r="B571" s="4"/>
      <c r="C571" s="4"/>
      <c r="D571" s="4"/>
      <c r="E571" s="4"/>
    </row>
    <row r="572" spans="1:5" ht="15.75" customHeight="1" x14ac:dyDescent="0.25">
      <c r="A572" s="4"/>
      <c r="B572" s="4"/>
      <c r="C572" s="4"/>
      <c r="D572" s="4"/>
      <c r="E572" s="4"/>
    </row>
    <row r="573" spans="1:5" ht="15.75" customHeight="1" x14ac:dyDescent="0.25">
      <c r="A573" s="4"/>
      <c r="B573" s="4"/>
      <c r="C573" s="4"/>
      <c r="D573" s="4"/>
      <c r="E573" s="4"/>
    </row>
    <row r="574" spans="1:5" ht="15.75" customHeight="1" x14ac:dyDescent="0.25">
      <c r="A574" s="4"/>
      <c r="B574" s="4"/>
      <c r="C574" s="4"/>
      <c r="D574" s="4"/>
      <c r="E574" s="4"/>
    </row>
    <row r="575" spans="1:5" ht="15.75" customHeight="1" x14ac:dyDescent="0.25">
      <c r="A575" s="4"/>
      <c r="B575" s="4"/>
      <c r="C575" s="4"/>
      <c r="D575" s="4"/>
      <c r="E575" s="4"/>
    </row>
    <row r="576" spans="1:5" ht="15.75" customHeight="1" x14ac:dyDescent="0.25">
      <c r="A576" s="4"/>
      <c r="B576" s="4"/>
      <c r="C576" s="4"/>
      <c r="D576" s="4"/>
      <c r="E576" s="4"/>
    </row>
    <row r="577" spans="1:5" ht="15.75" customHeight="1" x14ac:dyDescent="0.25">
      <c r="A577" s="4"/>
      <c r="B577" s="4"/>
      <c r="C577" s="4"/>
      <c r="D577" s="4"/>
      <c r="E577" s="4"/>
    </row>
    <row r="578" spans="1:5" ht="15.75" customHeight="1" x14ac:dyDescent="0.25">
      <c r="A578" s="4"/>
      <c r="B578" s="4"/>
      <c r="C578" s="4"/>
      <c r="D578" s="4"/>
      <c r="E578" s="4"/>
    </row>
    <row r="579" spans="1:5" ht="15.75" customHeight="1" x14ac:dyDescent="0.25">
      <c r="A579" s="4"/>
      <c r="B579" s="4"/>
      <c r="C579" s="4"/>
      <c r="D579" s="4"/>
      <c r="E579" s="4"/>
    </row>
    <row r="580" spans="1:5" ht="15.75" customHeight="1" x14ac:dyDescent="0.25">
      <c r="A580" s="4"/>
      <c r="B580" s="4"/>
      <c r="C580" s="4"/>
      <c r="D580" s="4"/>
      <c r="E580" s="4"/>
    </row>
    <row r="581" spans="1:5" ht="15.75" customHeight="1" x14ac:dyDescent="0.25">
      <c r="A581" s="4"/>
      <c r="B581" s="4"/>
      <c r="C581" s="4"/>
      <c r="D581" s="4"/>
      <c r="E581" s="4"/>
    </row>
    <row r="582" spans="1:5" ht="15.75" customHeight="1" x14ac:dyDescent="0.25">
      <c r="A582" s="4"/>
      <c r="B582" s="4"/>
      <c r="C582" s="4"/>
      <c r="D582" s="4"/>
      <c r="E582" s="4"/>
    </row>
    <row r="583" spans="1:5" ht="15.75" customHeight="1" x14ac:dyDescent="0.25">
      <c r="A583" s="4"/>
      <c r="B583" s="4"/>
      <c r="C583" s="4"/>
      <c r="D583" s="4"/>
      <c r="E583" s="4"/>
    </row>
    <row r="584" spans="1:5" ht="15.75" customHeight="1" x14ac:dyDescent="0.25">
      <c r="A584" s="4"/>
      <c r="B584" s="4"/>
      <c r="C584" s="4"/>
      <c r="D584" s="4"/>
      <c r="E584" s="4"/>
    </row>
    <row r="585" spans="1:5" ht="15.75" customHeight="1" x14ac:dyDescent="0.25">
      <c r="A585" s="4"/>
      <c r="B585" s="4"/>
      <c r="C585" s="4"/>
      <c r="D585" s="4"/>
      <c r="E585" s="4"/>
    </row>
    <row r="586" spans="1:5" ht="15.75" customHeight="1" x14ac:dyDescent="0.25">
      <c r="A586" s="4"/>
      <c r="B586" s="4"/>
      <c r="C586" s="4"/>
      <c r="D586" s="4"/>
      <c r="E586" s="4"/>
    </row>
    <row r="587" spans="1:5" ht="15.75" customHeight="1" x14ac:dyDescent="0.25">
      <c r="A587" s="4"/>
      <c r="B587" s="4"/>
      <c r="C587" s="4"/>
      <c r="D587" s="4"/>
      <c r="E587" s="4"/>
    </row>
    <row r="588" spans="1:5" ht="15.75" customHeight="1" x14ac:dyDescent="0.25">
      <c r="A588" s="4"/>
      <c r="B588" s="4"/>
      <c r="C588" s="4"/>
      <c r="D588" s="4"/>
      <c r="E588" s="4"/>
    </row>
    <row r="589" spans="1:5" ht="15.75" customHeight="1" x14ac:dyDescent="0.25">
      <c r="A589" s="4"/>
      <c r="B589" s="4"/>
      <c r="C589" s="4"/>
      <c r="D589" s="4"/>
      <c r="E589" s="4"/>
    </row>
    <row r="590" spans="1:5" ht="15.75" customHeight="1" x14ac:dyDescent="0.25">
      <c r="A590" s="4"/>
      <c r="B590" s="4"/>
      <c r="C590" s="4"/>
      <c r="D590" s="4"/>
      <c r="E590" s="4"/>
    </row>
    <row r="591" spans="1:5" ht="15.75" customHeight="1" x14ac:dyDescent="0.25">
      <c r="A591" s="4"/>
      <c r="B591" s="4"/>
      <c r="C591" s="4"/>
      <c r="D591" s="4"/>
      <c r="E591" s="4"/>
    </row>
    <row r="592" spans="1:5" ht="15.75" customHeight="1" x14ac:dyDescent="0.25">
      <c r="A592" s="4"/>
      <c r="B592" s="4"/>
      <c r="C592" s="4"/>
      <c r="D592" s="4"/>
      <c r="E592" s="4"/>
    </row>
    <row r="593" spans="1:5" ht="15.75" customHeight="1" x14ac:dyDescent="0.25">
      <c r="A593" s="4"/>
      <c r="B593" s="4"/>
      <c r="C593" s="4"/>
      <c r="D593" s="4"/>
      <c r="E593" s="4"/>
    </row>
    <row r="594" spans="1:5" ht="15.75" customHeight="1" x14ac:dyDescent="0.25">
      <c r="A594" s="4"/>
      <c r="B594" s="4"/>
      <c r="C594" s="4"/>
      <c r="D594" s="4"/>
      <c r="E594" s="4"/>
    </row>
    <row r="595" spans="1:5" ht="15.75" customHeight="1" x14ac:dyDescent="0.25">
      <c r="A595" s="4"/>
      <c r="B595" s="4"/>
      <c r="C595" s="4"/>
      <c r="D595" s="4"/>
      <c r="E595" s="4"/>
    </row>
    <row r="596" spans="1:5" ht="15.75" customHeight="1" x14ac:dyDescent="0.25">
      <c r="A596" s="4"/>
      <c r="B596" s="4"/>
      <c r="C596" s="4"/>
      <c r="D596" s="4"/>
      <c r="E596" s="4"/>
    </row>
    <row r="597" spans="1:5" ht="15.75" customHeight="1" x14ac:dyDescent="0.25">
      <c r="A597" s="4"/>
      <c r="B597" s="4"/>
      <c r="C597" s="4"/>
      <c r="D597" s="4"/>
      <c r="E597" s="4"/>
    </row>
    <row r="598" spans="1:5" ht="15.75" customHeight="1" x14ac:dyDescent="0.25">
      <c r="A598" s="4"/>
      <c r="B598" s="4"/>
      <c r="C598" s="4"/>
      <c r="D598" s="4"/>
      <c r="E598" s="4"/>
    </row>
    <row r="599" spans="1:5" ht="15.75" customHeight="1" x14ac:dyDescent="0.25">
      <c r="A599" s="4"/>
      <c r="B599" s="4"/>
      <c r="C599" s="4"/>
      <c r="D599" s="4"/>
      <c r="E599" s="4"/>
    </row>
    <row r="600" spans="1:5" ht="15.75" customHeight="1" x14ac:dyDescent="0.25">
      <c r="A600" s="4"/>
      <c r="B600" s="4"/>
      <c r="C600" s="4"/>
      <c r="D600" s="4"/>
      <c r="E600" s="4"/>
    </row>
    <row r="601" spans="1:5" ht="15.75" customHeight="1" x14ac:dyDescent="0.25">
      <c r="A601" s="4"/>
      <c r="B601" s="4"/>
      <c r="C601" s="4"/>
      <c r="D601" s="4"/>
      <c r="E601" s="4"/>
    </row>
    <row r="602" spans="1:5" ht="15.75" customHeight="1" x14ac:dyDescent="0.25">
      <c r="A602" s="4"/>
      <c r="B602" s="4"/>
      <c r="C602" s="4"/>
      <c r="D602" s="4"/>
      <c r="E602" s="4"/>
    </row>
    <row r="603" spans="1:5" ht="15.75" customHeight="1" x14ac:dyDescent="0.25">
      <c r="A603" s="4"/>
      <c r="B603" s="4"/>
      <c r="C603" s="4"/>
      <c r="D603" s="4"/>
      <c r="E603" s="4"/>
    </row>
    <row r="604" spans="1:5" ht="15.75" customHeight="1" x14ac:dyDescent="0.25">
      <c r="A604" s="4"/>
      <c r="B604" s="4"/>
      <c r="C604" s="4"/>
      <c r="D604" s="4"/>
      <c r="E604" s="4"/>
    </row>
    <row r="605" spans="1:5" ht="15.75" customHeight="1" x14ac:dyDescent="0.25">
      <c r="A605" s="4"/>
      <c r="B605" s="4"/>
      <c r="C605" s="4"/>
      <c r="D605" s="4"/>
      <c r="E605" s="4"/>
    </row>
    <row r="606" spans="1:5" ht="15.75" customHeight="1" x14ac:dyDescent="0.25">
      <c r="A606" s="4"/>
      <c r="B606" s="4"/>
      <c r="C606" s="4"/>
      <c r="D606" s="4"/>
      <c r="E606" s="4"/>
    </row>
    <row r="607" spans="1:5" ht="15.75" customHeight="1" x14ac:dyDescent="0.25">
      <c r="A607" s="4"/>
      <c r="B607" s="4"/>
      <c r="C607" s="4"/>
      <c r="D607" s="4"/>
      <c r="E607" s="4"/>
    </row>
    <row r="608" spans="1:5" ht="15.75" customHeight="1" x14ac:dyDescent="0.25">
      <c r="A608" s="4"/>
      <c r="B608" s="4"/>
      <c r="C608" s="4"/>
      <c r="D608" s="4"/>
      <c r="E608" s="4"/>
    </row>
    <row r="609" spans="1:5" ht="15.75" customHeight="1" x14ac:dyDescent="0.25">
      <c r="A609" s="4"/>
      <c r="B609" s="4"/>
      <c r="C609" s="4"/>
      <c r="D609" s="4"/>
      <c r="E609" s="4"/>
    </row>
    <row r="610" spans="1:5" ht="15.75" customHeight="1" x14ac:dyDescent="0.25">
      <c r="A610" s="4"/>
      <c r="B610" s="4"/>
      <c r="C610" s="4"/>
      <c r="D610" s="4"/>
      <c r="E610" s="4"/>
    </row>
    <row r="611" spans="1:5" ht="15.75" customHeight="1" x14ac:dyDescent="0.25">
      <c r="A611" s="4"/>
      <c r="B611" s="4"/>
      <c r="C611" s="4"/>
      <c r="D611" s="4"/>
      <c r="E611" s="4"/>
    </row>
    <row r="612" spans="1:5" ht="15.75" customHeight="1" x14ac:dyDescent="0.25">
      <c r="A612" s="4"/>
      <c r="B612" s="4"/>
      <c r="C612" s="4"/>
      <c r="D612" s="4"/>
      <c r="E612" s="4"/>
    </row>
    <row r="613" spans="1:5" ht="15.75" customHeight="1" x14ac:dyDescent="0.25">
      <c r="A613" s="4"/>
      <c r="B613" s="4"/>
      <c r="C613" s="4"/>
      <c r="D613" s="4"/>
      <c r="E613" s="4"/>
    </row>
    <row r="614" spans="1:5" ht="15.75" customHeight="1" x14ac:dyDescent="0.25">
      <c r="A614" s="4"/>
      <c r="B614" s="4"/>
      <c r="C614" s="4"/>
      <c r="D614" s="4"/>
      <c r="E614" s="4"/>
    </row>
    <row r="615" spans="1:5" ht="15.75" customHeight="1" x14ac:dyDescent="0.25">
      <c r="A615" s="4"/>
      <c r="B615" s="4"/>
      <c r="C615" s="4"/>
      <c r="D615" s="4"/>
      <c r="E615" s="4"/>
    </row>
    <row r="616" spans="1:5" ht="15.75" customHeight="1" x14ac:dyDescent="0.25">
      <c r="A616" s="4"/>
      <c r="B616" s="4"/>
      <c r="C616" s="4"/>
      <c r="D616" s="4"/>
      <c r="E616" s="4"/>
    </row>
    <row r="617" spans="1:5" ht="15.75" customHeight="1" x14ac:dyDescent="0.25">
      <c r="A617" s="4"/>
      <c r="B617" s="4"/>
      <c r="C617" s="4"/>
      <c r="D617" s="4"/>
      <c r="E617" s="4"/>
    </row>
    <row r="618" spans="1:5" ht="15.75" customHeight="1" x14ac:dyDescent="0.25">
      <c r="A618" s="4"/>
      <c r="B618" s="4"/>
      <c r="C618" s="4"/>
      <c r="D618" s="4"/>
      <c r="E618" s="4"/>
    </row>
    <row r="619" spans="1:5" ht="15.75" customHeight="1" x14ac:dyDescent="0.25">
      <c r="A619" s="4"/>
      <c r="B619" s="4"/>
      <c r="C619" s="4"/>
      <c r="D619" s="4"/>
      <c r="E619" s="4"/>
    </row>
    <row r="620" spans="1:5" ht="15.75" customHeight="1" x14ac:dyDescent="0.25">
      <c r="A620" s="4"/>
      <c r="B620" s="4"/>
      <c r="C620" s="4"/>
      <c r="D620" s="4"/>
      <c r="E620" s="4"/>
    </row>
    <row r="621" spans="1:5" ht="15.75" customHeight="1" x14ac:dyDescent="0.25">
      <c r="A621" s="4"/>
      <c r="B621" s="4"/>
      <c r="C621" s="4"/>
      <c r="D621" s="4"/>
      <c r="E621" s="4"/>
    </row>
    <row r="622" spans="1:5" ht="15.75" customHeight="1" x14ac:dyDescent="0.25">
      <c r="A622" s="4"/>
      <c r="B622" s="4"/>
      <c r="C622" s="4"/>
      <c r="D622" s="4"/>
      <c r="E622" s="4"/>
    </row>
    <row r="623" spans="1:5" ht="15.75" customHeight="1" x14ac:dyDescent="0.25">
      <c r="A623" s="4"/>
      <c r="B623" s="4"/>
      <c r="C623" s="4"/>
      <c r="D623" s="4"/>
      <c r="E623" s="4"/>
    </row>
    <row r="624" spans="1:5" ht="15.75" customHeight="1" x14ac:dyDescent="0.25">
      <c r="A624" s="4"/>
      <c r="B624" s="4"/>
      <c r="C624" s="4"/>
      <c r="D624" s="4"/>
      <c r="E624" s="4"/>
    </row>
    <row r="625" spans="1:5" ht="15.75" customHeight="1" x14ac:dyDescent="0.25">
      <c r="A625" s="4"/>
      <c r="B625" s="4"/>
      <c r="C625" s="4"/>
      <c r="D625" s="4"/>
      <c r="E625" s="4"/>
    </row>
    <row r="626" spans="1:5" ht="15.75" customHeight="1" x14ac:dyDescent="0.25">
      <c r="A626" s="4"/>
      <c r="B626" s="4"/>
      <c r="C626" s="4"/>
      <c r="D626" s="4"/>
      <c r="E626" s="4"/>
    </row>
    <row r="627" spans="1:5" ht="15.75" customHeight="1" x14ac:dyDescent="0.25">
      <c r="A627" s="4"/>
      <c r="B627" s="4"/>
      <c r="C627" s="4"/>
      <c r="D627" s="4"/>
      <c r="E627" s="4"/>
    </row>
    <row r="628" spans="1:5" ht="15.75" customHeight="1" x14ac:dyDescent="0.25">
      <c r="A628" s="4"/>
      <c r="B628" s="4"/>
      <c r="C628" s="4"/>
      <c r="D628" s="4"/>
      <c r="E628" s="4"/>
    </row>
    <row r="629" spans="1:5" ht="15.75" customHeight="1" x14ac:dyDescent="0.25">
      <c r="A629" s="4"/>
      <c r="B629" s="4"/>
      <c r="C629" s="4"/>
      <c r="D629" s="4"/>
      <c r="E629" s="4"/>
    </row>
    <row r="630" spans="1:5" ht="15.75" customHeight="1" x14ac:dyDescent="0.25">
      <c r="A630" s="4"/>
      <c r="B630" s="4"/>
      <c r="C630" s="4"/>
      <c r="D630" s="4"/>
      <c r="E630" s="4"/>
    </row>
    <row r="631" spans="1:5" ht="15.75" customHeight="1" x14ac:dyDescent="0.25">
      <c r="A631" s="4"/>
      <c r="B631" s="4"/>
      <c r="C631" s="4"/>
      <c r="D631" s="4"/>
      <c r="E631" s="4"/>
    </row>
    <row r="632" spans="1:5" ht="15.75" customHeight="1" x14ac:dyDescent="0.25">
      <c r="A632" s="4"/>
      <c r="B632" s="4"/>
      <c r="C632" s="4"/>
      <c r="D632" s="4"/>
      <c r="E632" s="4"/>
    </row>
    <row r="633" spans="1:5" ht="15.75" customHeight="1" x14ac:dyDescent="0.25">
      <c r="A633" s="4"/>
      <c r="B633" s="4"/>
      <c r="C633" s="4"/>
      <c r="D633" s="4"/>
      <c r="E633" s="4"/>
    </row>
    <row r="634" spans="1:5" ht="15.75" customHeight="1" x14ac:dyDescent="0.25">
      <c r="A634" s="4"/>
      <c r="B634" s="4"/>
      <c r="C634" s="4"/>
      <c r="D634" s="4"/>
      <c r="E634" s="4"/>
    </row>
    <row r="635" spans="1:5" ht="15.75" customHeight="1" x14ac:dyDescent="0.25">
      <c r="A635" s="4"/>
      <c r="B635" s="4"/>
      <c r="C635" s="4"/>
      <c r="D635" s="4"/>
      <c r="E635" s="4"/>
    </row>
    <row r="636" spans="1:5" ht="15.75" customHeight="1" x14ac:dyDescent="0.25">
      <c r="A636" s="4"/>
      <c r="B636" s="4"/>
      <c r="C636" s="4"/>
      <c r="D636" s="4"/>
      <c r="E636" s="4"/>
    </row>
    <row r="637" spans="1:5" ht="15.75" customHeight="1" x14ac:dyDescent="0.25">
      <c r="A637" s="4"/>
      <c r="B637" s="4"/>
      <c r="C637" s="4"/>
      <c r="D637" s="4"/>
      <c r="E637" s="4"/>
    </row>
    <row r="638" spans="1:5" ht="15.75" customHeight="1" x14ac:dyDescent="0.25">
      <c r="A638" s="4"/>
      <c r="B638" s="4"/>
      <c r="C638" s="4"/>
      <c r="D638" s="4"/>
      <c r="E638" s="4"/>
    </row>
    <row r="639" spans="1:5" ht="15.75" customHeight="1" x14ac:dyDescent="0.25">
      <c r="A639" s="4"/>
      <c r="B639" s="4"/>
      <c r="C639" s="4"/>
      <c r="D639" s="4"/>
      <c r="E639" s="4"/>
    </row>
    <row r="640" spans="1:5" ht="15.75" customHeight="1" x14ac:dyDescent="0.25">
      <c r="A640" s="4"/>
      <c r="B640" s="4"/>
      <c r="C640" s="4"/>
      <c r="D640" s="4"/>
      <c r="E640" s="4"/>
    </row>
    <row r="641" spans="1:5" ht="15.75" customHeight="1" x14ac:dyDescent="0.25">
      <c r="A641" s="4"/>
      <c r="B641" s="4"/>
      <c r="C641" s="4"/>
      <c r="D641" s="4"/>
      <c r="E641" s="4"/>
    </row>
    <row r="642" spans="1:5" ht="15.75" customHeight="1" x14ac:dyDescent="0.25">
      <c r="A642" s="4"/>
      <c r="B642" s="4"/>
      <c r="C642" s="4"/>
      <c r="D642" s="4"/>
      <c r="E642" s="4"/>
    </row>
    <row r="643" spans="1:5" ht="15.75" customHeight="1" x14ac:dyDescent="0.25">
      <c r="A643" s="4"/>
      <c r="B643" s="4"/>
      <c r="C643" s="4"/>
      <c r="D643" s="4"/>
      <c r="E643" s="4"/>
    </row>
    <row r="644" spans="1:5" ht="15.75" customHeight="1" x14ac:dyDescent="0.25">
      <c r="A644" s="4"/>
      <c r="B644" s="4"/>
      <c r="C644" s="4"/>
      <c r="D644" s="4"/>
      <c r="E644" s="4"/>
    </row>
    <row r="645" spans="1:5" ht="15.75" customHeight="1" x14ac:dyDescent="0.25">
      <c r="A645" s="4"/>
      <c r="B645" s="4"/>
      <c r="C645" s="4"/>
      <c r="D645" s="4"/>
      <c r="E645" s="4"/>
    </row>
    <row r="646" spans="1:5" ht="15.75" customHeight="1" x14ac:dyDescent="0.25">
      <c r="A646" s="4"/>
      <c r="B646" s="4"/>
      <c r="C646" s="4"/>
      <c r="D646" s="4"/>
      <c r="E646" s="4"/>
    </row>
    <row r="647" spans="1:5" ht="15.75" customHeight="1" x14ac:dyDescent="0.25">
      <c r="A647" s="4"/>
      <c r="B647" s="4"/>
      <c r="C647" s="4"/>
      <c r="D647" s="4"/>
      <c r="E647" s="4"/>
    </row>
    <row r="648" spans="1:5" ht="15.75" customHeight="1" x14ac:dyDescent="0.25">
      <c r="A648" s="4"/>
      <c r="B648" s="4"/>
      <c r="C648" s="4"/>
      <c r="D648" s="4"/>
      <c r="E648" s="4"/>
    </row>
    <row r="649" spans="1:5" ht="15.75" customHeight="1" x14ac:dyDescent="0.25">
      <c r="A649" s="4"/>
      <c r="B649" s="4"/>
      <c r="C649" s="4"/>
      <c r="D649" s="4"/>
      <c r="E649" s="4"/>
    </row>
    <row r="650" spans="1:5" ht="15.75" customHeight="1" x14ac:dyDescent="0.25">
      <c r="A650" s="4"/>
      <c r="B650" s="4"/>
      <c r="C650" s="4"/>
      <c r="D650" s="4"/>
      <c r="E650" s="4"/>
    </row>
    <row r="651" spans="1:5" ht="15.75" customHeight="1" x14ac:dyDescent="0.25">
      <c r="A651" s="4"/>
      <c r="B651" s="4"/>
      <c r="C651" s="4"/>
      <c r="D651" s="4"/>
      <c r="E651" s="4"/>
    </row>
    <row r="652" spans="1:5" ht="15.75" customHeight="1" x14ac:dyDescent="0.25">
      <c r="A652" s="4"/>
      <c r="B652" s="4"/>
      <c r="C652" s="4"/>
      <c r="D652" s="4"/>
      <c r="E652" s="4"/>
    </row>
    <row r="653" spans="1:5" ht="15.75" customHeight="1" x14ac:dyDescent="0.25">
      <c r="A653" s="4"/>
      <c r="B653" s="4"/>
      <c r="C653" s="4"/>
      <c r="D653" s="4"/>
      <c r="E653" s="4"/>
    </row>
    <row r="654" spans="1:5" ht="15.75" customHeight="1" x14ac:dyDescent="0.25">
      <c r="A654" s="4"/>
      <c r="B654" s="4"/>
      <c r="C654" s="4"/>
      <c r="D654" s="4"/>
      <c r="E654" s="4"/>
    </row>
    <row r="655" spans="1:5" ht="15.75" customHeight="1" x14ac:dyDescent="0.25">
      <c r="A655" s="4"/>
      <c r="B655" s="4"/>
      <c r="C655" s="4"/>
      <c r="D655" s="4"/>
      <c r="E655" s="4"/>
    </row>
    <row r="656" spans="1:5" ht="15.75" customHeight="1" x14ac:dyDescent="0.25">
      <c r="A656" s="4"/>
      <c r="B656" s="4"/>
      <c r="C656" s="4"/>
      <c r="D656" s="4"/>
      <c r="E656" s="4"/>
    </row>
    <row r="657" spans="1:5" ht="15.75" customHeight="1" x14ac:dyDescent="0.25">
      <c r="A657" s="4"/>
      <c r="B657" s="4"/>
      <c r="C657" s="4"/>
      <c r="D657" s="4"/>
      <c r="E657" s="4"/>
    </row>
    <row r="658" spans="1:5" ht="15.75" customHeight="1" x14ac:dyDescent="0.25">
      <c r="A658" s="4"/>
      <c r="B658" s="4"/>
      <c r="C658" s="4"/>
      <c r="D658" s="4"/>
      <c r="E658" s="4"/>
    </row>
    <row r="659" spans="1:5" ht="15.75" customHeight="1" x14ac:dyDescent="0.25">
      <c r="A659" s="4"/>
      <c r="B659" s="4"/>
      <c r="C659" s="4"/>
      <c r="D659" s="4"/>
      <c r="E659" s="4"/>
    </row>
    <row r="660" spans="1:5" ht="15.75" customHeight="1" x14ac:dyDescent="0.25">
      <c r="A660" s="4"/>
      <c r="B660" s="4"/>
      <c r="C660" s="4"/>
      <c r="D660" s="4"/>
      <c r="E660" s="4"/>
    </row>
    <row r="661" spans="1:5" ht="15.75" customHeight="1" x14ac:dyDescent="0.25">
      <c r="A661" s="4"/>
      <c r="B661" s="4"/>
      <c r="C661" s="4"/>
      <c r="D661" s="4"/>
      <c r="E661" s="4"/>
    </row>
    <row r="662" spans="1:5" ht="15.75" customHeight="1" x14ac:dyDescent="0.25">
      <c r="A662" s="4"/>
      <c r="B662" s="4"/>
      <c r="C662" s="4"/>
      <c r="D662" s="4"/>
      <c r="E662" s="4"/>
    </row>
    <row r="663" spans="1:5" ht="15.75" customHeight="1" x14ac:dyDescent="0.25">
      <c r="A663" s="4"/>
      <c r="B663" s="4"/>
      <c r="C663" s="4"/>
      <c r="D663" s="4"/>
      <c r="E663" s="4"/>
    </row>
    <row r="664" spans="1:5" ht="15.75" customHeight="1" x14ac:dyDescent="0.25">
      <c r="A664" s="4"/>
      <c r="B664" s="4"/>
      <c r="C664" s="4"/>
      <c r="D664" s="4"/>
      <c r="E664" s="4"/>
    </row>
    <row r="665" spans="1:5" ht="15.75" customHeight="1" x14ac:dyDescent="0.25">
      <c r="A665" s="4"/>
      <c r="B665" s="4"/>
      <c r="C665" s="4"/>
      <c r="D665" s="4"/>
      <c r="E665" s="4"/>
    </row>
    <row r="666" spans="1:5" ht="15.75" customHeight="1" x14ac:dyDescent="0.25">
      <c r="A666" s="4"/>
      <c r="B666" s="4"/>
      <c r="C666" s="4"/>
      <c r="D666" s="4"/>
      <c r="E666" s="4"/>
    </row>
    <row r="667" spans="1:5" ht="15.75" customHeight="1" x14ac:dyDescent="0.25">
      <c r="A667" s="4"/>
      <c r="B667" s="4"/>
      <c r="C667" s="4"/>
      <c r="D667" s="4"/>
      <c r="E667" s="4"/>
    </row>
    <row r="668" spans="1:5" ht="15.75" customHeight="1" x14ac:dyDescent="0.25">
      <c r="A668" s="4"/>
      <c r="B668" s="4"/>
      <c r="C668" s="4"/>
      <c r="D668" s="4"/>
      <c r="E668" s="4"/>
    </row>
    <row r="669" spans="1:5" ht="15.75" customHeight="1" x14ac:dyDescent="0.25">
      <c r="A669" s="4"/>
      <c r="B669" s="4"/>
      <c r="C669" s="4"/>
      <c r="D669" s="4"/>
      <c r="E669" s="4"/>
    </row>
    <row r="670" spans="1:5" ht="15.75" customHeight="1" x14ac:dyDescent="0.25">
      <c r="A670" s="4"/>
      <c r="B670" s="4"/>
      <c r="C670" s="4"/>
      <c r="D670" s="4"/>
      <c r="E670" s="4"/>
    </row>
    <row r="671" spans="1:5" ht="15.75" customHeight="1" x14ac:dyDescent="0.25">
      <c r="A671" s="4"/>
      <c r="B671" s="4"/>
      <c r="C671" s="4"/>
      <c r="D671" s="4"/>
      <c r="E671" s="4"/>
    </row>
    <row r="672" spans="1:5" ht="15.75" customHeight="1" x14ac:dyDescent="0.25">
      <c r="A672" s="4"/>
      <c r="B672" s="4"/>
      <c r="C672" s="4"/>
      <c r="D672" s="4"/>
      <c r="E672" s="4"/>
    </row>
    <row r="673" spans="1:5" ht="15.75" customHeight="1" x14ac:dyDescent="0.25">
      <c r="A673" s="4"/>
      <c r="B673" s="4"/>
      <c r="C673" s="4"/>
      <c r="D673" s="4"/>
      <c r="E673" s="4"/>
    </row>
    <row r="674" spans="1:5" ht="15.75" customHeight="1" x14ac:dyDescent="0.25">
      <c r="A674" s="4"/>
      <c r="B674" s="4"/>
      <c r="C674" s="4"/>
      <c r="D674" s="4"/>
      <c r="E674" s="4"/>
    </row>
    <row r="675" spans="1:5" ht="15.75" customHeight="1" x14ac:dyDescent="0.25">
      <c r="A675" s="4"/>
      <c r="B675" s="4"/>
      <c r="C675" s="4"/>
      <c r="D675" s="4"/>
      <c r="E675" s="4"/>
    </row>
    <row r="676" spans="1:5" ht="15.75" customHeight="1" x14ac:dyDescent="0.25">
      <c r="A676" s="4"/>
      <c r="B676" s="4"/>
      <c r="C676" s="4"/>
      <c r="D676" s="4"/>
      <c r="E676" s="4"/>
    </row>
    <row r="677" spans="1:5" ht="15.75" customHeight="1" x14ac:dyDescent="0.25">
      <c r="A677" s="4"/>
      <c r="B677" s="4"/>
      <c r="C677" s="4"/>
      <c r="D677" s="4"/>
      <c r="E677" s="4"/>
    </row>
    <row r="678" spans="1:5" ht="15.75" customHeight="1" x14ac:dyDescent="0.25">
      <c r="A678" s="4"/>
      <c r="B678" s="4"/>
      <c r="C678" s="4"/>
      <c r="D678" s="4"/>
      <c r="E678" s="4"/>
    </row>
    <row r="679" spans="1:5" ht="15.75" customHeight="1" x14ac:dyDescent="0.25">
      <c r="A679" s="4"/>
      <c r="B679" s="4"/>
      <c r="C679" s="4"/>
      <c r="D679" s="4"/>
      <c r="E679" s="4"/>
    </row>
    <row r="680" spans="1:5" ht="15.75" customHeight="1" x14ac:dyDescent="0.25">
      <c r="A680" s="4"/>
      <c r="B680" s="4"/>
      <c r="C680" s="4"/>
      <c r="D680" s="4"/>
      <c r="E680" s="4"/>
    </row>
    <row r="681" spans="1:5" ht="15.75" customHeight="1" x14ac:dyDescent="0.25">
      <c r="A681" s="4"/>
      <c r="B681" s="4"/>
      <c r="C681" s="4"/>
      <c r="D681" s="4"/>
      <c r="E681" s="4"/>
    </row>
    <row r="682" spans="1:5" ht="15.75" customHeight="1" x14ac:dyDescent="0.25">
      <c r="A682" s="4"/>
      <c r="B682" s="4"/>
      <c r="C682" s="4"/>
      <c r="D682" s="4"/>
      <c r="E682" s="4"/>
    </row>
    <row r="683" spans="1:5" ht="15.75" customHeight="1" x14ac:dyDescent="0.25">
      <c r="A683" s="4"/>
      <c r="B683" s="4"/>
      <c r="C683" s="4"/>
      <c r="D683" s="4"/>
      <c r="E683" s="4"/>
    </row>
    <row r="684" spans="1:5" ht="15.75" customHeight="1" x14ac:dyDescent="0.25">
      <c r="A684" s="4"/>
      <c r="B684" s="4"/>
      <c r="C684" s="4"/>
      <c r="D684" s="4"/>
      <c r="E684" s="4"/>
    </row>
    <row r="685" spans="1:5" ht="15.75" customHeight="1" x14ac:dyDescent="0.25">
      <c r="A685" s="4"/>
      <c r="B685" s="4"/>
      <c r="C685" s="4"/>
      <c r="D685" s="4"/>
      <c r="E685" s="4"/>
    </row>
    <row r="686" spans="1:5" ht="15.75" customHeight="1" x14ac:dyDescent="0.25">
      <c r="A686" s="4"/>
      <c r="B686" s="4"/>
      <c r="C686" s="4"/>
      <c r="D686" s="4"/>
      <c r="E686" s="4"/>
    </row>
    <row r="687" spans="1:5" ht="15.75" customHeight="1" x14ac:dyDescent="0.25">
      <c r="A687" s="4"/>
      <c r="B687" s="4"/>
      <c r="C687" s="4"/>
      <c r="D687" s="4"/>
      <c r="E687" s="4"/>
    </row>
    <row r="688" spans="1:5" ht="15.75" customHeight="1" x14ac:dyDescent="0.25">
      <c r="A688" s="4"/>
      <c r="B688" s="4"/>
      <c r="C688" s="4"/>
      <c r="D688" s="4"/>
      <c r="E688" s="4"/>
    </row>
    <row r="689" spans="1:5" ht="15.75" customHeight="1" x14ac:dyDescent="0.25">
      <c r="A689" s="4"/>
      <c r="B689" s="4"/>
      <c r="C689" s="4"/>
      <c r="D689" s="4"/>
      <c r="E689" s="4"/>
    </row>
    <row r="690" spans="1:5" ht="15.75" customHeight="1" x14ac:dyDescent="0.25">
      <c r="A690" s="4"/>
      <c r="B690" s="4"/>
      <c r="C690" s="4"/>
      <c r="D690" s="4"/>
      <c r="E690" s="4"/>
    </row>
    <row r="691" spans="1:5" ht="15.75" customHeight="1" x14ac:dyDescent="0.25">
      <c r="A691" s="4"/>
      <c r="B691" s="4"/>
      <c r="C691" s="4"/>
      <c r="D691" s="4"/>
      <c r="E691" s="4"/>
    </row>
    <row r="692" spans="1:5" ht="15.75" customHeight="1" x14ac:dyDescent="0.25">
      <c r="A692" s="4"/>
      <c r="B692" s="4"/>
      <c r="C692" s="4"/>
      <c r="D692" s="4"/>
      <c r="E692" s="4"/>
    </row>
    <row r="693" spans="1:5" ht="15.75" customHeight="1" x14ac:dyDescent="0.25">
      <c r="A693" s="4"/>
      <c r="B693" s="4"/>
      <c r="C693" s="4"/>
      <c r="D693" s="4"/>
      <c r="E693" s="4"/>
    </row>
    <row r="694" spans="1:5" ht="15.75" customHeight="1" x14ac:dyDescent="0.25">
      <c r="A694" s="4"/>
      <c r="B694" s="4"/>
      <c r="C694" s="4"/>
      <c r="D694" s="4"/>
      <c r="E694" s="4"/>
    </row>
    <row r="695" spans="1:5" ht="15.75" customHeight="1" x14ac:dyDescent="0.25">
      <c r="A695" s="4"/>
      <c r="B695" s="4"/>
      <c r="C695" s="4"/>
      <c r="D695" s="4"/>
      <c r="E695" s="4"/>
    </row>
    <row r="696" spans="1:5" ht="15.75" customHeight="1" x14ac:dyDescent="0.25">
      <c r="A696" s="4"/>
      <c r="B696" s="4"/>
      <c r="C696" s="4"/>
      <c r="D696" s="4"/>
      <c r="E696" s="4"/>
    </row>
    <row r="697" spans="1:5" ht="15.75" customHeight="1" x14ac:dyDescent="0.25">
      <c r="A697" s="4"/>
      <c r="B697" s="4"/>
      <c r="C697" s="4"/>
      <c r="D697" s="4"/>
      <c r="E697" s="4"/>
    </row>
    <row r="698" spans="1:5" ht="15.75" customHeight="1" x14ac:dyDescent="0.25">
      <c r="A698" s="4"/>
      <c r="B698" s="4"/>
      <c r="C698" s="4"/>
      <c r="D698" s="4"/>
      <c r="E698" s="4"/>
    </row>
    <row r="699" spans="1:5" ht="15.75" customHeight="1" x14ac:dyDescent="0.25">
      <c r="A699" s="4"/>
      <c r="B699" s="4"/>
      <c r="C699" s="4"/>
      <c r="D699" s="4"/>
      <c r="E699" s="4"/>
    </row>
    <row r="700" spans="1:5" ht="15.75" customHeight="1" x14ac:dyDescent="0.25">
      <c r="A700" s="4"/>
      <c r="B700" s="4"/>
      <c r="C700" s="4"/>
      <c r="D700" s="4"/>
      <c r="E700" s="4"/>
    </row>
    <row r="701" spans="1:5" ht="15.75" customHeight="1" x14ac:dyDescent="0.25">
      <c r="A701" s="4"/>
      <c r="B701" s="4"/>
      <c r="C701" s="4"/>
      <c r="D701" s="4"/>
      <c r="E701" s="4"/>
    </row>
    <row r="702" spans="1:5" ht="15.75" customHeight="1" x14ac:dyDescent="0.25">
      <c r="A702" s="4"/>
      <c r="B702" s="4"/>
      <c r="C702" s="4"/>
      <c r="D702" s="4"/>
      <c r="E702" s="4"/>
    </row>
    <row r="703" spans="1:5" ht="15.75" customHeight="1" x14ac:dyDescent="0.25">
      <c r="A703" s="4"/>
      <c r="B703" s="4"/>
      <c r="C703" s="4"/>
      <c r="D703" s="4"/>
      <c r="E703" s="4"/>
    </row>
    <row r="704" spans="1:5" ht="15.75" customHeight="1" x14ac:dyDescent="0.25">
      <c r="A704" s="4"/>
      <c r="B704" s="4"/>
      <c r="C704" s="4"/>
      <c r="D704" s="4"/>
      <c r="E704" s="4"/>
    </row>
    <row r="705" spans="1:5" ht="15.75" customHeight="1" x14ac:dyDescent="0.25">
      <c r="A705" s="4"/>
      <c r="B705" s="4"/>
      <c r="C705" s="4"/>
      <c r="D705" s="4"/>
      <c r="E705" s="4"/>
    </row>
    <row r="706" spans="1:5" ht="15.75" customHeight="1" x14ac:dyDescent="0.25">
      <c r="A706" s="4"/>
      <c r="B706" s="4"/>
      <c r="C706" s="4"/>
      <c r="D706" s="4"/>
      <c r="E706" s="4"/>
    </row>
    <row r="707" spans="1:5" ht="15.75" customHeight="1" x14ac:dyDescent="0.25">
      <c r="A707" s="4"/>
      <c r="B707" s="4"/>
      <c r="C707" s="4"/>
      <c r="D707" s="4"/>
      <c r="E707" s="4"/>
    </row>
    <row r="708" spans="1:5" ht="15.75" customHeight="1" x14ac:dyDescent="0.25">
      <c r="A708" s="4"/>
      <c r="B708" s="4"/>
      <c r="C708" s="4"/>
      <c r="D708" s="4"/>
      <c r="E708" s="4"/>
    </row>
    <row r="709" spans="1:5" ht="15.75" customHeight="1" x14ac:dyDescent="0.25">
      <c r="A709" s="4"/>
      <c r="B709" s="4"/>
      <c r="C709" s="4"/>
      <c r="D709" s="4"/>
      <c r="E709" s="4"/>
    </row>
    <row r="710" spans="1:5" ht="15.75" customHeight="1" x14ac:dyDescent="0.25">
      <c r="A710" s="4"/>
      <c r="B710" s="4"/>
      <c r="C710" s="4"/>
      <c r="D710" s="4"/>
      <c r="E710" s="4"/>
    </row>
    <row r="711" spans="1:5" ht="15.75" customHeight="1" x14ac:dyDescent="0.25">
      <c r="A711" s="4"/>
      <c r="B711" s="4"/>
      <c r="C711" s="4"/>
      <c r="D711" s="4"/>
      <c r="E711" s="4"/>
    </row>
    <row r="712" spans="1:5" ht="15.75" customHeight="1" x14ac:dyDescent="0.25">
      <c r="A712" s="4"/>
      <c r="B712" s="4"/>
      <c r="C712" s="4"/>
      <c r="D712" s="4"/>
      <c r="E712" s="4"/>
    </row>
    <row r="713" spans="1:5" ht="15.75" customHeight="1" x14ac:dyDescent="0.25">
      <c r="A713" s="4"/>
      <c r="B713" s="4"/>
      <c r="C713" s="4"/>
      <c r="D713" s="4"/>
      <c r="E713" s="4"/>
    </row>
    <row r="714" spans="1:5" ht="15.75" customHeight="1" x14ac:dyDescent="0.25">
      <c r="A714" s="4"/>
      <c r="B714" s="4"/>
      <c r="C714" s="4"/>
      <c r="D714" s="4"/>
      <c r="E714" s="4"/>
    </row>
    <row r="715" spans="1:5" ht="15.75" customHeight="1" x14ac:dyDescent="0.25">
      <c r="A715" s="4"/>
      <c r="B715" s="4"/>
      <c r="C715" s="4"/>
      <c r="D715" s="4"/>
      <c r="E715" s="4"/>
    </row>
    <row r="716" spans="1:5" ht="15.75" customHeight="1" x14ac:dyDescent="0.25">
      <c r="A716" s="4"/>
      <c r="B716" s="4"/>
      <c r="C716" s="4"/>
      <c r="D716" s="4"/>
      <c r="E716" s="4"/>
    </row>
    <row r="717" spans="1:5" ht="15.75" customHeight="1" x14ac:dyDescent="0.25">
      <c r="A717" s="4"/>
      <c r="B717" s="4"/>
      <c r="C717" s="4"/>
      <c r="D717" s="4"/>
      <c r="E717" s="4"/>
    </row>
    <row r="718" spans="1:5" ht="15.75" customHeight="1" x14ac:dyDescent="0.25">
      <c r="A718" s="4"/>
      <c r="B718" s="4"/>
      <c r="C718" s="4"/>
      <c r="D718" s="4"/>
      <c r="E718" s="4"/>
    </row>
    <row r="719" spans="1:5" ht="15.75" customHeight="1" x14ac:dyDescent="0.25">
      <c r="A719" s="4"/>
      <c r="B719" s="4"/>
      <c r="C719" s="4"/>
      <c r="D719" s="4"/>
      <c r="E719" s="4"/>
    </row>
    <row r="720" spans="1:5" ht="15.75" customHeight="1" x14ac:dyDescent="0.25">
      <c r="A720" s="4"/>
      <c r="B720" s="4"/>
      <c r="C720" s="4"/>
      <c r="D720" s="4"/>
      <c r="E720" s="4"/>
    </row>
    <row r="721" spans="1:5" ht="15.75" customHeight="1" x14ac:dyDescent="0.25">
      <c r="A721" s="4"/>
      <c r="B721" s="4"/>
      <c r="C721" s="4"/>
      <c r="D721" s="4"/>
      <c r="E721" s="4"/>
    </row>
    <row r="722" spans="1:5" ht="15.75" customHeight="1" x14ac:dyDescent="0.25">
      <c r="A722" s="4"/>
      <c r="B722" s="4"/>
      <c r="C722" s="4"/>
      <c r="D722" s="4"/>
      <c r="E722" s="4"/>
    </row>
    <row r="723" spans="1:5" ht="15.75" customHeight="1" x14ac:dyDescent="0.25">
      <c r="A723" s="4"/>
      <c r="B723" s="4"/>
      <c r="C723" s="4"/>
      <c r="D723" s="4"/>
      <c r="E723" s="4"/>
    </row>
    <row r="724" spans="1:5" ht="15.75" customHeight="1" x14ac:dyDescent="0.25">
      <c r="A724" s="4"/>
      <c r="B724" s="4"/>
      <c r="C724" s="4"/>
      <c r="D724" s="4"/>
      <c r="E724" s="4"/>
    </row>
    <row r="725" spans="1:5" ht="15.75" customHeight="1" x14ac:dyDescent="0.25">
      <c r="A725" s="4"/>
      <c r="B725" s="4"/>
      <c r="C725" s="4"/>
      <c r="D725" s="4"/>
      <c r="E725" s="4"/>
    </row>
    <row r="726" spans="1:5" ht="15.75" customHeight="1" x14ac:dyDescent="0.25">
      <c r="A726" s="4"/>
      <c r="B726" s="4"/>
      <c r="C726" s="4"/>
      <c r="D726" s="4"/>
      <c r="E726" s="4"/>
    </row>
    <row r="727" spans="1:5" ht="15.75" customHeight="1" x14ac:dyDescent="0.25">
      <c r="A727" s="4"/>
      <c r="B727" s="4"/>
      <c r="C727" s="4"/>
      <c r="D727" s="4"/>
      <c r="E727" s="4"/>
    </row>
    <row r="728" spans="1:5" ht="15.75" customHeight="1" x14ac:dyDescent="0.25">
      <c r="A728" s="4"/>
      <c r="B728" s="4"/>
      <c r="C728" s="4"/>
      <c r="D728" s="4"/>
      <c r="E728" s="4"/>
    </row>
    <row r="729" spans="1:5" ht="15.75" customHeight="1" x14ac:dyDescent="0.25">
      <c r="A729" s="4"/>
      <c r="B729" s="4"/>
      <c r="C729" s="4"/>
      <c r="D729" s="4"/>
      <c r="E729" s="4"/>
    </row>
    <row r="730" spans="1:5" ht="15.75" customHeight="1" x14ac:dyDescent="0.25">
      <c r="A730" s="4"/>
      <c r="B730" s="4"/>
      <c r="C730" s="4"/>
      <c r="D730" s="4"/>
      <c r="E730" s="4"/>
    </row>
    <row r="731" spans="1:5" ht="15.75" customHeight="1" x14ac:dyDescent="0.25">
      <c r="A731" s="4"/>
      <c r="B731" s="4"/>
      <c r="C731" s="4"/>
      <c r="D731" s="4"/>
      <c r="E731" s="4"/>
    </row>
    <row r="732" spans="1:5" ht="15.75" customHeight="1" x14ac:dyDescent="0.25">
      <c r="A732" s="4"/>
      <c r="B732" s="4"/>
      <c r="C732" s="4"/>
      <c r="D732" s="4"/>
      <c r="E732" s="4"/>
    </row>
    <row r="733" spans="1:5" ht="15.75" customHeight="1" x14ac:dyDescent="0.25">
      <c r="A733" s="4"/>
      <c r="B733" s="4"/>
      <c r="C733" s="4"/>
      <c r="D733" s="4"/>
      <c r="E733" s="4"/>
    </row>
    <row r="734" spans="1:5" ht="15.75" customHeight="1" x14ac:dyDescent="0.25">
      <c r="A734" s="4"/>
      <c r="B734" s="4"/>
      <c r="C734" s="4"/>
      <c r="D734" s="4"/>
      <c r="E734" s="4"/>
    </row>
    <row r="735" spans="1:5" ht="15.75" customHeight="1" x14ac:dyDescent="0.25">
      <c r="A735" s="4"/>
      <c r="B735" s="4"/>
      <c r="C735" s="4"/>
      <c r="D735" s="4"/>
      <c r="E735" s="4"/>
    </row>
    <row r="736" spans="1:5" ht="15.75" customHeight="1" x14ac:dyDescent="0.25">
      <c r="A736" s="4"/>
      <c r="B736" s="4"/>
      <c r="C736" s="4"/>
      <c r="D736" s="4"/>
      <c r="E736" s="4"/>
    </row>
    <row r="737" spans="1:5" ht="15.75" customHeight="1" x14ac:dyDescent="0.25">
      <c r="A737" s="4"/>
      <c r="B737" s="4"/>
      <c r="C737" s="4"/>
      <c r="D737" s="4"/>
      <c r="E737" s="4"/>
    </row>
    <row r="738" spans="1:5" ht="15.75" customHeight="1" x14ac:dyDescent="0.25">
      <c r="A738" s="4"/>
      <c r="B738" s="4"/>
      <c r="C738" s="4"/>
      <c r="D738" s="4"/>
      <c r="E738" s="4"/>
    </row>
    <row r="739" spans="1:5" ht="15.75" customHeight="1" x14ac:dyDescent="0.25">
      <c r="A739" s="4"/>
      <c r="B739" s="4"/>
      <c r="C739" s="4"/>
      <c r="D739" s="4"/>
      <c r="E739" s="4"/>
    </row>
    <row r="740" spans="1:5" ht="15.75" customHeight="1" x14ac:dyDescent="0.25">
      <c r="A740" s="4"/>
      <c r="B740" s="4"/>
      <c r="C740" s="4"/>
      <c r="D740" s="4"/>
      <c r="E740" s="4"/>
    </row>
    <row r="741" spans="1:5" ht="15.75" customHeight="1" x14ac:dyDescent="0.25">
      <c r="A741" s="4"/>
      <c r="B741" s="4"/>
      <c r="C741" s="4"/>
      <c r="D741" s="4"/>
      <c r="E741" s="4"/>
    </row>
    <row r="742" spans="1:5" ht="15.75" customHeight="1" x14ac:dyDescent="0.25">
      <c r="A742" s="4"/>
      <c r="B742" s="4"/>
      <c r="C742" s="4"/>
      <c r="D742" s="4"/>
      <c r="E742" s="4"/>
    </row>
    <row r="743" spans="1:5" ht="15.75" customHeight="1" x14ac:dyDescent="0.25">
      <c r="A743" s="4"/>
      <c r="B743" s="4"/>
      <c r="C743" s="4"/>
      <c r="D743" s="4"/>
      <c r="E743" s="4"/>
    </row>
    <row r="744" spans="1:5" ht="15.75" customHeight="1" x14ac:dyDescent="0.25">
      <c r="A744" s="4"/>
      <c r="B744" s="4"/>
      <c r="C744" s="4"/>
      <c r="D744" s="4"/>
      <c r="E744" s="4"/>
    </row>
    <row r="745" spans="1:5" ht="15.75" customHeight="1" x14ac:dyDescent="0.25">
      <c r="A745" s="4"/>
      <c r="B745" s="4"/>
      <c r="C745" s="4"/>
      <c r="D745" s="4"/>
      <c r="E745" s="4"/>
    </row>
    <row r="746" spans="1:5" ht="15.75" customHeight="1" x14ac:dyDescent="0.25">
      <c r="A746" s="4"/>
      <c r="B746" s="4"/>
      <c r="C746" s="4"/>
      <c r="D746" s="4"/>
      <c r="E746" s="4"/>
    </row>
    <row r="747" spans="1:5" ht="15.75" customHeight="1" x14ac:dyDescent="0.25">
      <c r="A747" s="4"/>
      <c r="B747" s="4"/>
      <c r="C747" s="4"/>
      <c r="D747" s="4"/>
      <c r="E747" s="4"/>
    </row>
    <row r="748" spans="1:5" ht="15.75" customHeight="1" x14ac:dyDescent="0.25">
      <c r="A748" s="4"/>
      <c r="B748" s="4"/>
      <c r="C748" s="4"/>
      <c r="D748" s="4"/>
      <c r="E748" s="4"/>
    </row>
    <row r="749" spans="1:5" ht="15.75" customHeight="1" x14ac:dyDescent="0.25">
      <c r="A749" s="4"/>
      <c r="B749" s="4"/>
      <c r="C749" s="4"/>
      <c r="D749" s="4"/>
      <c r="E749" s="4"/>
    </row>
    <row r="750" spans="1:5" ht="15.75" customHeight="1" x14ac:dyDescent="0.25">
      <c r="A750" s="4"/>
      <c r="B750" s="4"/>
      <c r="C750" s="4"/>
      <c r="D750" s="4"/>
      <c r="E750" s="4"/>
    </row>
    <row r="751" spans="1:5" ht="15.75" customHeight="1" x14ac:dyDescent="0.25">
      <c r="A751" s="4"/>
      <c r="B751" s="4"/>
      <c r="C751" s="4"/>
      <c r="D751" s="4"/>
      <c r="E751" s="4"/>
    </row>
    <row r="752" spans="1:5" ht="15.75" customHeight="1" x14ac:dyDescent="0.25">
      <c r="A752" s="4"/>
      <c r="B752" s="4"/>
      <c r="C752" s="4"/>
      <c r="D752" s="4"/>
      <c r="E752" s="4"/>
    </row>
    <row r="753" spans="1:5" ht="15.75" customHeight="1" x14ac:dyDescent="0.25">
      <c r="A753" s="4"/>
      <c r="B753" s="4"/>
      <c r="C753" s="4"/>
      <c r="D753" s="4"/>
      <c r="E753" s="4"/>
    </row>
    <row r="754" spans="1:5" ht="15.75" customHeight="1" x14ac:dyDescent="0.25">
      <c r="A754" s="4"/>
      <c r="B754" s="4"/>
      <c r="C754" s="4"/>
      <c r="D754" s="4"/>
      <c r="E754" s="4"/>
    </row>
    <row r="755" spans="1:5" ht="15.75" customHeight="1" x14ac:dyDescent="0.25">
      <c r="A755" s="4"/>
      <c r="B755" s="4"/>
      <c r="C755" s="4"/>
      <c r="D755" s="4"/>
      <c r="E755" s="4"/>
    </row>
    <row r="756" spans="1:5" ht="15.75" customHeight="1" x14ac:dyDescent="0.25">
      <c r="A756" s="4"/>
      <c r="B756" s="4"/>
      <c r="C756" s="4"/>
      <c r="D756" s="4"/>
      <c r="E756" s="4"/>
    </row>
    <row r="757" spans="1:5" ht="15.75" customHeight="1" x14ac:dyDescent="0.25">
      <c r="A757" s="4"/>
      <c r="B757" s="4"/>
      <c r="C757" s="4"/>
      <c r="D757" s="4"/>
      <c r="E757" s="4"/>
    </row>
    <row r="758" spans="1:5" ht="15.75" customHeight="1" x14ac:dyDescent="0.25">
      <c r="A758" s="4"/>
      <c r="B758" s="4"/>
      <c r="C758" s="4"/>
      <c r="D758" s="4"/>
      <c r="E758" s="4"/>
    </row>
    <row r="759" spans="1:5" ht="15.75" customHeight="1" x14ac:dyDescent="0.25">
      <c r="A759" s="4"/>
      <c r="B759" s="4"/>
      <c r="C759" s="4"/>
      <c r="D759" s="4"/>
      <c r="E759" s="4"/>
    </row>
    <row r="760" spans="1:5" ht="15.75" customHeight="1" x14ac:dyDescent="0.25">
      <c r="A760" s="4"/>
      <c r="B760" s="4"/>
      <c r="C760" s="4"/>
      <c r="D760" s="4"/>
      <c r="E760" s="4"/>
    </row>
    <row r="761" spans="1:5" ht="15.75" customHeight="1" x14ac:dyDescent="0.25">
      <c r="A761" s="4"/>
      <c r="B761" s="4"/>
      <c r="C761" s="4"/>
      <c r="D761" s="4"/>
      <c r="E761" s="4"/>
    </row>
    <row r="762" spans="1:5" ht="15.75" customHeight="1" x14ac:dyDescent="0.25">
      <c r="A762" s="4"/>
      <c r="B762" s="4"/>
      <c r="C762" s="4"/>
      <c r="D762" s="4"/>
      <c r="E762" s="4"/>
    </row>
    <row r="763" spans="1:5" ht="15.75" customHeight="1" x14ac:dyDescent="0.25">
      <c r="A763" s="4"/>
      <c r="B763" s="4"/>
      <c r="C763" s="4"/>
      <c r="D763" s="4"/>
      <c r="E763" s="4"/>
    </row>
    <row r="764" spans="1:5" ht="15.75" customHeight="1" x14ac:dyDescent="0.25">
      <c r="A764" s="4"/>
      <c r="B764" s="4"/>
      <c r="C764" s="4"/>
      <c r="D764" s="4"/>
      <c r="E764" s="4"/>
    </row>
    <row r="765" spans="1:5" ht="15.75" customHeight="1" x14ac:dyDescent="0.25">
      <c r="A765" s="4"/>
      <c r="B765" s="4"/>
      <c r="C765" s="4"/>
      <c r="D765" s="4"/>
      <c r="E765" s="4"/>
    </row>
    <row r="766" spans="1:5" ht="15.75" customHeight="1" x14ac:dyDescent="0.25">
      <c r="A766" s="4"/>
      <c r="B766" s="4"/>
      <c r="C766" s="4"/>
      <c r="D766" s="4"/>
      <c r="E766" s="4"/>
    </row>
    <row r="767" spans="1:5" ht="15.75" customHeight="1" x14ac:dyDescent="0.25">
      <c r="A767" s="4"/>
      <c r="B767" s="4"/>
      <c r="C767" s="4"/>
      <c r="D767" s="4"/>
      <c r="E767" s="4"/>
    </row>
    <row r="768" spans="1:5" ht="15.75" customHeight="1" x14ac:dyDescent="0.25">
      <c r="A768" s="4"/>
      <c r="B768" s="4"/>
      <c r="C768" s="4"/>
      <c r="D768" s="4"/>
      <c r="E768" s="4"/>
    </row>
    <row r="769" spans="1:5" ht="15.75" customHeight="1" x14ac:dyDescent="0.25">
      <c r="A769" s="4"/>
      <c r="B769" s="4"/>
      <c r="C769" s="4"/>
      <c r="D769" s="4"/>
      <c r="E769" s="4"/>
    </row>
    <row r="770" spans="1:5" ht="15.75" customHeight="1" x14ac:dyDescent="0.25">
      <c r="A770" s="4"/>
      <c r="B770" s="4"/>
      <c r="C770" s="4"/>
      <c r="D770" s="4"/>
      <c r="E770" s="4"/>
    </row>
    <row r="771" spans="1:5" ht="15.75" customHeight="1" x14ac:dyDescent="0.25">
      <c r="A771" s="4"/>
      <c r="B771" s="4"/>
      <c r="C771" s="4"/>
      <c r="D771" s="4"/>
      <c r="E771" s="4"/>
    </row>
    <row r="772" spans="1:5" ht="15.75" customHeight="1" x14ac:dyDescent="0.25">
      <c r="A772" s="4"/>
      <c r="B772" s="4"/>
      <c r="C772" s="4"/>
      <c r="D772" s="4"/>
      <c r="E772" s="4"/>
    </row>
    <row r="773" spans="1:5" ht="15.75" customHeight="1" x14ac:dyDescent="0.25">
      <c r="A773" s="4"/>
      <c r="B773" s="4"/>
      <c r="C773" s="4"/>
      <c r="D773" s="4"/>
      <c r="E773" s="4"/>
    </row>
    <row r="774" spans="1:5" ht="15.75" customHeight="1" x14ac:dyDescent="0.25">
      <c r="A774" s="4"/>
      <c r="B774" s="4"/>
      <c r="C774" s="4"/>
      <c r="D774" s="4"/>
      <c r="E774" s="4"/>
    </row>
    <row r="775" spans="1:5" ht="15.75" customHeight="1" x14ac:dyDescent="0.25">
      <c r="A775" s="4"/>
      <c r="B775" s="4"/>
      <c r="C775" s="4"/>
      <c r="D775" s="4"/>
      <c r="E775" s="4"/>
    </row>
    <row r="776" spans="1:5" ht="15.75" customHeight="1" x14ac:dyDescent="0.25">
      <c r="A776" s="4"/>
      <c r="B776" s="4"/>
      <c r="C776" s="4"/>
      <c r="D776" s="4"/>
      <c r="E776" s="4"/>
    </row>
    <row r="777" spans="1:5" ht="15.75" customHeight="1" x14ac:dyDescent="0.25">
      <c r="A777" s="4"/>
      <c r="B777" s="4"/>
      <c r="C777" s="4"/>
      <c r="D777" s="4"/>
      <c r="E777" s="4"/>
    </row>
    <row r="778" spans="1:5" ht="15.75" customHeight="1" x14ac:dyDescent="0.25">
      <c r="A778" s="4"/>
      <c r="B778" s="4"/>
      <c r="C778" s="4"/>
      <c r="D778" s="4"/>
      <c r="E778" s="4"/>
    </row>
    <row r="779" spans="1:5" ht="15.75" customHeight="1" x14ac:dyDescent="0.25">
      <c r="A779" s="4"/>
      <c r="B779" s="4"/>
      <c r="C779" s="4"/>
      <c r="D779" s="4"/>
      <c r="E779" s="4"/>
    </row>
    <row r="780" spans="1:5" ht="15.75" customHeight="1" x14ac:dyDescent="0.25">
      <c r="A780" s="4"/>
      <c r="B780" s="4"/>
      <c r="C780" s="4"/>
      <c r="D780" s="4"/>
      <c r="E780" s="4"/>
    </row>
    <row r="781" spans="1:5" ht="15.75" customHeight="1" x14ac:dyDescent="0.25">
      <c r="A781" s="4"/>
      <c r="B781" s="4"/>
      <c r="C781" s="4"/>
      <c r="D781" s="4"/>
      <c r="E781" s="4"/>
    </row>
    <row r="782" spans="1:5" ht="15.75" customHeight="1" x14ac:dyDescent="0.25">
      <c r="A782" s="4"/>
      <c r="B782" s="4"/>
      <c r="C782" s="4"/>
      <c r="D782" s="4"/>
      <c r="E782" s="4"/>
    </row>
    <row r="783" spans="1:5" ht="15.75" customHeight="1" x14ac:dyDescent="0.25">
      <c r="A783" s="4"/>
      <c r="B783" s="4"/>
      <c r="C783" s="4"/>
      <c r="D783" s="4"/>
      <c r="E783" s="4"/>
    </row>
    <row r="784" spans="1:5" ht="15.75" customHeight="1" x14ac:dyDescent="0.25">
      <c r="A784" s="4"/>
      <c r="B784" s="4"/>
      <c r="C784" s="4"/>
      <c r="D784" s="4"/>
      <c r="E784" s="4"/>
    </row>
    <row r="785" spans="1:5" ht="15.75" customHeight="1" x14ac:dyDescent="0.25">
      <c r="A785" s="4"/>
      <c r="B785" s="4"/>
      <c r="C785" s="4"/>
      <c r="D785" s="4"/>
      <c r="E785" s="4"/>
    </row>
    <row r="786" spans="1:5" ht="15.75" customHeight="1" x14ac:dyDescent="0.25">
      <c r="A786" s="4"/>
      <c r="B786" s="4"/>
      <c r="C786" s="4"/>
      <c r="D786" s="4"/>
      <c r="E786" s="4"/>
    </row>
    <row r="787" spans="1:5" ht="15.75" customHeight="1" x14ac:dyDescent="0.25">
      <c r="A787" s="4"/>
      <c r="B787" s="4"/>
      <c r="C787" s="4"/>
      <c r="D787" s="4"/>
      <c r="E787" s="4"/>
    </row>
    <row r="788" spans="1:5" ht="15.75" customHeight="1" x14ac:dyDescent="0.25">
      <c r="A788" s="4"/>
      <c r="B788" s="4"/>
      <c r="C788" s="4"/>
      <c r="D788" s="4"/>
      <c r="E788" s="4"/>
    </row>
    <row r="789" spans="1:5" ht="15.75" customHeight="1" x14ac:dyDescent="0.25">
      <c r="A789" s="4"/>
      <c r="B789" s="4"/>
      <c r="C789" s="4"/>
      <c r="D789" s="4"/>
      <c r="E789" s="4"/>
    </row>
    <row r="790" spans="1:5" ht="15.75" customHeight="1" x14ac:dyDescent="0.25">
      <c r="A790" s="4"/>
      <c r="B790" s="4"/>
      <c r="C790" s="4"/>
      <c r="D790" s="4"/>
      <c r="E790" s="4"/>
    </row>
    <row r="791" spans="1:5" ht="15.75" customHeight="1" x14ac:dyDescent="0.25">
      <c r="A791" s="4"/>
      <c r="B791" s="4"/>
      <c r="C791" s="4"/>
      <c r="D791" s="4"/>
      <c r="E791" s="4"/>
    </row>
    <row r="792" spans="1:5" ht="15.75" customHeight="1" x14ac:dyDescent="0.25">
      <c r="A792" s="4"/>
      <c r="B792" s="4"/>
      <c r="C792" s="4"/>
      <c r="D792" s="4"/>
      <c r="E792" s="4"/>
    </row>
    <row r="793" spans="1:5" ht="15.75" customHeight="1" x14ac:dyDescent="0.25">
      <c r="A793" s="4"/>
      <c r="B793" s="4"/>
      <c r="C793" s="4"/>
      <c r="D793" s="4"/>
      <c r="E793" s="4"/>
    </row>
    <row r="794" spans="1:5" ht="15.75" customHeight="1" x14ac:dyDescent="0.25">
      <c r="A794" s="4"/>
      <c r="B794" s="4"/>
      <c r="C794" s="4"/>
      <c r="D794" s="4"/>
      <c r="E794" s="4"/>
    </row>
    <row r="795" spans="1:5" ht="15.75" customHeight="1" x14ac:dyDescent="0.25">
      <c r="A795" s="4"/>
      <c r="B795" s="4"/>
      <c r="C795" s="4"/>
      <c r="D795" s="4"/>
      <c r="E795" s="4"/>
    </row>
    <row r="796" spans="1:5" ht="15.75" customHeight="1" x14ac:dyDescent="0.25">
      <c r="A796" s="4"/>
      <c r="B796" s="4"/>
      <c r="C796" s="4"/>
      <c r="D796" s="4"/>
      <c r="E796" s="4"/>
    </row>
    <row r="797" spans="1:5" ht="15.75" customHeight="1" x14ac:dyDescent="0.25">
      <c r="A797" s="4"/>
      <c r="B797" s="4"/>
      <c r="C797" s="4"/>
      <c r="D797" s="4"/>
      <c r="E797" s="4"/>
    </row>
    <row r="798" spans="1:5" ht="15.75" customHeight="1" x14ac:dyDescent="0.25">
      <c r="A798" s="4"/>
      <c r="B798" s="4"/>
      <c r="C798" s="4"/>
      <c r="D798" s="4"/>
      <c r="E798" s="4"/>
    </row>
    <row r="799" spans="1:5" ht="15.75" customHeight="1" x14ac:dyDescent="0.25">
      <c r="A799" s="4"/>
      <c r="B799" s="4"/>
      <c r="C799" s="4"/>
      <c r="D799" s="4"/>
      <c r="E799" s="4"/>
    </row>
    <row r="800" spans="1:5" ht="15.75" customHeight="1" x14ac:dyDescent="0.25">
      <c r="A800" s="4"/>
      <c r="B800" s="4"/>
      <c r="C800" s="4"/>
      <c r="D800" s="4"/>
      <c r="E800" s="4"/>
    </row>
    <row r="801" spans="1:5" ht="15.75" customHeight="1" x14ac:dyDescent="0.25">
      <c r="A801" s="4"/>
      <c r="B801" s="4"/>
      <c r="C801" s="4"/>
      <c r="D801" s="4"/>
      <c r="E801" s="4"/>
    </row>
    <row r="802" spans="1:5" ht="15.75" customHeight="1" x14ac:dyDescent="0.25">
      <c r="A802" s="4"/>
      <c r="B802" s="4"/>
      <c r="C802" s="4"/>
      <c r="D802" s="4"/>
      <c r="E802" s="4"/>
    </row>
    <row r="803" spans="1:5" ht="15.75" customHeight="1" x14ac:dyDescent="0.25">
      <c r="A803" s="4"/>
      <c r="B803" s="4"/>
      <c r="C803" s="4"/>
      <c r="D803" s="4"/>
      <c r="E803" s="4"/>
    </row>
    <row r="804" spans="1:5" ht="15.75" customHeight="1" x14ac:dyDescent="0.25">
      <c r="A804" s="4"/>
      <c r="B804" s="4"/>
      <c r="C804" s="4"/>
      <c r="D804" s="4"/>
      <c r="E804" s="4"/>
    </row>
    <row r="805" spans="1:5" ht="15.75" customHeight="1" x14ac:dyDescent="0.25">
      <c r="A805" s="4"/>
      <c r="B805" s="4"/>
      <c r="C805" s="4"/>
      <c r="D805" s="4"/>
      <c r="E805" s="4"/>
    </row>
    <row r="806" spans="1:5" ht="15.75" customHeight="1" x14ac:dyDescent="0.25">
      <c r="A806" s="4"/>
      <c r="B806" s="4"/>
      <c r="C806" s="4"/>
      <c r="D806" s="4"/>
      <c r="E806" s="4"/>
    </row>
    <row r="807" spans="1:5" ht="15.75" customHeight="1" x14ac:dyDescent="0.25">
      <c r="A807" s="4"/>
      <c r="B807" s="4"/>
      <c r="C807" s="4"/>
      <c r="D807" s="4"/>
      <c r="E807" s="4"/>
    </row>
    <row r="808" spans="1:5" ht="15.75" customHeight="1" x14ac:dyDescent="0.25">
      <c r="A808" s="4"/>
      <c r="B808" s="4"/>
      <c r="C808" s="4"/>
      <c r="D808" s="4"/>
      <c r="E808" s="4"/>
    </row>
    <row r="809" spans="1:5" ht="15.75" customHeight="1" x14ac:dyDescent="0.25">
      <c r="A809" s="4"/>
      <c r="B809" s="4"/>
      <c r="C809" s="4"/>
      <c r="D809" s="4"/>
      <c r="E809" s="4"/>
    </row>
    <row r="810" spans="1:5" ht="15.75" customHeight="1" x14ac:dyDescent="0.25">
      <c r="A810" s="4"/>
      <c r="B810" s="4"/>
      <c r="C810" s="4"/>
      <c r="D810" s="4"/>
      <c r="E810" s="4"/>
    </row>
    <row r="811" spans="1:5" ht="15.75" customHeight="1" x14ac:dyDescent="0.25">
      <c r="A811" s="4"/>
      <c r="B811" s="4"/>
      <c r="C811" s="4"/>
      <c r="D811" s="4"/>
      <c r="E811" s="4"/>
    </row>
    <row r="812" spans="1:5" ht="15.75" customHeight="1" x14ac:dyDescent="0.25">
      <c r="A812" s="4"/>
      <c r="B812" s="4"/>
      <c r="C812" s="4"/>
      <c r="D812" s="4"/>
      <c r="E812" s="4"/>
    </row>
    <row r="813" spans="1:5" ht="15.75" customHeight="1" x14ac:dyDescent="0.25">
      <c r="A813" s="4"/>
      <c r="B813" s="4"/>
      <c r="C813" s="4"/>
      <c r="D813" s="4"/>
      <c r="E813" s="4"/>
    </row>
    <row r="814" spans="1:5" ht="15.75" customHeight="1" x14ac:dyDescent="0.25">
      <c r="A814" s="4"/>
      <c r="B814" s="4"/>
      <c r="C814" s="4"/>
      <c r="D814" s="4"/>
      <c r="E814" s="4"/>
    </row>
    <row r="815" spans="1:5" ht="15.75" customHeight="1" x14ac:dyDescent="0.25">
      <c r="A815" s="4"/>
      <c r="B815" s="4"/>
      <c r="C815" s="4"/>
      <c r="D815" s="4"/>
      <c r="E815" s="4"/>
    </row>
    <row r="816" spans="1:5" ht="15.75" customHeight="1" x14ac:dyDescent="0.25">
      <c r="A816" s="4"/>
      <c r="B816" s="4"/>
      <c r="C816" s="4"/>
      <c r="D816" s="4"/>
      <c r="E816" s="4"/>
    </row>
    <row r="817" spans="1:5" ht="15.75" customHeight="1" x14ac:dyDescent="0.25">
      <c r="A817" s="4"/>
      <c r="B817" s="4"/>
      <c r="C817" s="4"/>
      <c r="D817" s="4"/>
      <c r="E817" s="4"/>
    </row>
    <row r="818" spans="1:5" ht="15.75" customHeight="1" x14ac:dyDescent="0.25">
      <c r="A818" s="4"/>
      <c r="B818" s="4"/>
      <c r="C818" s="4"/>
      <c r="D818" s="4"/>
      <c r="E818" s="4"/>
    </row>
    <row r="819" spans="1:5" ht="15.75" customHeight="1" x14ac:dyDescent="0.25">
      <c r="A819" s="4"/>
      <c r="B819" s="4"/>
      <c r="C819" s="4"/>
      <c r="D819" s="4"/>
      <c r="E819" s="4"/>
    </row>
    <row r="820" spans="1:5" ht="15.75" customHeight="1" x14ac:dyDescent="0.25">
      <c r="A820" s="4"/>
      <c r="B820" s="4"/>
      <c r="C820" s="4"/>
      <c r="D820" s="4"/>
      <c r="E820" s="4"/>
    </row>
    <row r="821" spans="1:5" ht="15.75" customHeight="1" x14ac:dyDescent="0.25">
      <c r="A821" s="4"/>
      <c r="B821" s="4"/>
      <c r="C821" s="4"/>
      <c r="D821" s="4"/>
      <c r="E821" s="4"/>
    </row>
    <row r="822" spans="1:5" ht="15.75" customHeight="1" x14ac:dyDescent="0.25">
      <c r="A822" s="4"/>
      <c r="B822" s="4"/>
      <c r="C822" s="4"/>
      <c r="D822" s="4"/>
      <c r="E822" s="4"/>
    </row>
    <row r="823" spans="1:5" ht="15.75" customHeight="1" x14ac:dyDescent="0.25">
      <c r="A823" s="4"/>
      <c r="B823" s="4"/>
      <c r="C823" s="4"/>
      <c r="D823" s="4"/>
      <c r="E823" s="4"/>
    </row>
    <row r="824" spans="1:5" ht="15.75" customHeight="1" x14ac:dyDescent="0.25">
      <c r="A824" s="4"/>
      <c r="B824" s="4"/>
      <c r="C824" s="4"/>
      <c r="D824" s="4"/>
      <c r="E824" s="4"/>
    </row>
    <row r="825" spans="1:5" ht="15.75" customHeight="1" x14ac:dyDescent="0.25">
      <c r="A825" s="4"/>
      <c r="B825" s="4"/>
      <c r="C825" s="4"/>
      <c r="D825" s="4"/>
      <c r="E825" s="4"/>
    </row>
    <row r="826" spans="1:5" ht="15.75" customHeight="1" x14ac:dyDescent="0.25">
      <c r="A826" s="4"/>
      <c r="B826" s="4"/>
      <c r="C826" s="4"/>
      <c r="D826" s="4"/>
      <c r="E826" s="4"/>
    </row>
    <row r="827" spans="1:5" ht="15.75" customHeight="1" x14ac:dyDescent="0.25">
      <c r="A827" s="4"/>
      <c r="B827" s="4"/>
      <c r="C827" s="4"/>
      <c r="D827" s="4"/>
      <c r="E827" s="4"/>
    </row>
    <row r="828" spans="1:5" ht="15.75" customHeight="1" x14ac:dyDescent="0.25">
      <c r="A828" s="4"/>
      <c r="B828" s="4"/>
      <c r="C828" s="4"/>
      <c r="D828" s="4"/>
      <c r="E828" s="4"/>
    </row>
    <row r="829" spans="1:5" ht="15.75" customHeight="1" x14ac:dyDescent="0.25">
      <c r="A829" s="4"/>
      <c r="B829" s="4"/>
      <c r="C829" s="4"/>
      <c r="D829" s="4"/>
      <c r="E829" s="4"/>
    </row>
    <row r="830" spans="1:5" ht="15.75" customHeight="1" x14ac:dyDescent="0.25">
      <c r="A830" s="4"/>
      <c r="B830" s="4"/>
      <c r="C830" s="4"/>
      <c r="D830" s="4"/>
      <c r="E830" s="4"/>
    </row>
    <row r="831" spans="1:5" ht="15.75" customHeight="1" x14ac:dyDescent="0.25">
      <c r="A831" s="4"/>
      <c r="B831" s="4"/>
      <c r="C831" s="4"/>
      <c r="D831" s="4"/>
      <c r="E831" s="4"/>
    </row>
    <row r="832" spans="1:5" ht="15.75" customHeight="1" x14ac:dyDescent="0.25">
      <c r="A832" s="4"/>
      <c r="B832" s="4"/>
      <c r="C832" s="4"/>
      <c r="D832" s="4"/>
      <c r="E832" s="4"/>
    </row>
    <row r="833" spans="1:5" ht="15.75" customHeight="1" x14ac:dyDescent="0.25">
      <c r="A833" s="4"/>
      <c r="B833" s="4"/>
      <c r="C833" s="4"/>
      <c r="D833" s="4"/>
      <c r="E833" s="4"/>
    </row>
    <row r="834" spans="1:5" ht="15.75" customHeight="1" x14ac:dyDescent="0.25">
      <c r="A834" s="4"/>
      <c r="B834" s="4"/>
      <c r="C834" s="4"/>
      <c r="D834" s="4"/>
      <c r="E834" s="4"/>
    </row>
    <row r="835" spans="1:5" ht="15.75" customHeight="1" x14ac:dyDescent="0.25">
      <c r="A835" s="4"/>
      <c r="B835" s="4"/>
      <c r="C835" s="4"/>
      <c r="D835" s="4"/>
      <c r="E835" s="4"/>
    </row>
    <row r="836" spans="1:5" ht="15.75" customHeight="1" x14ac:dyDescent="0.25">
      <c r="A836" s="4"/>
      <c r="B836" s="4"/>
      <c r="C836" s="4"/>
      <c r="D836" s="4"/>
      <c r="E836" s="4"/>
    </row>
    <row r="837" spans="1:5" ht="15.75" customHeight="1" x14ac:dyDescent="0.25">
      <c r="A837" s="4"/>
      <c r="B837" s="4"/>
      <c r="C837" s="4"/>
      <c r="D837" s="4"/>
      <c r="E837" s="4"/>
    </row>
    <row r="838" spans="1:5" ht="15.75" customHeight="1" x14ac:dyDescent="0.25">
      <c r="A838" s="4"/>
      <c r="B838" s="4"/>
      <c r="C838" s="4"/>
      <c r="D838" s="4"/>
      <c r="E838" s="4"/>
    </row>
    <row r="839" spans="1:5" ht="15.75" customHeight="1" x14ac:dyDescent="0.25">
      <c r="A839" s="4"/>
      <c r="B839" s="4"/>
      <c r="C839" s="4"/>
      <c r="D839" s="4"/>
      <c r="E839" s="4"/>
    </row>
    <row r="840" spans="1:5" ht="15.75" customHeight="1" x14ac:dyDescent="0.25">
      <c r="A840" s="4"/>
      <c r="B840" s="4"/>
      <c r="C840" s="4"/>
      <c r="D840" s="4"/>
      <c r="E840" s="4"/>
    </row>
    <row r="841" spans="1:5" ht="15.75" customHeight="1" x14ac:dyDescent="0.25">
      <c r="A841" s="4"/>
      <c r="B841" s="4"/>
      <c r="C841" s="4"/>
      <c r="D841" s="4"/>
      <c r="E841" s="4"/>
    </row>
    <row r="842" spans="1:5" ht="15.75" customHeight="1" x14ac:dyDescent="0.25">
      <c r="A842" s="4"/>
      <c r="B842" s="4"/>
      <c r="C842" s="4"/>
      <c r="D842" s="4"/>
      <c r="E842" s="4"/>
    </row>
    <row r="843" spans="1:5" ht="15.75" customHeight="1" x14ac:dyDescent="0.25">
      <c r="A843" s="4"/>
      <c r="B843" s="4"/>
      <c r="C843" s="4"/>
      <c r="D843" s="4"/>
      <c r="E843" s="4"/>
    </row>
    <row r="844" spans="1:5" ht="15.75" customHeight="1" x14ac:dyDescent="0.25">
      <c r="A844" s="4"/>
      <c r="B844" s="4"/>
      <c r="C844" s="4"/>
      <c r="D844" s="4"/>
      <c r="E844" s="4"/>
    </row>
    <row r="845" spans="1:5" ht="15.75" customHeight="1" x14ac:dyDescent="0.25">
      <c r="A845" s="4"/>
      <c r="B845" s="4"/>
      <c r="C845" s="4"/>
      <c r="D845" s="4"/>
      <c r="E845" s="4"/>
    </row>
    <row r="846" spans="1:5" ht="15.75" customHeight="1" x14ac:dyDescent="0.25">
      <c r="A846" s="4"/>
      <c r="B846" s="4"/>
      <c r="C846" s="4"/>
      <c r="D846" s="4"/>
      <c r="E846" s="4"/>
    </row>
    <row r="847" spans="1:5" ht="15.75" customHeight="1" x14ac:dyDescent="0.25">
      <c r="A847" s="4"/>
      <c r="B847" s="4"/>
      <c r="C847" s="4"/>
      <c r="D847" s="4"/>
      <c r="E847" s="4"/>
    </row>
    <row r="848" spans="1:5" ht="15.75" customHeight="1" x14ac:dyDescent="0.25">
      <c r="A848" s="4"/>
      <c r="B848" s="4"/>
      <c r="C848" s="4"/>
      <c r="D848" s="4"/>
      <c r="E848" s="4"/>
    </row>
    <row r="849" spans="1:5" ht="15.75" customHeight="1" x14ac:dyDescent="0.25">
      <c r="A849" s="4"/>
      <c r="B849" s="4"/>
      <c r="C849" s="4"/>
      <c r="D849" s="4"/>
      <c r="E849" s="4"/>
    </row>
    <row r="850" spans="1:5" ht="15.75" customHeight="1" x14ac:dyDescent="0.25">
      <c r="A850" s="4"/>
      <c r="B850" s="4"/>
      <c r="C850" s="4"/>
      <c r="D850" s="4"/>
      <c r="E850" s="4"/>
    </row>
    <row r="851" spans="1:5" ht="15.75" customHeight="1" x14ac:dyDescent="0.25">
      <c r="A851" s="4"/>
      <c r="B851" s="4"/>
      <c r="C851" s="4"/>
      <c r="D851" s="4"/>
      <c r="E851" s="4"/>
    </row>
    <row r="852" spans="1:5" ht="15.75" customHeight="1" x14ac:dyDescent="0.25">
      <c r="A852" s="4"/>
      <c r="B852" s="4"/>
      <c r="C852" s="4"/>
      <c r="D852" s="4"/>
      <c r="E852" s="4"/>
    </row>
    <row r="853" spans="1:5" ht="15.75" customHeight="1" x14ac:dyDescent="0.25">
      <c r="A853" s="4"/>
      <c r="B853" s="4"/>
      <c r="C853" s="4"/>
      <c r="D853" s="4"/>
      <c r="E853" s="4"/>
    </row>
    <row r="854" spans="1:5" ht="15.75" customHeight="1" x14ac:dyDescent="0.25">
      <c r="A854" s="4"/>
      <c r="B854" s="4"/>
      <c r="C854" s="4"/>
      <c r="D854" s="4"/>
      <c r="E854" s="4"/>
    </row>
    <row r="855" spans="1:5" ht="15.75" customHeight="1" x14ac:dyDescent="0.25">
      <c r="A855" s="4"/>
      <c r="B855" s="4"/>
      <c r="C855" s="4"/>
      <c r="D855" s="4"/>
      <c r="E855" s="4"/>
    </row>
    <row r="856" spans="1:5" ht="15.75" customHeight="1" x14ac:dyDescent="0.25">
      <c r="A856" s="4"/>
      <c r="B856" s="4"/>
      <c r="C856" s="4"/>
      <c r="D856" s="4"/>
      <c r="E856" s="4"/>
    </row>
    <row r="857" spans="1:5" ht="15.75" customHeight="1" x14ac:dyDescent="0.25">
      <c r="A857" s="4"/>
      <c r="B857" s="4"/>
      <c r="C857" s="4"/>
      <c r="D857" s="4"/>
      <c r="E857" s="4"/>
    </row>
    <row r="858" spans="1:5" ht="15.75" customHeight="1" x14ac:dyDescent="0.25">
      <c r="A858" s="4"/>
      <c r="B858" s="4"/>
      <c r="C858" s="4"/>
      <c r="D858" s="4"/>
      <c r="E858" s="4"/>
    </row>
    <row r="859" spans="1:5" ht="15.75" customHeight="1" x14ac:dyDescent="0.25">
      <c r="A859" s="4"/>
      <c r="B859" s="4"/>
      <c r="C859" s="4"/>
      <c r="D859" s="4"/>
      <c r="E859" s="4"/>
    </row>
    <row r="860" spans="1:5" ht="15.75" customHeight="1" x14ac:dyDescent="0.25">
      <c r="A860" s="4"/>
      <c r="B860" s="4"/>
      <c r="C860" s="4"/>
      <c r="D860" s="4"/>
      <c r="E860" s="4"/>
    </row>
    <row r="861" spans="1:5" ht="15.75" customHeight="1" x14ac:dyDescent="0.25">
      <c r="A861" s="4"/>
      <c r="B861" s="4"/>
      <c r="C861" s="4"/>
      <c r="D861" s="4"/>
      <c r="E861" s="4"/>
    </row>
    <row r="862" spans="1:5" ht="15.75" customHeight="1" x14ac:dyDescent="0.25">
      <c r="A862" s="4"/>
      <c r="B862" s="4"/>
      <c r="C862" s="4"/>
      <c r="D862" s="4"/>
      <c r="E862" s="4"/>
    </row>
    <row r="863" spans="1:5" ht="15.75" customHeight="1" x14ac:dyDescent="0.25">
      <c r="A863" s="4"/>
      <c r="B863" s="4"/>
      <c r="C863" s="4"/>
      <c r="D863" s="4"/>
      <c r="E863" s="4"/>
    </row>
    <row r="864" spans="1:5" ht="15.75" customHeight="1" x14ac:dyDescent="0.25">
      <c r="A864" s="4"/>
      <c r="B864" s="4"/>
      <c r="C864" s="4"/>
      <c r="D864" s="4"/>
      <c r="E864" s="4"/>
    </row>
    <row r="865" spans="1:5" ht="15.75" customHeight="1" x14ac:dyDescent="0.25">
      <c r="A865" s="4"/>
      <c r="B865" s="4"/>
      <c r="C865" s="4"/>
      <c r="D865" s="4"/>
      <c r="E865" s="4"/>
    </row>
    <row r="866" spans="1:5" ht="15.75" customHeight="1" x14ac:dyDescent="0.25">
      <c r="A866" s="4"/>
      <c r="B866" s="4"/>
      <c r="C866" s="4"/>
      <c r="D866" s="4"/>
      <c r="E866" s="4"/>
    </row>
    <row r="867" spans="1:5" ht="15.75" customHeight="1" x14ac:dyDescent="0.25">
      <c r="A867" s="4"/>
      <c r="B867" s="4"/>
      <c r="C867" s="4"/>
      <c r="D867" s="4"/>
      <c r="E867" s="4"/>
    </row>
    <row r="868" spans="1:5" ht="15.75" customHeight="1" x14ac:dyDescent="0.25">
      <c r="A868" s="4"/>
      <c r="B868" s="4"/>
      <c r="C868" s="4"/>
      <c r="D868" s="4"/>
      <c r="E868" s="4"/>
    </row>
    <row r="869" spans="1:5" ht="15.75" customHeight="1" x14ac:dyDescent="0.25">
      <c r="A869" s="4"/>
      <c r="B869" s="4"/>
      <c r="C869" s="4"/>
      <c r="D869" s="4"/>
      <c r="E869" s="4"/>
    </row>
    <row r="870" spans="1:5" ht="15.75" customHeight="1" x14ac:dyDescent="0.25">
      <c r="A870" s="4"/>
      <c r="B870" s="4"/>
      <c r="C870" s="4"/>
      <c r="D870" s="4"/>
      <c r="E870" s="4"/>
    </row>
    <row r="871" spans="1:5" ht="15.75" customHeight="1" x14ac:dyDescent="0.25">
      <c r="A871" s="4"/>
      <c r="B871" s="4"/>
      <c r="C871" s="4"/>
      <c r="D871" s="4"/>
      <c r="E871" s="4"/>
    </row>
    <row r="872" spans="1:5" ht="15.75" customHeight="1" x14ac:dyDescent="0.25">
      <c r="A872" s="4"/>
      <c r="B872" s="4"/>
      <c r="C872" s="4"/>
      <c r="D872" s="4"/>
      <c r="E872" s="4"/>
    </row>
    <row r="873" spans="1:5" ht="15.75" customHeight="1" x14ac:dyDescent="0.25">
      <c r="A873" s="4"/>
      <c r="B873" s="4"/>
      <c r="C873" s="4"/>
      <c r="D873" s="4"/>
      <c r="E873" s="4"/>
    </row>
    <row r="874" spans="1:5" ht="15.75" customHeight="1" x14ac:dyDescent="0.25">
      <c r="A874" s="4"/>
      <c r="B874" s="4"/>
      <c r="C874" s="4"/>
      <c r="D874" s="4"/>
      <c r="E874" s="4"/>
    </row>
    <row r="875" spans="1:5" ht="15.75" customHeight="1" x14ac:dyDescent="0.25">
      <c r="A875" s="4"/>
      <c r="B875" s="4"/>
      <c r="C875" s="4"/>
      <c r="D875" s="4"/>
      <c r="E875" s="4"/>
    </row>
    <row r="876" spans="1:5" ht="15.75" customHeight="1" x14ac:dyDescent="0.25">
      <c r="A876" s="4"/>
      <c r="B876" s="4"/>
      <c r="C876" s="4"/>
      <c r="D876" s="4"/>
      <c r="E876" s="4"/>
    </row>
    <row r="877" spans="1:5" ht="15.75" customHeight="1" x14ac:dyDescent="0.25">
      <c r="A877" s="4"/>
      <c r="B877" s="4"/>
      <c r="C877" s="4"/>
      <c r="D877" s="4"/>
      <c r="E877" s="4"/>
    </row>
    <row r="878" spans="1:5" ht="15.75" customHeight="1" x14ac:dyDescent="0.25">
      <c r="A878" s="4"/>
      <c r="B878" s="4"/>
      <c r="C878" s="4"/>
      <c r="D878" s="4"/>
      <c r="E878" s="4"/>
    </row>
    <row r="879" spans="1:5" ht="15.75" customHeight="1" x14ac:dyDescent="0.25">
      <c r="A879" s="4"/>
      <c r="B879" s="4"/>
      <c r="C879" s="4"/>
      <c r="D879" s="4"/>
      <c r="E879" s="4"/>
    </row>
    <row r="880" spans="1:5" ht="15.75" customHeight="1" x14ac:dyDescent="0.25">
      <c r="A880" s="4"/>
      <c r="B880" s="4"/>
      <c r="C880" s="4"/>
      <c r="D880" s="4"/>
      <c r="E880" s="4"/>
    </row>
    <row r="881" spans="1:5" ht="15.75" customHeight="1" x14ac:dyDescent="0.25">
      <c r="A881" s="4"/>
      <c r="B881" s="4"/>
      <c r="C881" s="4"/>
      <c r="D881" s="4"/>
      <c r="E881" s="4"/>
    </row>
    <row r="882" spans="1:5" ht="15.75" customHeight="1" x14ac:dyDescent="0.25">
      <c r="A882" s="4"/>
      <c r="B882" s="4"/>
      <c r="C882" s="4"/>
      <c r="D882" s="4"/>
      <c r="E882" s="4"/>
    </row>
    <row r="883" spans="1:5" ht="15.75" customHeight="1" x14ac:dyDescent="0.25">
      <c r="A883" s="4"/>
      <c r="B883" s="4"/>
      <c r="C883" s="4"/>
      <c r="D883" s="4"/>
      <c r="E883" s="4"/>
    </row>
    <row r="884" spans="1:5" ht="15.75" customHeight="1" x14ac:dyDescent="0.25">
      <c r="A884" s="4"/>
      <c r="B884" s="4"/>
      <c r="C884" s="4"/>
      <c r="D884" s="4"/>
      <c r="E884" s="4"/>
    </row>
    <row r="885" spans="1:5" ht="15.75" customHeight="1" x14ac:dyDescent="0.25">
      <c r="A885" s="4"/>
      <c r="B885" s="4"/>
      <c r="C885" s="4"/>
      <c r="D885" s="4"/>
      <c r="E885" s="4"/>
    </row>
    <row r="886" spans="1:5" ht="15.75" customHeight="1" x14ac:dyDescent="0.25">
      <c r="A886" s="4"/>
      <c r="B886" s="4"/>
      <c r="C886" s="4"/>
      <c r="D886" s="4"/>
      <c r="E886" s="4"/>
    </row>
    <row r="887" spans="1:5" ht="15.75" customHeight="1" x14ac:dyDescent="0.25">
      <c r="A887" s="4"/>
      <c r="B887" s="4"/>
      <c r="C887" s="4"/>
      <c r="D887" s="4"/>
      <c r="E887" s="4"/>
    </row>
    <row r="888" spans="1:5" ht="15.75" customHeight="1" x14ac:dyDescent="0.25">
      <c r="A888" s="4"/>
      <c r="B888" s="4"/>
      <c r="C888" s="4"/>
      <c r="D888" s="4"/>
      <c r="E888" s="4"/>
    </row>
    <row r="889" spans="1:5" ht="15.75" customHeight="1" x14ac:dyDescent="0.25">
      <c r="A889" s="4"/>
      <c r="B889" s="4"/>
      <c r="C889" s="4"/>
      <c r="D889" s="4"/>
      <c r="E889" s="4"/>
    </row>
    <row r="890" spans="1:5" ht="15.75" customHeight="1" x14ac:dyDescent="0.25">
      <c r="A890" s="4"/>
      <c r="B890" s="4"/>
      <c r="C890" s="4"/>
      <c r="D890" s="4"/>
      <c r="E890" s="4"/>
    </row>
    <row r="891" spans="1:5" ht="15.75" customHeight="1" x14ac:dyDescent="0.25">
      <c r="A891" s="4"/>
      <c r="B891" s="4"/>
      <c r="C891" s="4"/>
      <c r="D891" s="4"/>
      <c r="E891" s="4"/>
    </row>
    <row r="892" spans="1:5" ht="15.75" customHeight="1" x14ac:dyDescent="0.25">
      <c r="A892" s="4"/>
      <c r="B892" s="4"/>
      <c r="C892" s="4"/>
      <c r="D892" s="4"/>
      <c r="E892" s="4"/>
    </row>
    <row r="893" spans="1:5" ht="15.75" customHeight="1" x14ac:dyDescent="0.25">
      <c r="A893" s="4"/>
      <c r="B893" s="4"/>
      <c r="C893" s="4"/>
      <c r="D893" s="4"/>
      <c r="E893" s="4"/>
    </row>
    <row r="894" spans="1:5" ht="15.75" customHeight="1" x14ac:dyDescent="0.25">
      <c r="A894" s="4"/>
      <c r="B894" s="4"/>
      <c r="C894" s="4"/>
      <c r="D894" s="4"/>
      <c r="E894" s="4"/>
    </row>
    <row r="895" spans="1:5" ht="15.75" customHeight="1" x14ac:dyDescent="0.25">
      <c r="A895" s="4"/>
      <c r="B895" s="4"/>
      <c r="C895" s="4"/>
      <c r="D895" s="4"/>
      <c r="E895" s="4"/>
    </row>
    <row r="896" spans="1:5" ht="15.75" customHeight="1" x14ac:dyDescent="0.25">
      <c r="A896" s="4"/>
      <c r="B896" s="4"/>
      <c r="C896" s="4"/>
      <c r="D896" s="4"/>
      <c r="E896" s="4"/>
    </row>
    <row r="897" spans="1:5" ht="15.75" customHeight="1" x14ac:dyDescent="0.25">
      <c r="A897" s="4"/>
      <c r="B897" s="4"/>
      <c r="C897" s="4"/>
      <c r="D897" s="4"/>
      <c r="E897" s="4"/>
    </row>
    <row r="898" spans="1:5" ht="15.75" customHeight="1" x14ac:dyDescent="0.25">
      <c r="A898" s="4"/>
      <c r="B898" s="4"/>
      <c r="C898" s="4"/>
      <c r="D898" s="4"/>
      <c r="E898" s="4"/>
    </row>
    <row r="899" spans="1:5" ht="15.75" customHeight="1" x14ac:dyDescent="0.25">
      <c r="A899" s="4"/>
      <c r="B899" s="4"/>
      <c r="C899" s="4"/>
      <c r="D899" s="4"/>
      <c r="E899" s="4"/>
    </row>
    <row r="900" spans="1:5" ht="15.75" customHeight="1" x14ac:dyDescent="0.25">
      <c r="A900" s="4"/>
      <c r="B900" s="4"/>
      <c r="C900" s="4"/>
      <c r="D900" s="4"/>
      <c r="E900" s="4"/>
    </row>
    <row r="901" spans="1:5" ht="15.75" customHeight="1" x14ac:dyDescent="0.25">
      <c r="A901" s="4"/>
      <c r="B901" s="4"/>
      <c r="C901" s="4"/>
      <c r="D901" s="4"/>
      <c r="E901" s="4"/>
    </row>
    <row r="902" spans="1:5" ht="15.75" customHeight="1" x14ac:dyDescent="0.25">
      <c r="A902" s="4"/>
      <c r="B902" s="4"/>
      <c r="C902" s="4"/>
      <c r="D902" s="4"/>
      <c r="E902" s="4"/>
    </row>
    <row r="903" spans="1:5" ht="15.75" customHeight="1" x14ac:dyDescent="0.25">
      <c r="A903" s="4"/>
      <c r="B903" s="4"/>
      <c r="C903" s="4"/>
      <c r="D903" s="4"/>
      <c r="E903" s="4"/>
    </row>
    <row r="904" spans="1:5" ht="15.75" customHeight="1" x14ac:dyDescent="0.25">
      <c r="A904" s="4"/>
      <c r="B904" s="4"/>
      <c r="C904" s="4"/>
      <c r="D904" s="4"/>
      <c r="E904" s="4"/>
    </row>
    <row r="905" spans="1:5" ht="15.75" customHeight="1" x14ac:dyDescent="0.25">
      <c r="A905" s="4"/>
      <c r="B905" s="4"/>
      <c r="C905" s="4"/>
      <c r="D905" s="4"/>
      <c r="E905" s="4"/>
    </row>
    <row r="906" spans="1:5" ht="15.75" customHeight="1" x14ac:dyDescent="0.25">
      <c r="A906" s="4"/>
      <c r="B906" s="4"/>
      <c r="C906" s="4"/>
      <c r="D906" s="4"/>
      <c r="E906" s="4"/>
    </row>
    <row r="907" spans="1:5" ht="15.75" customHeight="1" x14ac:dyDescent="0.25">
      <c r="A907" s="4"/>
      <c r="B907" s="4"/>
      <c r="C907" s="4"/>
      <c r="D907" s="4"/>
      <c r="E907" s="4"/>
    </row>
    <row r="908" spans="1:5" ht="15.75" customHeight="1" x14ac:dyDescent="0.25">
      <c r="A908" s="4"/>
      <c r="B908" s="4"/>
      <c r="C908" s="4"/>
      <c r="D908" s="4"/>
      <c r="E908" s="4"/>
    </row>
    <row r="909" spans="1:5" ht="15.75" customHeight="1" x14ac:dyDescent="0.25">
      <c r="A909" s="4"/>
      <c r="B909" s="4"/>
      <c r="C909" s="4"/>
      <c r="D909" s="4"/>
      <c r="E909" s="4"/>
    </row>
    <row r="910" spans="1:5" ht="15.75" customHeight="1" x14ac:dyDescent="0.25">
      <c r="A910" s="4"/>
      <c r="B910" s="4"/>
      <c r="C910" s="4"/>
      <c r="D910" s="4"/>
      <c r="E910" s="4"/>
    </row>
    <row r="911" spans="1:5" ht="15.75" customHeight="1" x14ac:dyDescent="0.25">
      <c r="A911" s="4"/>
      <c r="B911" s="4"/>
      <c r="C911" s="4"/>
      <c r="D911" s="4"/>
      <c r="E911" s="4"/>
    </row>
    <row r="912" spans="1:5" ht="15.75" customHeight="1" x14ac:dyDescent="0.25">
      <c r="A912" s="4"/>
      <c r="B912" s="4"/>
      <c r="C912" s="4"/>
      <c r="D912" s="4"/>
      <c r="E912" s="4"/>
    </row>
    <row r="913" spans="1:5" ht="15.75" customHeight="1" x14ac:dyDescent="0.25">
      <c r="A913" s="4"/>
      <c r="B913" s="4"/>
      <c r="C913" s="4"/>
      <c r="D913" s="4"/>
      <c r="E913" s="4"/>
    </row>
    <row r="914" spans="1:5" ht="15.75" customHeight="1" x14ac:dyDescent="0.25">
      <c r="A914" s="4"/>
      <c r="B914" s="4"/>
      <c r="C914" s="4"/>
      <c r="D914" s="4"/>
      <c r="E914" s="4"/>
    </row>
    <row r="915" spans="1:5" ht="15.75" customHeight="1" x14ac:dyDescent="0.25">
      <c r="A915" s="4"/>
      <c r="B915" s="4"/>
      <c r="C915" s="4"/>
      <c r="D915" s="4"/>
      <c r="E915" s="4"/>
    </row>
    <row r="916" spans="1:5" ht="15.75" customHeight="1" x14ac:dyDescent="0.25">
      <c r="A916" s="4"/>
      <c r="B916" s="4"/>
      <c r="C916" s="4"/>
      <c r="D916" s="4"/>
      <c r="E916" s="4"/>
    </row>
    <row r="917" spans="1:5" ht="15.75" customHeight="1" x14ac:dyDescent="0.25">
      <c r="A917" s="4"/>
      <c r="B917" s="4"/>
      <c r="C917" s="4"/>
      <c r="D917" s="4"/>
      <c r="E917" s="4"/>
    </row>
    <row r="918" spans="1:5" ht="15.75" customHeight="1" x14ac:dyDescent="0.25">
      <c r="A918" s="4"/>
      <c r="B918" s="4"/>
      <c r="C918" s="4"/>
      <c r="D918" s="4"/>
      <c r="E918" s="4"/>
    </row>
    <row r="919" spans="1:5" ht="15.75" customHeight="1" x14ac:dyDescent="0.25">
      <c r="A919" s="4"/>
      <c r="B919" s="4"/>
      <c r="C919" s="4"/>
      <c r="D919" s="4"/>
      <c r="E919" s="4"/>
    </row>
    <row r="920" spans="1:5" ht="15.75" customHeight="1" x14ac:dyDescent="0.25">
      <c r="A920" s="4"/>
      <c r="B920" s="4"/>
      <c r="C920" s="4"/>
      <c r="D920" s="4"/>
      <c r="E920" s="4"/>
    </row>
    <row r="921" spans="1:5" ht="15.75" customHeight="1" x14ac:dyDescent="0.25">
      <c r="A921" s="4"/>
      <c r="B921" s="4"/>
      <c r="C921" s="4"/>
      <c r="D921" s="4"/>
      <c r="E921" s="4"/>
    </row>
    <row r="922" spans="1:5" ht="15.75" customHeight="1" x14ac:dyDescent="0.25">
      <c r="A922" s="4"/>
      <c r="B922" s="4"/>
      <c r="C922" s="4"/>
      <c r="D922" s="4"/>
      <c r="E922" s="4"/>
    </row>
    <row r="923" spans="1:5" ht="15.75" customHeight="1" x14ac:dyDescent="0.25">
      <c r="A923" s="4"/>
      <c r="B923" s="4"/>
      <c r="C923" s="4"/>
      <c r="D923" s="4"/>
      <c r="E923" s="4"/>
    </row>
    <row r="924" spans="1:5" ht="15.75" customHeight="1" x14ac:dyDescent="0.25">
      <c r="A924" s="4"/>
      <c r="B924" s="4"/>
      <c r="C924" s="4"/>
      <c r="D924" s="4"/>
      <c r="E924" s="4"/>
    </row>
    <row r="925" spans="1:5" ht="15.75" customHeight="1" x14ac:dyDescent="0.25">
      <c r="A925" s="4"/>
      <c r="B925" s="4"/>
      <c r="C925" s="4"/>
      <c r="D925" s="4"/>
      <c r="E925" s="4"/>
    </row>
    <row r="926" spans="1:5" ht="15.75" customHeight="1" x14ac:dyDescent="0.25">
      <c r="A926" s="4"/>
      <c r="B926" s="4"/>
      <c r="C926" s="4"/>
      <c r="D926" s="4"/>
      <c r="E926" s="4"/>
    </row>
    <row r="927" spans="1:5" ht="15.75" customHeight="1" x14ac:dyDescent="0.25">
      <c r="A927" s="4"/>
      <c r="B927" s="4"/>
      <c r="C927" s="4"/>
      <c r="D927" s="4"/>
      <c r="E927" s="4"/>
    </row>
    <row r="928" spans="1:5" ht="15.75" customHeight="1" x14ac:dyDescent="0.25">
      <c r="A928" s="4"/>
      <c r="B928" s="4"/>
      <c r="C928" s="4"/>
      <c r="D928" s="4"/>
      <c r="E928" s="4"/>
    </row>
    <row r="929" spans="1:5" ht="15.75" customHeight="1" x14ac:dyDescent="0.25">
      <c r="A929" s="4"/>
      <c r="B929" s="4"/>
      <c r="C929" s="4"/>
      <c r="D929" s="4"/>
      <c r="E929" s="4"/>
    </row>
    <row r="930" spans="1:5" ht="15.75" customHeight="1" x14ac:dyDescent="0.25">
      <c r="A930" s="4"/>
      <c r="B930" s="4"/>
      <c r="C930" s="4"/>
      <c r="D930" s="4"/>
      <c r="E930" s="4"/>
    </row>
    <row r="931" spans="1:5" ht="15.75" customHeight="1" x14ac:dyDescent="0.25">
      <c r="A931" s="4"/>
      <c r="B931" s="4"/>
      <c r="C931" s="4"/>
      <c r="D931" s="4"/>
      <c r="E931" s="4"/>
    </row>
    <row r="932" spans="1:5" ht="15.75" customHeight="1" x14ac:dyDescent="0.25">
      <c r="A932" s="4"/>
      <c r="B932" s="4"/>
      <c r="C932" s="4"/>
      <c r="D932" s="4"/>
      <c r="E932" s="4"/>
    </row>
    <row r="933" spans="1:5" ht="15.75" customHeight="1" x14ac:dyDescent="0.25">
      <c r="A933" s="4"/>
      <c r="B933" s="4"/>
      <c r="C933" s="4"/>
      <c r="D933" s="4"/>
      <c r="E933" s="4"/>
    </row>
    <row r="934" spans="1:5" ht="15.75" customHeight="1" x14ac:dyDescent="0.25">
      <c r="A934" s="4"/>
      <c r="B934" s="4"/>
      <c r="C934" s="4"/>
      <c r="D934" s="4"/>
      <c r="E934" s="4"/>
    </row>
    <row r="935" spans="1:5" ht="15.75" customHeight="1" x14ac:dyDescent="0.25">
      <c r="A935" s="4"/>
      <c r="B935" s="4"/>
      <c r="C935" s="4"/>
      <c r="D935" s="4"/>
      <c r="E935" s="4"/>
    </row>
    <row r="936" spans="1:5" ht="15.75" customHeight="1" x14ac:dyDescent="0.25">
      <c r="A936" s="4"/>
      <c r="B936" s="4"/>
      <c r="C936" s="4"/>
      <c r="D936" s="4"/>
      <c r="E936" s="4"/>
    </row>
    <row r="937" spans="1:5" ht="15.75" customHeight="1" x14ac:dyDescent="0.25">
      <c r="A937" s="4"/>
      <c r="B937" s="4"/>
      <c r="C937" s="4"/>
      <c r="D937" s="4"/>
      <c r="E937" s="4"/>
    </row>
    <row r="938" spans="1:5" ht="15.75" customHeight="1" x14ac:dyDescent="0.25">
      <c r="A938" s="4"/>
      <c r="B938" s="4"/>
      <c r="C938" s="4"/>
      <c r="D938" s="4"/>
      <c r="E938" s="4"/>
    </row>
    <row r="939" spans="1:5" ht="15.75" customHeight="1" x14ac:dyDescent="0.25">
      <c r="A939" s="4"/>
      <c r="B939" s="4"/>
      <c r="C939" s="4"/>
      <c r="D939" s="4"/>
      <c r="E939" s="4"/>
    </row>
    <row r="940" spans="1:5" ht="15.75" customHeight="1" x14ac:dyDescent="0.25">
      <c r="A940" s="4"/>
      <c r="B940" s="4"/>
      <c r="C940" s="4"/>
      <c r="D940" s="4"/>
      <c r="E940" s="4"/>
    </row>
    <row r="941" spans="1:5" ht="15.75" customHeight="1" x14ac:dyDescent="0.25">
      <c r="A941" s="4"/>
      <c r="B941" s="4"/>
      <c r="C941" s="4"/>
      <c r="D941" s="4"/>
      <c r="E941" s="4"/>
    </row>
    <row r="942" spans="1:5" ht="15.75" customHeight="1" x14ac:dyDescent="0.25">
      <c r="A942" s="4"/>
      <c r="B942" s="4"/>
      <c r="C942" s="4"/>
      <c r="D942" s="4"/>
      <c r="E942" s="4"/>
    </row>
    <row r="943" spans="1:5" ht="15.75" customHeight="1" x14ac:dyDescent="0.25">
      <c r="A943" s="4"/>
      <c r="B943" s="4"/>
      <c r="C943" s="4"/>
      <c r="D943" s="4"/>
      <c r="E943" s="4"/>
    </row>
    <row r="944" spans="1:5" ht="15.75" customHeight="1" x14ac:dyDescent="0.25">
      <c r="A944" s="4"/>
      <c r="B944" s="4"/>
      <c r="C944" s="4"/>
      <c r="D944" s="4"/>
      <c r="E944" s="4"/>
    </row>
    <row r="945" spans="1:5" ht="15.75" customHeight="1" x14ac:dyDescent="0.25">
      <c r="A945" s="4"/>
      <c r="B945" s="4"/>
      <c r="C945" s="4"/>
      <c r="D945" s="4"/>
      <c r="E945" s="4"/>
    </row>
    <row r="946" spans="1:5" ht="15.75" customHeight="1" x14ac:dyDescent="0.25">
      <c r="A946" s="4"/>
      <c r="B946" s="4"/>
      <c r="C946" s="4"/>
      <c r="D946" s="4"/>
      <c r="E946" s="4"/>
    </row>
    <row r="947" spans="1:5" ht="15.75" customHeight="1" x14ac:dyDescent="0.25">
      <c r="A947" s="4"/>
      <c r="B947" s="4"/>
      <c r="C947" s="4"/>
      <c r="D947" s="4"/>
      <c r="E947" s="4"/>
    </row>
    <row r="948" spans="1:5" ht="15.75" customHeight="1" x14ac:dyDescent="0.25">
      <c r="A948" s="4"/>
      <c r="B948" s="4"/>
      <c r="C948" s="4"/>
      <c r="D948" s="4"/>
      <c r="E948" s="4"/>
    </row>
    <row r="949" spans="1:5" ht="15.75" customHeight="1" x14ac:dyDescent="0.25">
      <c r="A949" s="4"/>
      <c r="B949" s="4"/>
      <c r="C949" s="4"/>
      <c r="D949" s="4"/>
      <c r="E949" s="4"/>
    </row>
    <row r="950" spans="1:5" ht="15.75" customHeight="1" x14ac:dyDescent="0.25">
      <c r="A950" s="4"/>
      <c r="B950" s="4"/>
      <c r="C950" s="4"/>
      <c r="D950" s="4"/>
      <c r="E950" s="4"/>
    </row>
    <row r="951" spans="1:5" ht="15.75" customHeight="1" x14ac:dyDescent="0.25">
      <c r="A951" s="4"/>
      <c r="B951" s="4"/>
      <c r="C951" s="4"/>
      <c r="D951" s="4"/>
      <c r="E951" s="4"/>
    </row>
    <row r="952" spans="1:5" ht="15.75" customHeight="1" x14ac:dyDescent="0.25">
      <c r="A952" s="4"/>
      <c r="B952" s="4"/>
      <c r="C952" s="4"/>
      <c r="D952" s="4"/>
      <c r="E952" s="4"/>
    </row>
    <row r="953" spans="1:5" ht="15.75" customHeight="1" x14ac:dyDescent="0.25">
      <c r="A953" s="4"/>
      <c r="B953" s="4"/>
      <c r="C953" s="4"/>
      <c r="D953" s="4"/>
      <c r="E953" s="4"/>
    </row>
    <row r="954" spans="1:5" ht="15.75" customHeight="1" x14ac:dyDescent="0.25">
      <c r="A954" s="4"/>
      <c r="B954" s="4"/>
      <c r="C954" s="4"/>
      <c r="D954" s="4"/>
      <c r="E954" s="4"/>
    </row>
    <row r="955" spans="1:5" ht="15.75" customHeight="1" x14ac:dyDescent="0.25">
      <c r="A955" s="4"/>
      <c r="B955" s="4"/>
      <c r="C955" s="4"/>
      <c r="D955" s="4"/>
      <c r="E955" s="4"/>
    </row>
    <row r="956" spans="1:5" ht="15.75" customHeight="1" x14ac:dyDescent="0.25">
      <c r="A956" s="4"/>
      <c r="B956" s="4"/>
      <c r="C956" s="4"/>
      <c r="D956" s="4"/>
      <c r="E956" s="4"/>
    </row>
    <row r="957" spans="1:5" ht="15.75" customHeight="1" x14ac:dyDescent="0.25">
      <c r="A957" s="4"/>
      <c r="B957" s="4"/>
      <c r="C957" s="4"/>
      <c r="D957" s="4"/>
      <c r="E957" s="4"/>
    </row>
    <row r="958" spans="1:5" ht="15.75" customHeight="1" x14ac:dyDescent="0.25">
      <c r="A958" s="4"/>
      <c r="B958" s="4"/>
      <c r="C958" s="4"/>
      <c r="D958" s="4"/>
      <c r="E958" s="4"/>
    </row>
    <row r="959" spans="1:5" ht="15.75" customHeight="1" x14ac:dyDescent="0.25">
      <c r="A959" s="4"/>
      <c r="B959" s="4"/>
      <c r="C959" s="4"/>
      <c r="D959" s="4"/>
      <c r="E959" s="4"/>
    </row>
    <row r="960" spans="1:5" ht="15.75" customHeight="1" x14ac:dyDescent="0.25">
      <c r="A960" s="4"/>
      <c r="B960" s="4"/>
      <c r="C960" s="4"/>
      <c r="D960" s="4"/>
      <c r="E960" s="4"/>
    </row>
    <row r="961" spans="1:5" ht="15.75" customHeight="1" x14ac:dyDescent="0.25">
      <c r="A961" s="4"/>
      <c r="B961" s="4"/>
      <c r="C961" s="4"/>
      <c r="D961" s="4"/>
      <c r="E961" s="4"/>
    </row>
    <row r="962" spans="1:5" ht="15.75" customHeight="1" x14ac:dyDescent="0.25">
      <c r="A962" s="4"/>
      <c r="B962" s="4"/>
      <c r="C962" s="4"/>
      <c r="D962" s="4"/>
      <c r="E962" s="4"/>
    </row>
    <row r="963" spans="1:5" ht="15.75" customHeight="1" x14ac:dyDescent="0.25">
      <c r="A963" s="4"/>
      <c r="B963" s="4"/>
      <c r="C963" s="4"/>
      <c r="D963" s="4"/>
      <c r="E963" s="4"/>
    </row>
    <row r="964" spans="1:5" ht="15.75" customHeight="1" x14ac:dyDescent="0.25">
      <c r="A964" s="4"/>
      <c r="B964" s="4"/>
      <c r="C964" s="4"/>
      <c r="D964" s="4"/>
      <c r="E964" s="4"/>
    </row>
    <row r="965" spans="1:5" ht="15.75" customHeight="1" x14ac:dyDescent="0.25">
      <c r="A965" s="4"/>
      <c r="B965" s="4"/>
      <c r="C965" s="4"/>
      <c r="D965" s="4"/>
      <c r="E965" s="4"/>
    </row>
    <row r="966" spans="1:5" ht="15.75" customHeight="1" x14ac:dyDescent="0.25">
      <c r="A966" s="4"/>
      <c r="B966" s="4"/>
      <c r="C966" s="4"/>
      <c r="D966" s="4"/>
      <c r="E966" s="4"/>
    </row>
    <row r="967" spans="1:5" ht="15.75" customHeight="1" x14ac:dyDescent="0.25">
      <c r="A967" s="4"/>
      <c r="B967" s="4"/>
      <c r="C967" s="4"/>
      <c r="D967" s="4"/>
      <c r="E967" s="4"/>
    </row>
    <row r="968" spans="1:5" ht="15.75" customHeight="1" x14ac:dyDescent="0.25">
      <c r="A968" s="4"/>
      <c r="B968" s="4"/>
      <c r="C968" s="4"/>
      <c r="D968" s="4"/>
      <c r="E968" s="4"/>
    </row>
    <row r="969" spans="1:5" ht="15.75" customHeight="1" x14ac:dyDescent="0.25">
      <c r="A969" s="4"/>
      <c r="B969" s="4"/>
      <c r="C969" s="4"/>
      <c r="D969" s="4"/>
      <c r="E969" s="4"/>
    </row>
    <row r="970" spans="1:5" ht="15.75" customHeight="1" x14ac:dyDescent="0.25">
      <c r="A970" s="4"/>
      <c r="B970" s="4"/>
      <c r="C970" s="4"/>
      <c r="D970" s="4"/>
      <c r="E970" s="4"/>
    </row>
    <row r="971" spans="1:5" ht="15.75" customHeight="1" x14ac:dyDescent="0.25">
      <c r="A971" s="4"/>
      <c r="B971" s="4"/>
      <c r="C971" s="4"/>
      <c r="D971" s="4"/>
      <c r="E971" s="4"/>
    </row>
    <row r="972" spans="1:5" ht="15.75" customHeight="1" x14ac:dyDescent="0.25">
      <c r="A972" s="4"/>
      <c r="B972" s="4"/>
      <c r="C972" s="4"/>
      <c r="D972" s="4"/>
      <c r="E972" s="4"/>
    </row>
    <row r="973" spans="1:5" ht="15.75" customHeight="1" x14ac:dyDescent="0.25">
      <c r="A973" s="4"/>
      <c r="B973" s="4"/>
      <c r="C973" s="4"/>
      <c r="D973" s="4"/>
      <c r="E973" s="4"/>
    </row>
    <row r="974" spans="1:5" ht="15.75" customHeight="1" x14ac:dyDescent="0.25">
      <c r="A974" s="4"/>
      <c r="B974" s="4"/>
      <c r="C974" s="4"/>
      <c r="D974" s="4"/>
      <c r="E974" s="4"/>
    </row>
    <row r="975" spans="1:5" ht="15.75" customHeight="1" x14ac:dyDescent="0.25">
      <c r="A975" s="4"/>
      <c r="B975" s="4"/>
      <c r="C975" s="4"/>
      <c r="D975" s="4"/>
      <c r="E975" s="4"/>
    </row>
    <row r="976" spans="1:5" ht="15.75" customHeight="1" x14ac:dyDescent="0.25">
      <c r="A976" s="4"/>
      <c r="B976" s="4"/>
      <c r="C976" s="4"/>
      <c r="D976" s="4"/>
      <c r="E976" s="4"/>
    </row>
    <row r="977" spans="1:5" ht="15.75" customHeight="1" x14ac:dyDescent="0.25">
      <c r="A977" s="4"/>
      <c r="B977" s="4"/>
      <c r="C977" s="4"/>
      <c r="D977" s="4"/>
      <c r="E977" s="4"/>
    </row>
    <row r="978" spans="1:5" ht="15.75" customHeight="1" x14ac:dyDescent="0.25">
      <c r="A978" s="4"/>
      <c r="B978" s="4"/>
      <c r="C978" s="4"/>
      <c r="D978" s="4"/>
      <c r="E978" s="4"/>
    </row>
    <row r="979" spans="1:5" ht="15.75" customHeight="1" x14ac:dyDescent="0.25">
      <c r="A979" s="4"/>
      <c r="B979" s="4"/>
      <c r="C979" s="4"/>
      <c r="D979" s="4"/>
      <c r="E979" s="4"/>
    </row>
    <row r="980" spans="1:5" ht="15.75" customHeight="1" x14ac:dyDescent="0.25">
      <c r="A980" s="4"/>
      <c r="B980" s="4"/>
      <c r="C980" s="4"/>
      <c r="D980" s="4"/>
      <c r="E980" s="4"/>
    </row>
    <row r="981" spans="1:5" ht="15.75" customHeight="1" x14ac:dyDescent="0.25">
      <c r="A981" s="4"/>
      <c r="B981" s="4"/>
      <c r="C981" s="4"/>
      <c r="D981" s="4"/>
      <c r="E981" s="4"/>
    </row>
    <row r="982" spans="1:5" ht="15.75" customHeight="1" x14ac:dyDescent="0.25">
      <c r="A982" s="4"/>
      <c r="B982" s="4"/>
      <c r="C982" s="4"/>
      <c r="D982" s="4"/>
      <c r="E982" s="4"/>
    </row>
    <row r="983" spans="1:5" ht="15.75" customHeight="1" x14ac:dyDescent="0.25">
      <c r="A983" s="4"/>
      <c r="B983" s="4"/>
      <c r="C983" s="4"/>
      <c r="D983" s="4"/>
      <c r="E983" s="4"/>
    </row>
    <row r="984" spans="1:5" ht="15.75" customHeight="1" x14ac:dyDescent="0.25">
      <c r="A984" s="4"/>
      <c r="B984" s="4"/>
      <c r="C984" s="4"/>
      <c r="D984" s="4"/>
      <c r="E984" s="4"/>
    </row>
    <row r="985" spans="1:5" ht="15.75" customHeight="1" x14ac:dyDescent="0.25">
      <c r="A985" s="4"/>
      <c r="B985" s="4"/>
      <c r="C985" s="4"/>
      <c r="D985" s="4"/>
      <c r="E985" s="4"/>
    </row>
    <row r="986" spans="1:5" ht="15.75" customHeight="1" x14ac:dyDescent="0.25">
      <c r="A986" s="4"/>
      <c r="B986" s="4"/>
      <c r="C986" s="4"/>
      <c r="D986" s="4"/>
      <c r="E986" s="4"/>
    </row>
    <row r="987" spans="1:5" ht="15.75" customHeight="1" x14ac:dyDescent="0.25">
      <c r="A987" s="4"/>
      <c r="B987" s="4"/>
      <c r="C987" s="4"/>
      <c r="D987" s="4"/>
      <c r="E987" s="4"/>
    </row>
    <row r="988" spans="1:5" ht="15.75" customHeight="1" x14ac:dyDescent="0.25">
      <c r="A988" s="4"/>
      <c r="B988" s="4"/>
      <c r="C988" s="4"/>
      <c r="D988" s="4"/>
      <c r="E988" s="4"/>
    </row>
    <row r="989" spans="1:5" ht="15.75" customHeight="1" x14ac:dyDescent="0.25">
      <c r="A989" s="4"/>
      <c r="B989" s="4"/>
      <c r="C989" s="4"/>
      <c r="D989" s="4"/>
      <c r="E989" s="4"/>
    </row>
    <row r="990" spans="1:5" ht="15.75" customHeight="1" x14ac:dyDescent="0.25">
      <c r="A990" s="4"/>
      <c r="B990" s="4"/>
      <c r="C990" s="4"/>
      <c r="D990" s="4"/>
      <c r="E990" s="4"/>
    </row>
    <row r="991" spans="1:5" ht="15.75" customHeight="1" x14ac:dyDescent="0.25">
      <c r="A991" s="4"/>
      <c r="B991" s="4"/>
      <c r="C991" s="4"/>
      <c r="D991" s="4"/>
      <c r="E991" s="4"/>
    </row>
    <row r="992" spans="1:5" ht="15.75" customHeight="1" x14ac:dyDescent="0.25">
      <c r="A992" s="4"/>
      <c r="B992" s="4"/>
      <c r="C992" s="4"/>
      <c r="D992" s="4"/>
      <c r="E992" s="4"/>
    </row>
    <row r="993" spans="1:5" ht="15.75" customHeight="1" x14ac:dyDescent="0.25">
      <c r="A993" s="4"/>
      <c r="B993" s="4"/>
      <c r="C993" s="4"/>
      <c r="D993" s="4"/>
      <c r="E993" s="4"/>
    </row>
    <row r="994" spans="1:5" ht="15.75" customHeight="1" x14ac:dyDescent="0.25">
      <c r="A994" s="4"/>
      <c r="B994" s="4"/>
      <c r="C994" s="4"/>
      <c r="D994" s="4"/>
      <c r="E994" s="4"/>
    </row>
    <row r="995" spans="1:5" ht="15.75" customHeight="1" x14ac:dyDescent="0.25">
      <c r="A995" s="4"/>
      <c r="B995" s="4"/>
      <c r="C995" s="4"/>
      <c r="D995" s="4"/>
      <c r="E995" s="4"/>
    </row>
    <row r="996" spans="1:5" ht="15.75" customHeight="1" x14ac:dyDescent="0.25">
      <c r="A996" s="4"/>
      <c r="B996" s="4"/>
      <c r="C996" s="4"/>
      <c r="D996" s="4"/>
      <c r="E996" s="4"/>
    </row>
    <row r="997" spans="1:5" ht="15.75" customHeight="1" x14ac:dyDescent="0.25">
      <c r="A997" s="4"/>
      <c r="B997" s="4"/>
      <c r="C997" s="4"/>
      <c r="D997" s="4"/>
      <c r="E997" s="4"/>
    </row>
    <row r="998" spans="1:5" ht="15.75" customHeight="1" x14ac:dyDescent="0.25">
      <c r="A998" s="4"/>
      <c r="B998" s="4"/>
      <c r="C998" s="4"/>
      <c r="D998" s="4"/>
      <c r="E998" s="4"/>
    </row>
    <row r="999" spans="1:5" ht="15.75" customHeight="1" x14ac:dyDescent="0.25">
      <c r="A999" s="4"/>
      <c r="B999" s="4"/>
      <c r="C999" s="4"/>
      <c r="D999" s="4"/>
      <c r="E999" s="4"/>
    </row>
    <row r="1000" spans="1:5" ht="15.75" customHeight="1" x14ac:dyDescent="0.25">
      <c r="A1000" s="4"/>
      <c r="B1000" s="4"/>
      <c r="C1000" s="4"/>
      <c r="D1000" s="4"/>
      <c r="E1000" s="4"/>
    </row>
  </sheetData>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ColWidth="14.42578125" defaultRowHeight="15" customHeight="1" outlineLevelRow="1" x14ac:dyDescent="0.25"/>
  <cols>
    <col min="1" max="1" width="38" customWidth="1"/>
    <col min="2" max="26" width="18" customWidth="1"/>
  </cols>
  <sheetData>
    <row r="1" spans="1:26" ht="17.25" customHeight="1" x14ac:dyDescent="0.25">
      <c r="A1" s="1" t="s">
        <v>353</v>
      </c>
      <c r="B1" s="4"/>
      <c r="C1" s="4"/>
      <c r="D1" s="4"/>
      <c r="E1" s="4"/>
      <c r="F1" s="4"/>
      <c r="G1" s="4"/>
      <c r="H1" s="4"/>
      <c r="I1" s="4"/>
      <c r="J1" s="4"/>
      <c r="K1" s="4"/>
      <c r="L1" s="4"/>
      <c r="M1" s="4"/>
      <c r="N1" s="4"/>
      <c r="O1" s="4"/>
      <c r="P1" s="4"/>
      <c r="Q1" s="4"/>
      <c r="R1" s="4"/>
      <c r="S1" s="4"/>
      <c r="T1" s="4"/>
      <c r="U1" s="4"/>
      <c r="V1" s="4"/>
      <c r="W1" s="4"/>
      <c r="X1" s="4"/>
      <c r="Y1" s="4"/>
      <c r="Z1" s="4"/>
    </row>
    <row r="2" spans="1:26" ht="15" customHeight="1" x14ac:dyDescent="0.25">
      <c r="A2" s="5" t="s">
        <v>354</v>
      </c>
      <c r="B2" s="4"/>
      <c r="C2" s="4"/>
      <c r="D2" s="4"/>
      <c r="E2" s="4"/>
      <c r="F2" s="4"/>
      <c r="G2" s="4"/>
      <c r="H2" s="4"/>
      <c r="I2" s="4"/>
      <c r="J2" s="4"/>
      <c r="K2" s="4"/>
      <c r="L2" s="4"/>
      <c r="M2" s="4"/>
      <c r="N2" s="4"/>
      <c r="O2" s="4"/>
      <c r="P2" s="4"/>
      <c r="Q2" s="4"/>
      <c r="R2" s="4"/>
      <c r="S2" s="4"/>
      <c r="T2" s="4"/>
      <c r="U2" s="4"/>
      <c r="V2" s="4"/>
      <c r="W2" s="4"/>
      <c r="X2" s="4"/>
      <c r="Y2" s="4"/>
      <c r="Z2" s="4"/>
    </row>
    <row r="3" spans="1:26" x14ac:dyDescent="0.25">
      <c r="A3" s="4"/>
      <c r="B3" s="4"/>
      <c r="C3" s="4"/>
      <c r="D3" s="4"/>
      <c r="E3" s="4"/>
      <c r="F3" s="4"/>
      <c r="G3" s="4"/>
      <c r="H3" s="4"/>
      <c r="I3" s="4"/>
      <c r="J3" s="4"/>
      <c r="K3" s="4"/>
      <c r="L3" s="4"/>
      <c r="M3" s="4"/>
      <c r="N3" s="4"/>
      <c r="O3" s="4"/>
      <c r="P3" s="4"/>
      <c r="Q3" s="4"/>
      <c r="R3" s="4"/>
      <c r="S3" s="4"/>
      <c r="T3" s="4"/>
      <c r="U3" s="4"/>
      <c r="V3" s="4"/>
      <c r="W3" s="4"/>
      <c r="X3" s="4"/>
      <c r="Y3" s="4"/>
      <c r="Z3" s="4"/>
    </row>
    <row r="4" spans="1:26" ht="15" customHeight="1" x14ac:dyDescent="0.25">
      <c r="A4" s="14" t="s">
        <v>355</v>
      </c>
      <c r="B4" s="14" t="s">
        <v>356</v>
      </c>
      <c r="C4" s="14" t="s">
        <v>357</v>
      </c>
      <c r="D4" s="14" t="s">
        <v>358</v>
      </c>
      <c r="E4" s="14" t="s">
        <v>359</v>
      </c>
      <c r="F4" s="14" t="s">
        <v>360</v>
      </c>
      <c r="G4" s="14" t="s">
        <v>361</v>
      </c>
      <c r="H4" s="14" t="s">
        <v>362</v>
      </c>
      <c r="I4" s="14" t="s">
        <v>363</v>
      </c>
      <c r="J4" s="14" t="s">
        <v>364</v>
      </c>
      <c r="K4" s="14" t="s">
        <v>365</v>
      </c>
      <c r="L4" s="14" t="s">
        <v>366</v>
      </c>
      <c r="M4" s="14" t="s">
        <v>367</v>
      </c>
      <c r="N4" s="14" t="s">
        <v>368</v>
      </c>
      <c r="O4" s="14" t="s">
        <v>369</v>
      </c>
      <c r="P4" s="14" t="s">
        <v>370</v>
      </c>
      <c r="Q4" s="14" t="s">
        <v>371</v>
      </c>
      <c r="R4" s="14" t="s">
        <v>372</v>
      </c>
      <c r="S4" s="14" t="s">
        <v>373</v>
      </c>
      <c r="T4" s="14" t="s">
        <v>374</v>
      </c>
      <c r="U4" s="14" t="s">
        <v>375</v>
      </c>
      <c r="V4" s="14" t="s">
        <v>376</v>
      </c>
      <c r="W4" s="14" t="s">
        <v>377</v>
      </c>
      <c r="X4" s="14" t="s">
        <v>378</v>
      </c>
      <c r="Y4" s="14" t="s">
        <v>379</v>
      </c>
      <c r="Z4" s="14" t="s">
        <v>380</v>
      </c>
    </row>
    <row r="5" spans="1:26" ht="15" customHeight="1" x14ac:dyDescent="0.25">
      <c r="A5" s="62" t="s">
        <v>381</v>
      </c>
      <c r="B5" s="4"/>
      <c r="C5" s="4"/>
      <c r="D5" s="4"/>
      <c r="E5" s="4"/>
      <c r="F5" s="4"/>
      <c r="G5" s="4"/>
      <c r="H5" s="4"/>
      <c r="I5" s="4"/>
      <c r="J5" s="4"/>
      <c r="K5" s="4"/>
      <c r="L5" s="4"/>
      <c r="M5" s="4"/>
      <c r="N5" s="4"/>
      <c r="O5" s="4"/>
      <c r="P5" s="4"/>
      <c r="Q5" s="4"/>
      <c r="R5" s="4"/>
      <c r="S5" s="4"/>
      <c r="T5" s="4"/>
      <c r="U5" s="4"/>
      <c r="V5" s="4"/>
      <c r="W5" s="4"/>
      <c r="X5" s="4"/>
      <c r="Y5" s="4"/>
      <c r="Z5" s="4"/>
    </row>
    <row r="6" spans="1:26" ht="15" customHeight="1" x14ac:dyDescent="0.25">
      <c r="A6" s="22" t="s">
        <v>382</v>
      </c>
      <c r="B6" s="4"/>
      <c r="C6" s="63">
        <f>'3_Giả định'!$B$7*(1+'3_Giả định'!$B$8)^0</f>
        <v>15.600000000000001</v>
      </c>
      <c r="D6" s="63">
        <f>'3_Giả định'!$B$7*(1+'3_Giả định'!$B$8)^1</f>
        <v>16.848000000000003</v>
      </c>
      <c r="E6" s="63">
        <f>'3_Giả định'!$B$7*(1+'3_Giả định'!$B$8)^2</f>
        <v>18.195840000000004</v>
      </c>
      <c r="F6" s="63">
        <f>'3_Giả định'!$B$7*(1+'3_Giả định'!$B$8)^3</f>
        <v>19.651507200000005</v>
      </c>
      <c r="G6" s="63">
        <f>'3_Giả định'!$B$7*(1+'3_Giả định'!$B$8)^4</f>
        <v>21.223627776000008</v>
      </c>
      <c r="H6" s="63">
        <f>'3_Giả định'!$B$7*(1+'3_Giả định'!$B$8)^5</f>
        <v>22.921517998080006</v>
      </c>
      <c r="I6" s="63">
        <f>'3_Giả định'!$B$7*(1+'3_Giả định'!$B$8)^6</f>
        <v>24.755239437926409</v>
      </c>
      <c r="J6" s="63">
        <f>'3_Giả định'!$B$7*(1+'3_Giả định'!$B$8)^7</f>
        <v>26.735658592960526</v>
      </c>
      <c r="K6" s="63">
        <f>'3_Giả định'!$B$7*(1+'3_Giả định'!$B$8)^8</f>
        <v>28.874511280397368</v>
      </c>
      <c r="L6" s="63">
        <f>'3_Giả định'!$B$7*(1+'3_Giả định'!$B$8)^9</f>
        <v>31.184472182829158</v>
      </c>
      <c r="M6" s="63">
        <f>'3_Giả định'!$B$7*(1+'3_Giả định'!$B$8)^10</f>
        <v>33.67922995745549</v>
      </c>
      <c r="N6" s="63">
        <f>'3_Giả định'!$B$7*(1+'3_Giả định'!$B$8)^11</f>
        <v>36.373568354051933</v>
      </c>
      <c r="O6" s="63">
        <f>'3_Giả định'!$B$7*(1+'3_Giả định'!$B$8)^12</f>
        <v>39.283453822376089</v>
      </c>
      <c r="P6" s="63">
        <f>'3_Giả định'!$B$7*(1+'3_Giả định'!$B$8)^13</f>
        <v>42.426130128166179</v>
      </c>
      <c r="Q6" s="63">
        <f>'3_Giả định'!$B$7*(1+'3_Giả định'!$B$8)^14</f>
        <v>45.820220538419477</v>
      </c>
      <c r="R6" s="63">
        <f>'3_Giả định'!$B$7*(1+'3_Giả định'!$B$8)^15</f>
        <v>49.485838181493037</v>
      </c>
      <c r="S6" s="63">
        <f>'3_Giả định'!$B$7*(1+'3_Giả định'!$B$8)^16</f>
        <v>53.444705236012481</v>
      </c>
      <c r="T6" s="63">
        <f>'3_Giả định'!$B$7*(1+'3_Giả định'!$B$8)^17</f>
        <v>57.720281654893483</v>
      </c>
      <c r="U6" s="63">
        <f>'3_Giả định'!$B$7*(1+'3_Giả định'!$B$8)^18</f>
        <v>62.33790418728497</v>
      </c>
      <c r="V6" s="63">
        <f>'3_Giả định'!$B$7*(1+'3_Giả định'!$B$8)^19</f>
        <v>67.324936522267777</v>
      </c>
      <c r="W6" s="63">
        <f>'3_Giả định'!$B$7*(1+'3_Giả định'!$B$8)^20</f>
        <v>72.710931444049194</v>
      </c>
      <c r="X6" s="63">
        <f>'3_Giả định'!$B$7*(1+'3_Giả định'!$B$8)^21</f>
        <v>78.527805959573129</v>
      </c>
      <c r="Y6" s="63">
        <f>'3_Giả định'!$B$7*(1+'3_Giả định'!$B$8)^22</f>
        <v>84.810030436338991</v>
      </c>
      <c r="Z6" s="63">
        <f>'3_Giả định'!$B$7*(1+'3_Giả định'!$B$8)^23</f>
        <v>91.594832871246112</v>
      </c>
    </row>
    <row r="7" spans="1:26" ht="15" customHeight="1" x14ac:dyDescent="0.25">
      <c r="A7" s="22" t="s">
        <v>383</v>
      </c>
      <c r="B7" s="4">
        <v>0</v>
      </c>
      <c r="C7" s="63">
        <f>B7*(1-'3_Giả định'!$B$9)+C6</f>
        <v>15.600000000000001</v>
      </c>
      <c r="D7" s="63">
        <f>C7*(1-'3_Giả định'!$B$9)+D6</f>
        <v>32.167200000000001</v>
      </c>
      <c r="E7" s="63">
        <f>D7*(1-'3_Giả định'!$B$9)+E6</f>
        <v>49.784030400000006</v>
      </c>
      <c r="F7" s="63">
        <f>E7*(1-'3_Giả định'!$B$9)+F6</f>
        <v>68.539425052800013</v>
      </c>
      <c r="G7" s="63">
        <f>F7*(1-'3_Giả định'!$B$9)+G6</f>
        <v>88.529343177849626</v>
      </c>
      <c r="H7" s="63">
        <f>G7*(1-'3_Giả định'!$B$9)+H6</f>
        <v>109.85733299872834</v>
      </c>
      <c r="I7" s="63">
        <f>H7*(1-'3_Giả định'!$B$9)+I6</f>
        <v>132.63514044267765</v>
      </c>
      <c r="J7" s="63">
        <f>I7*(1-'3_Giả định'!$B$9)+J6</f>
        <v>156.98336650766998</v>
      </c>
      <c r="K7" s="63">
        <f>J7*(1-'3_Giả định'!$B$9)+K6</f>
        <v>183.0321771909293</v>
      </c>
      <c r="L7" s="63">
        <f>K7*(1-'3_Giả định'!$B$9)+L6</f>
        <v>210.92207018432174</v>
      </c>
      <c r="M7" s="63">
        <f>L7*(1-'3_Giả định'!$B$9)+M6</f>
        <v>240.80470287845941</v>
      </c>
      <c r="N7" s="63">
        <f>M7*(1-'3_Giả định'!$B$9)+N6</f>
        <v>272.84378658069909</v>
      </c>
      <c r="O7" s="63">
        <f>N7*(1-'3_Giả định'!$B$9)+O6</f>
        <v>307.21605224462257</v>
      </c>
      <c r="P7" s="63">
        <f>O7*(1-'3_Giả định'!$B$9)+P6</f>
        <v>344.11229343238551</v>
      </c>
      <c r="Q7" s="63">
        <f>P7*(1-'3_Giả định'!$B$9)+Q6</f>
        <v>383.738492689022</v>
      </c>
      <c r="R7" s="63">
        <f>Q7*(1-'3_Giả định'!$B$9)+R6</f>
        <v>426.31703800211261</v>
      </c>
      <c r="S7" s="63">
        <f>R7*(1-'3_Giả định'!$B$9)+S6</f>
        <v>472.08803655408701</v>
      </c>
      <c r="T7" s="63">
        <f>S7*(1-'3_Giả định'!$B$9)+T6</f>
        <v>521.31073355100693</v>
      </c>
      <c r="U7" s="63">
        <f>T7*(1-'3_Giả định'!$B$9)+U6</f>
        <v>574.26504453437383</v>
      </c>
      <c r="V7" s="63">
        <f>U7*(1-'3_Giả định'!$B$9)+V6</f>
        <v>631.25321025502285</v>
      </c>
      <c r="W7" s="63">
        <f>V7*(1-'3_Giả định'!$B$9)+W6</f>
        <v>692.60158391448158</v>
      </c>
      <c r="X7" s="63">
        <f>W7*(1-'3_Giả định'!$B$9)+X6</f>
        <v>758.66256136359402</v>
      </c>
      <c r="Y7" s="63">
        <f>X7*(1-'3_Giả định'!$B$9)+Y6</f>
        <v>829.81666569538834</v>
      </c>
      <c r="Z7" s="63">
        <f>Y7*(1-'3_Giả định'!$B$9)+Z6</f>
        <v>906.47479858411748</v>
      </c>
    </row>
    <row r="8" spans="1:26" ht="15" customHeight="1" x14ac:dyDescent="0.25">
      <c r="A8" s="22" t="s">
        <v>79</v>
      </c>
      <c r="B8" s="4"/>
      <c r="C8" s="64">
        <f>C7*'3_Giả định'!$B$17</f>
        <v>68125200</v>
      </c>
      <c r="D8" s="64">
        <f>D7*'3_Giả định'!$B$17</f>
        <v>140474162.40000001</v>
      </c>
      <c r="E8" s="64">
        <f>E7*'3_Giả định'!$B$17</f>
        <v>217406860.75680003</v>
      </c>
      <c r="F8" s="64">
        <f>F7*'3_Giả định'!$B$17</f>
        <v>299311669.20557767</v>
      </c>
      <c r="G8" s="64">
        <f>G7*'3_Giả định'!$B$17</f>
        <v>386607641.65766931</v>
      </c>
      <c r="H8" s="64">
        <f>H7*'3_Giả định'!$B$17</f>
        <v>479746973.20544666</v>
      </c>
      <c r="I8" s="64">
        <f>I7*'3_Giả định'!$B$17</f>
        <v>579217658.31317329</v>
      </c>
      <c r="J8" s="64">
        <f>J7*'3_Giả định'!$B$17</f>
        <v>685546361.53899479</v>
      </c>
      <c r="K8" s="64">
        <f>K7*'3_Giả định'!$B$17</f>
        <v>799301517.79278827</v>
      </c>
      <c r="L8" s="64">
        <f>L7*'3_Giả định'!$B$17</f>
        <v>921096680.49493301</v>
      </c>
      <c r="M8" s="64">
        <f>M7*'3_Giả định'!$B$17</f>
        <v>1051594137.4702322</v>
      </c>
      <c r="N8" s="64">
        <f>N7*'3_Giả định'!$B$17</f>
        <v>1191508815.9979129</v>
      </c>
      <c r="O8" s="64">
        <f>O7*'3_Giả định'!$B$17</f>
        <v>1341612500.1522667</v>
      </c>
      <c r="P8" s="64">
        <f>P7*'3_Giả định'!$B$17</f>
        <v>1502738385.4192276</v>
      </c>
      <c r="Q8" s="64">
        <f>Q7*'3_Giả định'!$B$17</f>
        <v>1675785997.5729589</v>
      </c>
      <c r="R8" s="64">
        <f>R7*'3_Giả định'!$B$17</f>
        <v>1861726504.9552257</v>
      </c>
      <c r="S8" s="64">
        <f>S7*'3_Giả định'!$B$17</f>
        <v>2061608455.6316979</v>
      </c>
      <c r="T8" s="64">
        <f>T7*'3_Giả định'!$B$17</f>
        <v>2276563973.4172473</v>
      </c>
      <c r="U8" s="64">
        <f>U7*'3_Giả định'!$B$17</f>
        <v>2507815449.4816103</v>
      </c>
      <c r="V8" s="64">
        <f>V7*'3_Giả định'!$B$17</f>
        <v>2756682769.1836848</v>
      </c>
      <c r="W8" s="64">
        <f>W7*'3_Giả định'!$B$17</f>
        <v>3024591116.9545412</v>
      </c>
      <c r="X8" s="64">
        <f>X7*'3_Giả định'!$B$17</f>
        <v>3313079405.4748149</v>
      </c>
      <c r="Y8" s="64">
        <f>Y7*'3_Giả định'!$B$17</f>
        <v>3623809379.0917606</v>
      </c>
      <c r="Z8" s="64">
        <f>Z7*'3_Giả định'!$B$17</f>
        <v>3958575445.416841</v>
      </c>
    </row>
    <row r="9" spans="1:26" ht="15" customHeight="1" x14ac:dyDescent="0.25">
      <c r="A9" s="22" t="s">
        <v>384</v>
      </c>
      <c r="B9" s="4"/>
      <c r="C9" s="64">
        <f>C7*'3_Giả định'!$B$18</f>
        <v>17405323.752960004</v>
      </c>
      <c r="D9" s="64">
        <f>D7*'3_Giả định'!$B$18</f>
        <v>35889777.578603528</v>
      </c>
      <c r="E9" s="64">
        <f>E7*'3_Giả định'!$B$18</f>
        <v>55545331.207641214</v>
      </c>
      <c r="F9" s="64">
        <f>F7*'3_Giả định'!$B$18</f>
        <v>76471210.441392437</v>
      </c>
      <c r="G9" s="64">
        <f>G7*'3_Giả định'!$B$18</f>
        <v>98774479.464575231</v>
      </c>
      <c r="H9" s="64">
        <f>H7*'3_Giả định'!$B$18</f>
        <v>122570669.71023098</v>
      </c>
      <c r="I9" s="64">
        <f>I7*'3_Giả định'!$B$18</f>
        <v>147984459.00154635</v>
      </c>
      <c r="J9" s="64">
        <f>J7*'3_Giả định'!$B$18</f>
        <v>175150404.99330604</v>
      </c>
      <c r="K9" s="64">
        <f>K7*'3_Giả định'!$B$18</f>
        <v>204213737.25751704</v>
      </c>
      <c r="L9" s="64">
        <f>L7*'3_Giả định'!$B$18</f>
        <v>235331212.7052995</v>
      </c>
      <c r="M9" s="64">
        <f>M7*'3_Giả định'!$B$18</f>
        <v>268672039.41249526</v>
      </c>
      <c r="N9" s="64">
        <f>N7*'3_Giả định'!$B$18</f>
        <v>304418874.32183278</v>
      </c>
      <c r="O9" s="64">
        <f>O7*'3_Giả định'!$B$18</f>
        <v>342768900.73230326</v>
      </c>
      <c r="P9" s="64">
        <f>P7*'3_Giả định'!$B$18</f>
        <v>383934991.95924628</v>
      </c>
      <c r="Q9" s="64">
        <f>Q7*'3_Giả định'!$B$18</f>
        <v>428146968.05931431</v>
      </c>
      <c r="R9" s="64">
        <f>R7*'3_Giả định'!$B$18</f>
        <v>475652953.06600785</v>
      </c>
      <c r="S9" s="64">
        <f>S7*'3_Giả định'!$B$18</f>
        <v>526720840.77712184</v>
      </c>
      <c r="T9" s="64">
        <f>T7*'3_Giả định'!$B$18</f>
        <v>581639877.77874005</v>
      </c>
      <c r="U9" s="64">
        <f>U7*'3_Giả định'!$B$18</f>
        <v>640722373.08517766</v>
      </c>
      <c r="V9" s="64">
        <f>V7*'3_Giả định'!$B$18</f>
        <v>704305544.52461565</v>
      </c>
      <c r="W9" s="64">
        <f>W7*'3_Giả định'!$B$18</f>
        <v>772753512.81054151</v>
      </c>
      <c r="X9" s="64">
        <f>X7*'3_Giả định'!$B$18</f>
        <v>846459455.11431015</v>
      </c>
      <c r="Y9" s="64">
        <f>Y7*'3_Giả định'!$B$18</f>
        <v>925847930.89935982</v>
      </c>
      <c r="Z9" s="64">
        <f>Z7*'3_Giả định'!$B$18</f>
        <v>1011377393.7984471</v>
      </c>
    </row>
    <row r="10" spans="1:26" ht="15" customHeight="1" x14ac:dyDescent="0.25">
      <c r="A10" s="22" t="s">
        <v>84</v>
      </c>
      <c r="B10" s="4"/>
      <c r="C10" s="64">
        <f t="shared" ref="C10:Z10" si="0">C8-C9</f>
        <v>50719876.247039996</v>
      </c>
      <c r="D10" s="64">
        <f t="shared" si="0"/>
        <v>104584384.82139647</v>
      </c>
      <c r="E10" s="64">
        <f t="shared" si="0"/>
        <v>161861529.54915881</v>
      </c>
      <c r="F10" s="64">
        <f t="shared" si="0"/>
        <v>222840458.76418525</v>
      </c>
      <c r="G10" s="64">
        <f t="shared" si="0"/>
        <v>287833162.19309407</v>
      </c>
      <c r="H10" s="64">
        <f t="shared" si="0"/>
        <v>357176303.49521565</v>
      </c>
      <c r="I10" s="64">
        <f t="shared" si="0"/>
        <v>431233199.31162691</v>
      </c>
      <c r="J10" s="64">
        <f t="shared" si="0"/>
        <v>510395956.54568875</v>
      </c>
      <c r="K10" s="64">
        <f t="shared" si="0"/>
        <v>595087780.53527117</v>
      </c>
      <c r="L10" s="64">
        <f t="shared" si="0"/>
        <v>685765467.78963351</v>
      </c>
      <c r="M10" s="64">
        <f t="shared" si="0"/>
        <v>782922098.05773699</v>
      </c>
      <c r="N10" s="64">
        <f t="shared" si="0"/>
        <v>887089941.67608011</v>
      </c>
      <c r="O10" s="64">
        <f t="shared" si="0"/>
        <v>998843599.41996348</v>
      </c>
      <c r="P10" s="64">
        <f t="shared" si="0"/>
        <v>1118803393.4599814</v>
      </c>
      <c r="Q10" s="64">
        <f t="shared" si="0"/>
        <v>1247639029.5136447</v>
      </c>
      <c r="R10" s="64">
        <f t="shared" si="0"/>
        <v>1386073551.8892179</v>
      </c>
      <c r="S10" s="64">
        <f t="shared" si="0"/>
        <v>1534887614.8545761</v>
      </c>
      <c r="T10" s="64">
        <f t="shared" si="0"/>
        <v>1694924095.6385074</v>
      </c>
      <c r="U10" s="64">
        <f t="shared" si="0"/>
        <v>1867093076.3964326</v>
      </c>
      <c r="V10" s="64">
        <f t="shared" si="0"/>
        <v>2052377224.6590691</v>
      </c>
      <c r="W10" s="64">
        <f t="shared" si="0"/>
        <v>2251837604.1439996</v>
      </c>
      <c r="X10" s="64">
        <f t="shared" si="0"/>
        <v>2466619950.3605046</v>
      </c>
      <c r="Y10" s="64">
        <f t="shared" si="0"/>
        <v>2697961448.1924009</v>
      </c>
      <c r="Z10" s="64">
        <f t="shared" si="0"/>
        <v>2947198051.6183939</v>
      </c>
    </row>
    <row r="11" spans="1:26" ht="15" customHeight="1" x14ac:dyDescent="0.25">
      <c r="A11" s="22" t="s">
        <v>385</v>
      </c>
      <c r="B11" s="4"/>
      <c r="C11" s="64">
        <f>C6*'3_Giả định'!$B$10</f>
        <v>112320000.00000001</v>
      </c>
      <c r="D11" s="64">
        <f>D6*'3_Giả định'!$B$10</f>
        <v>121305600.00000001</v>
      </c>
      <c r="E11" s="64">
        <f>E6*'3_Giả định'!$B$10</f>
        <v>131010048.00000003</v>
      </c>
      <c r="F11" s="64">
        <f>F6*'3_Giả định'!$B$10</f>
        <v>141490851.84000003</v>
      </c>
      <c r="G11" s="64">
        <f>G6*'3_Giả định'!$B$10</f>
        <v>152810119.98720005</v>
      </c>
      <c r="H11" s="64">
        <f>H6*'3_Giả định'!$B$10</f>
        <v>165034929.58617604</v>
      </c>
      <c r="I11" s="64">
        <f>I6*'3_Giả định'!$B$10</f>
        <v>178237723.95307013</v>
      </c>
      <c r="J11" s="64">
        <f>J6*'3_Giả định'!$B$10</f>
        <v>192496741.86931577</v>
      </c>
      <c r="K11" s="64">
        <f>K6*'3_Giả định'!$B$10</f>
        <v>207896481.21886104</v>
      </c>
      <c r="L11" s="64">
        <f>L6*'3_Giả định'!$B$10</f>
        <v>224528199.71636993</v>
      </c>
      <c r="M11" s="64">
        <f>M6*'3_Giả định'!$B$10</f>
        <v>242490455.69367954</v>
      </c>
      <c r="N11" s="64">
        <f>N6*'3_Giả định'!$B$10</f>
        <v>261889692.14917392</v>
      </c>
      <c r="O11" s="64">
        <f>O6*'3_Giả định'!$B$10</f>
        <v>282840867.52110785</v>
      </c>
      <c r="P11" s="64">
        <f>P6*'3_Giả định'!$B$10</f>
        <v>305468136.92279649</v>
      </c>
      <c r="Q11" s="64">
        <f>Q6*'3_Giả định'!$B$10</f>
        <v>329905587.87662023</v>
      </c>
      <c r="R11" s="64">
        <f>R6*'3_Giả định'!$B$10</f>
        <v>356298034.90674984</v>
      </c>
      <c r="S11" s="64">
        <f>S6*'3_Giả định'!$B$10</f>
        <v>384801877.69928986</v>
      </c>
      <c r="T11" s="64">
        <f>T6*'3_Giả định'!$B$10</f>
        <v>415586027.91523308</v>
      </c>
      <c r="U11" s="64">
        <f>U6*'3_Giả định'!$B$10</f>
        <v>448832910.14845181</v>
      </c>
      <c r="V11" s="64">
        <f>V6*'3_Giả định'!$B$10</f>
        <v>484739542.96032798</v>
      </c>
      <c r="W11" s="64">
        <f>W6*'3_Giả định'!$B$10</f>
        <v>523518706.39715421</v>
      </c>
      <c r="X11" s="64">
        <f>X6*'3_Giả định'!$B$10</f>
        <v>565400202.90892649</v>
      </c>
      <c r="Y11" s="64">
        <f>Y6*'3_Giả định'!$B$10</f>
        <v>610632219.14164078</v>
      </c>
      <c r="Z11" s="64">
        <f>Z6*'3_Giả định'!$B$10</f>
        <v>659482796.67297196</v>
      </c>
    </row>
    <row r="12" spans="1:26" ht="15" customHeight="1" x14ac:dyDescent="0.25">
      <c r="A12" s="22" t="s">
        <v>386</v>
      </c>
      <c r="B12" s="4"/>
      <c r="C12" s="64">
        <f>'3_Giả định'!$B$11</f>
        <v>200000000</v>
      </c>
      <c r="D12" s="64">
        <f>'3_Giả định'!$B$11</f>
        <v>200000000</v>
      </c>
      <c r="E12" s="64">
        <f>'3_Giả định'!$B$11</f>
        <v>200000000</v>
      </c>
      <c r="F12" s="64">
        <f>'3_Giả định'!$B$11</f>
        <v>200000000</v>
      </c>
      <c r="G12" s="64">
        <f>'3_Giả định'!$B$11</f>
        <v>200000000</v>
      </c>
      <c r="H12" s="64">
        <f>'3_Giả định'!$B$11</f>
        <v>200000000</v>
      </c>
      <c r="I12" s="64">
        <f>'3_Giả định'!$B$11</f>
        <v>200000000</v>
      </c>
      <c r="J12" s="64">
        <f>'3_Giả định'!$B$11</f>
        <v>200000000</v>
      </c>
      <c r="K12" s="64">
        <f>'3_Giả định'!$B$11</f>
        <v>200000000</v>
      </c>
      <c r="L12" s="64">
        <f>'3_Giả định'!$B$11</f>
        <v>200000000</v>
      </c>
      <c r="M12" s="64">
        <f>'3_Giả định'!$B$11</f>
        <v>200000000</v>
      </c>
      <c r="N12" s="64">
        <f>'3_Giả định'!$B$11</f>
        <v>200000000</v>
      </c>
      <c r="O12" s="64">
        <f>'3_Giả định'!$B$11</f>
        <v>200000000</v>
      </c>
      <c r="P12" s="64">
        <f>'3_Giả định'!$B$11</f>
        <v>200000000</v>
      </c>
      <c r="Q12" s="64">
        <f>'3_Giả định'!$B$11</f>
        <v>200000000</v>
      </c>
      <c r="R12" s="64">
        <f>'3_Giả định'!$B$11</f>
        <v>200000000</v>
      </c>
      <c r="S12" s="64">
        <f>'3_Giả định'!$B$11</f>
        <v>200000000</v>
      </c>
      <c r="T12" s="64">
        <f>'3_Giả định'!$B$11</f>
        <v>200000000</v>
      </c>
      <c r="U12" s="64">
        <f>'3_Giả định'!$B$11</f>
        <v>200000000</v>
      </c>
      <c r="V12" s="64">
        <f>'3_Giả định'!$B$11</f>
        <v>200000000</v>
      </c>
      <c r="W12" s="64">
        <f>'3_Giả định'!$B$11</f>
        <v>200000000</v>
      </c>
      <c r="X12" s="64">
        <f>'3_Giả định'!$B$11</f>
        <v>200000000</v>
      </c>
      <c r="Y12" s="64">
        <f>'3_Giả định'!$B$11</f>
        <v>200000000</v>
      </c>
      <c r="Z12" s="64">
        <f>'3_Giả định'!$B$11</f>
        <v>200000000</v>
      </c>
    </row>
    <row r="13" spans="1:26" ht="15" customHeight="1" x14ac:dyDescent="0.25">
      <c r="A13" s="22" t="s">
        <v>387</v>
      </c>
      <c r="B13" s="64">
        <f>-'3_Giả định'!$B$12</f>
        <v>-900000000</v>
      </c>
      <c r="C13" s="64">
        <f t="shared" ref="C13:Z13" si="1">C10-C11-C12</f>
        <v>-261600123.75296003</v>
      </c>
      <c r="D13" s="64">
        <f t="shared" si="1"/>
        <v>-216721215.17860353</v>
      </c>
      <c r="E13" s="64">
        <f t="shared" si="1"/>
        <v>-169148518.45084122</v>
      </c>
      <c r="F13" s="64">
        <f t="shared" si="1"/>
        <v>-118650393.07581478</v>
      </c>
      <c r="G13" s="64">
        <f t="shared" si="1"/>
        <v>-64976957.794105977</v>
      </c>
      <c r="H13" s="64">
        <f t="shared" si="1"/>
        <v>-7858626.0909603834</v>
      </c>
      <c r="I13" s="64">
        <f t="shared" si="1"/>
        <v>52995475.358556777</v>
      </c>
      <c r="J13" s="64">
        <f t="shared" si="1"/>
        <v>117899214.676373</v>
      </c>
      <c r="K13" s="64">
        <f t="shared" si="1"/>
        <v>187191299.31641012</v>
      </c>
      <c r="L13" s="64">
        <f t="shared" si="1"/>
        <v>261237268.07326359</v>
      </c>
      <c r="M13" s="64">
        <f t="shared" si="1"/>
        <v>340431642.36405742</v>
      </c>
      <c r="N13" s="64">
        <f t="shared" si="1"/>
        <v>425200249.52690625</v>
      </c>
      <c r="O13" s="64">
        <f t="shared" si="1"/>
        <v>516002731.89885569</v>
      </c>
      <c r="P13" s="64">
        <f t="shared" si="1"/>
        <v>613335256.53718495</v>
      </c>
      <c r="Q13" s="64">
        <f t="shared" si="1"/>
        <v>717733441.6370244</v>
      </c>
      <c r="R13" s="64">
        <f t="shared" si="1"/>
        <v>829775516.98246801</v>
      </c>
      <c r="S13" s="64">
        <f t="shared" si="1"/>
        <v>950085737.15528631</v>
      </c>
      <c r="T13" s="64">
        <f t="shared" si="1"/>
        <v>1079338067.7232742</v>
      </c>
      <c r="U13" s="64">
        <f t="shared" si="1"/>
        <v>1218260166.2479808</v>
      </c>
      <c r="V13" s="64">
        <f t="shared" si="1"/>
        <v>1367637681.698741</v>
      </c>
      <c r="W13" s="64">
        <f t="shared" si="1"/>
        <v>1528318897.7468452</v>
      </c>
      <c r="X13" s="64">
        <f t="shared" si="1"/>
        <v>1701219747.4515781</v>
      </c>
      <c r="Y13" s="64">
        <f t="shared" si="1"/>
        <v>1887329229.0507603</v>
      </c>
      <c r="Z13" s="64">
        <f t="shared" si="1"/>
        <v>2087715254.9454222</v>
      </c>
    </row>
    <row r="14" spans="1:26" ht="15" customHeight="1" x14ac:dyDescent="0.25">
      <c r="A14" s="22" t="s">
        <v>388</v>
      </c>
      <c r="B14" s="64">
        <f>'3_Giả định'!$B$13+B13</f>
        <v>1600000000</v>
      </c>
      <c r="C14" s="64">
        <f t="shared" ref="C14:Z14" si="2">B14+C13</f>
        <v>1338399876.24704</v>
      </c>
      <c r="D14" s="64">
        <f t="shared" si="2"/>
        <v>1121678661.0684366</v>
      </c>
      <c r="E14" s="64">
        <f t="shared" si="2"/>
        <v>952530142.61759543</v>
      </c>
      <c r="F14" s="64">
        <f t="shared" si="2"/>
        <v>833879749.54178071</v>
      </c>
      <c r="G14" s="64">
        <f t="shared" si="2"/>
        <v>768902791.7476747</v>
      </c>
      <c r="H14" s="64">
        <f t="shared" si="2"/>
        <v>761044165.65671432</v>
      </c>
      <c r="I14" s="64">
        <f t="shared" si="2"/>
        <v>814039641.01527107</v>
      </c>
      <c r="J14" s="64">
        <f t="shared" si="2"/>
        <v>931938855.69164407</v>
      </c>
      <c r="K14" s="64">
        <f t="shared" si="2"/>
        <v>1119130155.0080543</v>
      </c>
      <c r="L14" s="64">
        <f t="shared" si="2"/>
        <v>1380367423.0813179</v>
      </c>
      <c r="M14" s="64">
        <f t="shared" si="2"/>
        <v>1720799065.4453754</v>
      </c>
      <c r="N14" s="64">
        <f t="shared" si="2"/>
        <v>2145999314.9722817</v>
      </c>
      <c r="O14" s="64">
        <f t="shared" si="2"/>
        <v>2662002046.8711376</v>
      </c>
      <c r="P14" s="64">
        <f t="shared" si="2"/>
        <v>3275337303.4083223</v>
      </c>
      <c r="Q14" s="64">
        <f t="shared" si="2"/>
        <v>3993070745.0453467</v>
      </c>
      <c r="R14" s="64">
        <f t="shared" si="2"/>
        <v>4822846262.0278149</v>
      </c>
      <c r="S14" s="64">
        <f t="shared" si="2"/>
        <v>5772931999.1831017</v>
      </c>
      <c r="T14" s="64">
        <f t="shared" si="2"/>
        <v>6852270066.9063759</v>
      </c>
      <c r="U14" s="64">
        <f t="shared" si="2"/>
        <v>8070530233.154357</v>
      </c>
      <c r="V14" s="64">
        <f t="shared" si="2"/>
        <v>9438167914.8530979</v>
      </c>
      <c r="W14" s="64">
        <f t="shared" si="2"/>
        <v>10966486812.599943</v>
      </c>
      <c r="X14" s="64">
        <f t="shared" si="2"/>
        <v>12667706560.051521</v>
      </c>
      <c r="Y14" s="64">
        <f t="shared" si="2"/>
        <v>14555035789.102282</v>
      </c>
      <c r="Z14" s="64">
        <f t="shared" si="2"/>
        <v>16642751044.047703</v>
      </c>
    </row>
    <row r="15" spans="1:26" ht="15" customHeight="1" x14ac:dyDescent="0.25">
      <c r="A15" s="22" t="s">
        <v>389</v>
      </c>
      <c r="B15" s="64">
        <f>B13</f>
        <v>-900000000</v>
      </c>
      <c r="C15" s="64">
        <f t="shared" ref="C15:Z15" si="3">B15+C13</f>
        <v>-1161600123.75296</v>
      </c>
      <c r="D15" s="64">
        <f t="shared" si="3"/>
        <v>-1378321338.9315634</v>
      </c>
      <c r="E15" s="64">
        <f t="shared" si="3"/>
        <v>-1547469857.3824046</v>
      </c>
      <c r="F15" s="64">
        <f t="shared" si="3"/>
        <v>-1666120250.4582193</v>
      </c>
      <c r="G15" s="64">
        <f t="shared" si="3"/>
        <v>-1731097208.2523253</v>
      </c>
      <c r="H15" s="64">
        <f t="shared" si="3"/>
        <v>-1738955834.3432856</v>
      </c>
      <c r="I15" s="64">
        <f t="shared" si="3"/>
        <v>-1685960358.9847288</v>
      </c>
      <c r="J15" s="64">
        <f t="shared" si="3"/>
        <v>-1568061144.3083558</v>
      </c>
      <c r="K15" s="64">
        <f t="shared" si="3"/>
        <v>-1380869844.9919457</v>
      </c>
      <c r="L15" s="64">
        <f t="shared" si="3"/>
        <v>-1119632576.9186821</v>
      </c>
      <c r="M15" s="64">
        <f t="shared" si="3"/>
        <v>-779200934.55462468</v>
      </c>
      <c r="N15" s="64">
        <f t="shared" si="3"/>
        <v>-354000685.02771842</v>
      </c>
      <c r="O15" s="64">
        <f t="shared" si="3"/>
        <v>162002046.87113726</v>
      </c>
      <c r="P15" s="64">
        <f t="shared" si="3"/>
        <v>775337303.40832222</v>
      </c>
      <c r="Q15" s="64">
        <f t="shared" si="3"/>
        <v>1493070745.0453467</v>
      </c>
      <c r="R15" s="64">
        <f t="shared" si="3"/>
        <v>2322846262.0278149</v>
      </c>
      <c r="S15" s="64">
        <f t="shared" si="3"/>
        <v>3272931999.1831012</v>
      </c>
      <c r="T15" s="64">
        <f t="shared" si="3"/>
        <v>4352270066.9063759</v>
      </c>
      <c r="U15" s="64">
        <f t="shared" si="3"/>
        <v>5570530233.154357</v>
      </c>
      <c r="V15" s="64">
        <f t="shared" si="3"/>
        <v>6938167914.8530979</v>
      </c>
      <c r="W15" s="64">
        <f t="shared" si="3"/>
        <v>8466486812.5999432</v>
      </c>
      <c r="X15" s="64">
        <f t="shared" si="3"/>
        <v>10167706560.051521</v>
      </c>
      <c r="Y15" s="64">
        <f t="shared" si="3"/>
        <v>12055035789.102282</v>
      </c>
      <c r="Z15" s="64">
        <f t="shared" si="3"/>
        <v>14142751044.047703</v>
      </c>
    </row>
    <row r="16" spans="1:26"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5" customHeight="1" x14ac:dyDescent="0.25">
      <c r="A17" s="62" t="s">
        <v>390</v>
      </c>
      <c r="B17" s="4"/>
      <c r="C17" s="4"/>
      <c r="D17" s="4"/>
      <c r="E17" s="4"/>
      <c r="F17" s="4"/>
      <c r="G17" s="4"/>
      <c r="H17" s="4"/>
      <c r="I17" s="4"/>
      <c r="J17" s="4"/>
      <c r="K17" s="4"/>
      <c r="L17" s="4"/>
      <c r="M17" s="4"/>
      <c r="N17" s="4"/>
      <c r="O17" s="4"/>
      <c r="P17" s="4"/>
      <c r="Q17" s="4"/>
      <c r="R17" s="4"/>
      <c r="S17" s="4"/>
      <c r="T17" s="4"/>
      <c r="U17" s="4"/>
      <c r="V17" s="4"/>
      <c r="W17" s="4"/>
      <c r="X17" s="4"/>
      <c r="Y17" s="4"/>
      <c r="Z17" s="4"/>
    </row>
    <row r="18" spans="1:26" ht="15" customHeight="1" x14ac:dyDescent="0.25">
      <c r="A18" s="22" t="s">
        <v>382</v>
      </c>
      <c r="B18" s="4"/>
      <c r="C18" s="63">
        <f>'3_Giả định'!$C$7*(1+'3_Giả định'!$C$8)^0</f>
        <v>12</v>
      </c>
      <c r="D18" s="63">
        <f>'3_Giả định'!$C$7*(1+'3_Giả định'!$C$8)^1</f>
        <v>12.600000000000001</v>
      </c>
      <c r="E18" s="63">
        <f>'3_Giả định'!$C$7*(1+'3_Giả định'!$C$8)^2</f>
        <v>13.23</v>
      </c>
      <c r="F18" s="63">
        <f>'3_Giả định'!$C$7*(1+'3_Giả định'!$C$8)^3</f>
        <v>13.891500000000001</v>
      </c>
      <c r="G18" s="63">
        <f>'3_Giả định'!$C$7*(1+'3_Giả định'!$C$8)^4</f>
        <v>14.586075000000001</v>
      </c>
      <c r="H18" s="63">
        <f>'3_Giả định'!$C$7*(1+'3_Giả định'!$C$8)^5</f>
        <v>15.315378750000001</v>
      </c>
      <c r="I18" s="63">
        <f>'3_Giả định'!$C$7*(1+'3_Giả định'!$C$8)^6</f>
        <v>16.0811476875</v>
      </c>
      <c r="J18" s="63">
        <f>'3_Giả định'!$C$7*(1+'3_Giả định'!$C$8)^7</f>
        <v>16.885205071875003</v>
      </c>
      <c r="K18" s="63">
        <f>'3_Giả định'!$C$7*(1+'3_Giả định'!$C$8)^8</f>
        <v>17.729465325468752</v>
      </c>
      <c r="L18" s="63">
        <f>'3_Giả định'!$C$7*(1+'3_Giả định'!$C$8)^9</f>
        <v>18.615938591742189</v>
      </c>
      <c r="M18" s="63">
        <f>'3_Giả định'!$C$7*(1+'3_Giả định'!$C$8)^10</f>
        <v>19.5467355213293</v>
      </c>
      <c r="N18" s="63">
        <f>'3_Giả định'!$C$7*(1+'3_Giả định'!$C$8)^11</f>
        <v>20.524072297395765</v>
      </c>
      <c r="O18" s="63">
        <f>'3_Giả định'!$C$7*(1+'3_Giả định'!$C$8)^12</f>
        <v>21.550275912265551</v>
      </c>
      <c r="P18" s="63">
        <f>'3_Giả định'!$C$7*(1+'3_Giả định'!$C$8)^13</f>
        <v>22.627789707878833</v>
      </c>
      <c r="Q18" s="63">
        <f>'3_Giả định'!$C$7*(1+'3_Giả định'!$C$8)^14</f>
        <v>23.759179193272768</v>
      </c>
      <c r="R18" s="63">
        <f>'3_Giả định'!$C$7*(1+'3_Giả định'!$C$8)^15</f>
        <v>24.947138152936414</v>
      </c>
      <c r="S18" s="63">
        <f>'3_Giả định'!$C$7*(1+'3_Giả định'!$C$8)^16</f>
        <v>26.194495060583233</v>
      </c>
      <c r="T18" s="63">
        <f>'3_Giả định'!$C$7*(1+'3_Giả định'!$C$8)^17</f>
        <v>27.504219813612398</v>
      </c>
      <c r="U18" s="63">
        <f>'3_Giả định'!$C$7*(1+'3_Giả định'!$C$8)^18</f>
        <v>28.879430804293015</v>
      </c>
      <c r="V18" s="63">
        <f>'3_Giả định'!$C$7*(1+'3_Giả định'!$C$8)^19</f>
        <v>30.32340234450767</v>
      </c>
      <c r="W18" s="63">
        <f>'3_Giả định'!$C$7*(1+'3_Giả định'!$C$8)^20</f>
        <v>31.839572461733049</v>
      </c>
      <c r="X18" s="63">
        <f>'3_Giả định'!$C$7*(1+'3_Giả định'!$C$8)^21</f>
        <v>33.431551084819702</v>
      </c>
      <c r="Y18" s="63">
        <f>'3_Giả định'!$C$7*(1+'3_Giả định'!$C$8)^22</f>
        <v>35.103128639060685</v>
      </c>
      <c r="Z18" s="63">
        <f>'3_Giả định'!$C$7*(1+'3_Giả định'!$C$8)^23</f>
        <v>36.858285071013725</v>
      </c>
    </row>
    <row r="19" spans="1:26" ht="15" customHeight="1" x14ac:dyDescent="0.25">
      <c r="A19" s="22" t="s">
        <v>383</v>
      </c>
      <c r="B19" s="4">
        <v>0</v>
      </c>
      <c r="C19" s="63">
        <f>B19*(1-'3_Giả định'!$C$9)+C18</f>
        <v>12</v>
      </c>
      <c r="D19" s="63">
        <f>C19*(1-'3_Giả định'!$C$9)+D18</f>
        <v>24.240000000000002</v>
      </c>
      <c r="E19" s="63">
        <f>D19*(1-'3_Giả định'!$C$9)+E18</f>
        <v>36.742800000000003</v>
      </c>
      <c r="F19" s="63">
        <f>E19*(1-'3_Giả định'!$C$9)+F18</f>
        <v>49.532015999999999</v>
      </c>
      <c r="G19" s="63">
        <f>F19*(1-'3_Giả định'!$C$9)+G18</f>
        <v>62.632130519999997</v>
      </c>
      <c r="H19" s="63">
        <f>G19*(1-'3_Giả định'!$C$9)+H18</f>
        <v>76.068545354399987</v>
      </c>
      <c r="I19" s="63">
        <f>H19*(1-'3_Giả định'!$C$9)+I18</f>
        <v>89.867636681267982</v>
      </c>
      <c r="J19" s="63">
        <f>I19*(1-'3_Giả định'!$C$9)+J18</f>
        <v>104.05681265270495</v>
      </c>
      <c r="K19" s="63">
        <f>J19*(1-'3_Giả định'!$C$9)+K18</f>
        <v>118.66457359859255</v>
      </c>
      <c r="L19" s="63">
        <f>K19*(1-'3_Giả định'!$C$9)+L18</f>
        <v>133.72057498237697</v>
      </c>
      <c r="M19" s="63">
        <f>L19*(1-'3_Giả định'!$C$9)+M18</f>
        <v>149.25569325423498</v>
      </c>
      <c r="N19" s="63">
        <f>M19*(1-'3_Giả định'!$C$9)+N18</f>
        <v>165.30209475400372</v>
      </c>
      <c r="O19" s="63">
        <f>N19*(1-'3_Giả định'!$C$9)+O18</f>
        <v>181.89330782364917</v>
      </c>
      <c r="P19" s="63">
        <f>O19*(1-'3_Giả định'!$C$9)+P18</f>
        <v>199.06429829681852</v>
      </c>
      <c r="Q19" s="63">
        <f>P19*(1-'3_Giả định'!$C$9)+Q18</f>
        <v>216.85154854118673</v>
      </c>
      <c r="R19" s="63">
        <f>Q19*(1-'3_Giả định'!$C$9)+R18</f>
        <v>235.29314023788754</v>
      </c>
      <c r="S19" s="63">
        <f>R19*(1-'3_Giả định'!$C$9)+S18</f>
        <v>254.42884109133414</v>
      </c>
      <c r="T19" s="63">
        <f>S19*(1-'3_Giả định'!$C$9)+T18</f>
        <v>274.30019567220648</v>
      </c>
      <c r="U19" s="63">
        <f>T19*(1-'3_Giả định'!$C$9)+U18</f>
        <v>294.9506206063333</v>
      </c>
      <c r="V19" s="63">
        <f>U19*(1-'3_Giả định'!$C$9)+V18</f>
        <v>316.42550433265097</v>
      </c>
      <c r="W19" s="63">
        <f>V19*(1-'3_Giả định'!$C$9)+W18</f>
        <v>338.77231166440447</v>
      </c>
      <c r="X19" s="63">
        <f>W19*(1-'3_Giả định'!$C$9)+X18</f>
        <v>362.04069339929202</v>
      </c>
      <c r="Y19" s="63">
        <f>X19*(1-'3_Giả định'!$C$9)+Y18</f>
        <v>386.28260123637392</v>
      </c>
      <c r="Z19" s="63">
        <f>Y19*(1-'3_Giả định'!$C$9)+Z18</f>
        <v>411.55240827029638</v>
      </c>
    </row>
    <row r="20" spans="1:26" ht="15" customHeight="1" x14ac:dyDescent="0.25">
      <c r="A20" s="22" t="s">
        <v>79</v>
      </c>
      <c r="B20" s="4"/>
      <c r="C20" s="64">
        <f>C19*'3_Giả định'!$C$17</f>
        <v>47640000</v>
      </c>
      <c r="D20" s="64">
        <f>D19*'3_Giả định'!$C$17</f>
        <v>96232800.000000015</v>
      </c>
      <c r="E20" s="64">
        <f>E19*'3_Giả định'!$C$17</f>
        <v>145868916</v>
      </c>
      <c r="F20" s="64">
        <f>F19*'3_Giả định'!$C$17</f>
        <v>196642103.51999998</v>
      </c>
      <c r="G20" s="64">
        <f>G19*'3_Giả định'!$C$17</f>
        <v>248649558.16439998</v>
      </c>
      <c r="H20" s="64">
        <f>H19*'3_Giả định'!$C$17</f>
        <v>301992125.05696797</v>
      </c>
      <c r="I20" s="64">
        <f>I19*'3_Giả định'!$C$17</f>
        <v>356774517.62463391</v>
      </c>
      <c r="J20" s="64">
        <f>J19*'3_Giả định'!$C$17</f>
        <v>413105546.23123866</v>
      </c>
      <c r="K20" s="64">
        <f>K19*'3_Giả định'!$C$17</f>
        <v>471098357.18641245</v>
      </c>
      <c r="L20" s="64">
        <f>L19*'3_Giả định'!$C$17</f>
        <v>530870682.6800366</v>
      </c>
      <c r="M20" s="64">
        <f>M19*'3_Giả định'!$C$17</f>
        <v>592545102.21931291</v>
      </c>
      <c r="N20" s="64">
        <f>N19*'3_Giả định'!$C$17</f>
        <v>656249316.1733948</v>
      </c>
      <c r="O20" s="64">
        <f>O19*'3_Giả định'!$C$17</f>
        <v>722116432.05988717</v>
      </c>
      <c r="P20" s="64">
        <f>P19*'3_Giả định'!$C$17</f>
        <v>790285264.23836958</v>
      </c>
      <c r="Q20" s="64">
        <f>Q19*'3_Giả định'!$C$17</f>
        <v>860900647.70851135</v>
      </c>
      <c r="R20" s="64">
        <f>R19*'3_Giả định'!$C$17</f>
        <v>934113766.7444135</v>
      </c>
      <c r="S20" s="64">
        <f>S19*'3_Giả định'!$C$17</f>
        <v>1010082499.1325965</v>
      </c>
      <c r="T20" s="64">
        <f>T19*'3_Giả định'!$C$17</f>
        <v>1088971776.8186598</v>
      </c>
      <c r="U20" s="64">
        <f>U19*'3_Giả định'!$C$17</f>
        <v>1170953963.8071432</v>
      </c>
      <c r="V20" s="64">
        <f>V19*'3_Giả định'!$C$17</f>
        <v>1256209252.2006245</v>
      </c>
      <c r="W20" s="64">
        <f>W19*'3_Giả định'!$C$17</f>
        <v>1344926077.3076859</v>
      </c>
      <c r="X20" s="64">
        <f>X19*'3_Giả định'!$C$17</f>
        <v>1437301552.7951894</v>
      </c>
      <c r="Y20" s="64">
        <f>Y19*'3_Giả định'!$C$17</f>
        <v>1533541926.9084044</v>
      </c>
      <c r="Z20" s="64">
        <f>Z19*'3_Giả định'!$C$17</f>
        <v>1633863060.8330767</v>
      </c>
    </row>
    <row r="21" spans="1:26" ht="15" customHeight="1" x14ac:dyDescent="0.25">
      <c r="A21" s="22" t="s">
        <v>384</v>
      </c>
      <c r="B21" s="4"/>
      <c r="C21" s="64">
        <f>C19*'3_Giả định'!$C$18</f>
        <v>14876345.088000001</v>
      </c>
      <c r="D21" s="64">
        <f>D19*'3_Giả định'!$C$18</f>
        <v>30050217.077760004</v>
      </c>
      <c r="E21" s="64">
        <f>E19*'3_Giả định'!$C$18</f>
        <v>45549881.024947211</v>
      </c>
      <c r="F21" s="64">
        <f>F19*'3_Giả định'!$C$18</f>
        <v>61404613.576694787</v>
      </c>
      <c r="G21" s="64">
        <f>G19*'3_Giả định'!$C$18</f>
        <v>77644765.601014748</v>
      </c>
      <c r="H21" s="64">
        <f>H19*'3_Giả định'!$C$18</f>
        <v>94301827.586186126</v>
      </c>
      <c r="I21" s="64">
        <f>I19*'3_Giả định'!$C$18</f>
        <v>111408497.95946248</v>
      </c>
      <c r="J21" s="64">
        <f>J19*'3_Giả định'!$C$18</f>
        <v>128998754.48158364</v>
      </c>
      <c r="K21" s="64">
        <f>K19*'3_Giả định'!$C$18</f>
        <v>147107928.88108641</v>
      </c>
      <c r="L21" s="64">
        <f>L19*'3_Giả định'!$C$18</f>
        <v>165772784.90030164</v>
      </c>
      <c r="M21" s="64">
        <f>M19*'3_Giả định'!$C$18</f>
        <v>185031599.9332228</v>
      </c>
      <c r="N21" s="64">
        <f>N19*'3_Giả định'!$C$18</f>
        <v>204924250.44415283</v>
      </c>
      <c r="O21" s="64">
        <f>O19*'3_Giả định'!$C$18</f>
        <v>225492301.36520129</v>
      </c>
      <c r="P21" s="64">
        <f>P19*'3_Giả định'!$C$18</f>
        <v>246779099.68033692</v>
      </c>
      <c r="Q21" s="64">
        <f>Q19*'3_Giả định'!$C$18</f>
        <v>268829872.41382307</v>
      </c>
      <c r="R21" s="64">
        <f>R19*'3_Giả định'!$C$18</f>
        <v>291691829.25149947</v>
      </c>
      <c r="S21" s="64">
        <f>S19*'3_Giả định'!$C$18</f>
        <v>315414270.03455013</v>
      </c>
      <c r="T21" s="64">
        <f>T19*'3_Giả định'!$C$18</f>
        <v>340048697.37713903</v>
      </c>
      <c r="U21" s="64">
        <f>U19*'3_Giả định'!$C$18</f>
        <v>365648934.67163152</v>
      </c>
      <c r="V21" s="64">
        <f>V19*'3_Giả định'!$C$18</f>
        <v>392271249.75807965</v>
      </c>
      <c r="W21" s="64">
        <f>W19*'3_Giả định'!$C$18</f>
        <v>419974484.54826409</v>
      </c>
      <c r="X21" s="64">
        <f>X19*'3_Giả định'!$C$18</f>
        <v>448820190.90888935</v>
      </c>
      <c r="Y21" s="64">
        <f>Y19*'3_Giả định'!$C$18</f>
        <v>478872773.12354952</v>
      </c>
      <c r="Z21" s="64">
        <f>Z19*'3_Giả định'!$C$18</f>
        <v>510199637.26886624</v>
      </c>
    </row>
    <row r="22" spans="1:26" ht="15" customHeight="1" x14ac:dyDescent="0.25">
      <c r="A22" s="22" t="s">
        <v>84</v>
      </c>
      <c r="B22" s="4"/>
      <c r="C22" s="64">
        <f t="shared" ref="C22:Z22" si="4">C20-C21</f>
        <v>32763654.912</v>
      </c>
      <c r="D22" s="64">
        <f t="shared" si="4"/>
        <v>66182582.922240011</v>
      </c>
      <c r="E22" s="64">
        <f t="shared" si="4"/>
        <v>100319034.97505279</v>
      </c>
      <c r="F22" s="64">
        <f t="shared" si="4"/>
        <v>135237489.94330519</v>
      </c>
      <c r="G22" s="64">
        <f t="shared" si="4"/>
        <v>171004792.56338525</v>
      </c>
      <c r="H22" s="64">
        <f t="shared" si="4"/>
        <v>207690297.47078186</v>
      </c>
      <c r="I22" s="64">
        <f t="shared" si="4"/>
        <v>245366019.66517144</v>
      </c>
      <c r="J22" s="64">
        <f t="shared" si="4"/>
        <v>284106791.74965501</v>
      </c>
      <c r="K22" s="64">
        <f t="shared" si="4"/>
        <v>323990428.30532604</v>
      </c>
      <c r="L22" s="64">
        <f t="shared" si="4"/>
        <v>365097897.77973497</v>
      </c>
      <c r="M22" s="64">
        <f t="shared" si="4"/>
        <v>407513502.28609014</v>
      </c>
      <c r="N22" s="64">
        <f t="shared" si="4"/>
        <v>451325065.72924197</v>
      </c>
      <c r="O22" s="64">
        <f t="shared" si="4"/>
        <v>496624130.69468588</v>
      </c>
      <c r="P22" s="64">
        <f t="shared" si="4"/>
        <v>543506164.55803263</v>
      </c>
      <c r="Q22" s="64">
        <f t="shared" si="4"/>
        <v>592070775.29468822</v>
      </c>
      <c r="R22" s="64">
        <f t="shared" si="4"/>
        <v>642421937.49291396</v>
      </c>
      <c r="S22" s="64">
        <f t="shared" si="4"/>
        <v>694668229.0980463</v>
      </c>
      <c r="T22" s="64">
        <f t="shared" si="4"/>
        <v>748923079.44152069</v>
      </c>
      <c r="U22" s="64">
        <f t="shared" si="4"/>
        <v>805305029.13551164</v>
      </c>
      <c r="V22" s="64">
        <f t="shared" si="4"/>
        <v>863938002.44254482</v>
      </c>
      <c r="W22" s="64">
        <f t="shared" si="4"/>
        <v>924951592.75942183</v>
      </c>
      <c r="X22" s="64">
        <f t="shared" si="4"/>
        <v>988481361.88630009</v>
      </c>
      <c r="Y22" s="64">
        <f t="shared" si="4"/>
        <v>1054669153.7848549</v>
      </c>
      <c r="Z22" s="64">
        <f t="shared" si="4"/>
        <v>1123663423.5642104</v>
      </c>
    </row>
    <row r="23" spans="1:26" ht="15" customHeight="1" x14ac:dyDescent="0.25">
      <c r="A23" s="22" t="s">
        <v>385</v>
      </c>
      <c r="B23" s="4"/>
      <c r="C23" s="64">
        <f>C18*'3_Giả định'!$C$10</f>
        <v>108000000</v>
      </c>
      <c r="D23" s="64">
        <f>D18*'3_Giả định'!$C$10</f>
        <v>113400000.00000001</v>
      </c>
      <c r="E23" s="64">
        <f>E18*'3_Giả định'!$C$10</f>
        <v>119070000</v>
      </c>
      <c r="F23" s="64">
        <f>F18*'3_Giả định'!$C$10</f>
        <v>125023500</v>
      </c>
      <c r="G23" s="64">
        <f>G18*'3_Giả định'!$C$10</f>
        <v>131274675.00000001</v>
      </c>
      <c r="H23" s="64">
        <f>H18*'3_Giả định'!$C$10</f>
        <v>137838408.75</v>
      </c>
      <c r="I23" s="64">
        <f>I18*'3_Giả định'!$C$10</f>
        <v>144730329.1875</v>
      </c>
      <c r="J23" s="64">
        <f>J18*'3_Giả định'!$C$10</f>
        <v>151966845.64687502</v>
      </c>
      <c r="K23" s="64">
        <f>K18*'3_Giả định'!$C$10</f>
        <v>159565187.92921877</v>
      </c>
      <c r="L23" s="64">
        <f>L18*'3_Giả định'!$C$10</f>
        <v>167543447.32567969</v>
      </c>
      <c r="M23" s="64">
        <f>M18*'3_Giả định'!$C$10</f>
        <v>175920619.6919637</v>
      </c>
      <c r="N23" s="64">
        <f>N18*'3_Giả định'!$C$10</f>
        <v>184716650.67656189</v>
      </c>
      <c r="O23" s="64">
        <f>O18*'3_Giả định'!$C$10</f>
        <v>193952483.21038997</v>
      </c>
      <c r="P23" s="64">
        <f>P18*'3_Giả định'!$C$10</f>
        <v>203650107.37090948</v>
      </c>
      <c r="Q23" s="64">
        <f>Q18*'3_Giả định'!$C$10</f>
        <v>213832612.73945493</v>
      </c>
      <c r="R23" s="64">
        <f>R18*'3_Giả định'!$C$10</f>
        <v>224524243.37642774</v>
      </c>
      <c r="S23" s="64">
        <f>S18*'3_Giả định'!$C$10</f>
        <v>235750455.5452491</v>
      </c>
      <c r="T23" s="64">
        <f>T18*'3_Giả định'!$C$10</f>
        <v>247537978.32251158</v>
      </c>
      <c r="U23" s="64">
        <f>U18*'3_Giả định'!$C$10</f>
        <v>259914877.23863715</v>
      </c>
      <c r="V23" s="64">
        <f>V18*'3_Giả định'!$C$10</f>
        <v>272910621.10056901</v>
      </c>
      <c r="W23" s="64">
        <f>W18*'3_Giả định'!$C$10</f>
        <v>286556152.15559745</v>
      </c>
      <c r="X23" s="64">
        <f>X18*'3_Giả định'!$C$10</f>
        <v>300883959.76337731</v>
      </c>
      <c r="Y23" s="64">
        <f>Y18*'3_Giả định'!$C$10</f>
        <v>315928157.75154614</v>
      </c>
      <c r="Z23" s="64">
        <f>Z18*'3_Giả định'!$C$10</f>
        <v>331724565.6391235</v>
      </c>
    </row>
    <row r="24" spans="1:26" ht="15" customHeight="1" x14ac:dyDescent="0.25">
      <c r="A24" s="22" t="s">
        <v>386</v>
      </c>
      <c r="B24" s="4"/>
      <c r="C24" s="64">
        <f>'3_Giả định'!$C$11</f>
        <v>200000000</v>
      </c>
      <c r="D24" s="64">
        <f>'3_Giả định'!$C$11</f>
        <v>200000000</v>
      </c>
      <c r="E24" s="64">
        <f>'3_Giả định'!$C$11</f>
        <v>200000000</v>
      </c>
      <c r="F24" s="64">
        <f>'3_Giả định'!$C$11</f>
        <v>200000000</v>
      </c>
      <c r="G24" s="64">
        <f>'3_Giả định'!$C$11</f>
        <v>200000000</v>
      </c>
      <c r="H24" s="64">
        <f>'3_Giả định'!$C$11</f>
        <v>200000000</v>
      </c>
      <c r="I24" s="64">
        <f>'3_Giả định'!$C$11</f>
        <v>200000000</v>
      </c>
      <c r="J24" s="64">
        <f>'3_Giả định'!$C$11</f>
        <v>200000000</v>
      </c>
      <c r="K24" s="64">
        <f>'3_Giả định'!$C$11</f>
        <v>200000000</v>
      </c>
      <c r="L24" s="64">
        <f>'3_Giả định'!$C$11</f>
        <v>200000000</v>
      </c>
      <c r="M24" s="64">
        <f>'3_Giả định'!$C$11</f>
        <v>200000000</v>
      </c>
      <c r="N24" s="64">
        <f>'3_Giả định'!$C$11</f>
        <v>200000000</v>
      </c>
      <c r="O24" s="64">
        <f>'3_Giả định'!$C$11</f>
        <v>200000000</v>
      </c>
      <c r="P24" s="64">
        <f>'3_Giả định'!$C$11</f>
        <v>200000000</v>
      </c>
      <c r="Q24" s="64">
        <f>'3_Giả định'!$C$11</f>
        <v>200000000</v>
      </c>
      <c r="R24" s="64">
        <f>'3_Giả định'!$C$11</f>
        <v>200000000</v>
      </c>
      <c r="S24" s="64">
        <f>'3_Giả định'!$C$11</f>
        <v>200000000</v>
      </c>
      <c r="T24" s="64">
        <f>'3_Giả định'!$C$11</f>
        <v>200000000</v>
      </c>
      <c r="U24" s="64">
        <f>'3_Giả định'!$C$11</f>
        <v>200000000</v>
      </c>
      <c r="V24" s="64">
        <f>'3_Giả định'!$C$11</f>
        <v>200000000</v>
      </c>
      <c r="W24" s="64">
        <f>'3_Giả định'!$C$11</f>
        <v>200000000</v>
      </c>
      <c r="X24" s="64">
        <f>'3_Giả định'!$C$11</f>
        <v>200000000</v>
      </c>
      <c r="Y24" s="64">
        <f>'3_Giả định'!$C$11</f>
        <v>200000000</v>
      </c>
      <c r="Z24" s="64">
        <f>'3_Giả định'!$C$11</f>
        <v>200000000</v>
      </c>
    </row>
    <row r="25" spans="1:26" ht="15" customHeight="1" x14ac:dyDescent="0.25">
      <c r="A25" s="22" t="s">
        <v>387</v>
      </c>
      <c r="B25" s="64">
        <f>-'3_Giả định'!$C$12</f>
        <v>-900000000</v>
      </c>
      <c r="C25" s="64">
        <f t="shared" ref="C25:Z25" si="5">C22-C23-C24</f>
        <v>-275236345.088</v>
      </c>
      <c r="D25" s="64">
        <f t="shared" si="5"/>
        <v>-247217417.07776001</v>
      </c>
      <c r="E25" s="64">
        <f t="shared" si="5"/>
        <v>-218750965.02494723</v>
      </c>
      <c r="F25" s="64">
        <f t="shared" si="5"/>
        <v>-189786010.05669481</v>
      </c>
      <c r="G25" s="64">
        <f t="shared" si="5"/>
        <v>-160269882.43661475</v>
      </c>
      <c r="H25" s="64">
        <f t="shared" si="5"/>
        <v>-130148111.27921814</v>
      </c>
      <c r="I25" s="64">
        <f t="shared" si="5"/>
        <v>-99364309.522328556</v>
      </c>
      <c r="J25" s="64">
        <f t="shared" si="5"/>
        <v>-67860053.897220016</v>
      </c>
      <c r="K25" s="64">
        <f t="shared" si="5"/>
        <v>-35574759.623892725</v>
      </c>
      <c r="L25" s="64">
        <f t="shared" si="5"/>
        <v>-2445549.5459447205</v>
      </c>
      <c r="M25" s="64">
        <f t="shared" si="5"/>
        <v>31592882.594126433</v>
      </c>
      <c r="N25" s="64">
        <f t="shared" si="5"/>
        <v>66608415.052680075</v>
      </c>
      <c r="O25" s="64">
        <f t="shared" si="5"/>
        <v>102671647.4842959</v>
      </c>
      <c r="P25" s="64">
        <f t="shared" si="5"/>
        <v>139856057.18712318</v>
      </c>
      <c r="Q25" s="64">
        <f t="shared" si="5"/>
        <v>178238162.5552333</v>
      </c>
      <c r="R25" s="64">
        <f t="shared" si="5"/>
        <v>217897694.11648619</v>
      </c>
      <c r="S25" s="64">
        <f t="shared" si="5"/>
        <v>258917773.5527972</v>
      </c>
      <c r="T25" s="64">
        <f t="shared" si="5"/>
        <v>301385101.11900914</v>
      </c>
      <c r="U25" s="64">
        <f t="shared" si="5"/>
        <v>345390151.89687443</v>
      </c>
      <c r="V25" s="64">
        <f t="shared" si="5"/>
        <v>391027381.34197581</v>
      </c>
      <c r="W25" s="64">
        <f t="shared" si="5"/>
        <v>438395440.60382438</v>
      </c>
      <c r="X25" s="64">
        <f t="shared" si="5"/>
        <v>487597402.12292278</v>
      </c>
      <c r="Y25" s="64">
        <f t="shared" si="5"/>
        <v>538740996.03330874</v>
      </c>
      <c r="Z25" s="64">
        <f t="shared" si="5"/>
        <v>591938857.92508698</v>
      </c>
    </row>
    <row r="26" spans="1:26" ht="15" customHeight="1" x14ac:dyDescent="0.25">
      <c r="A26" s="22" t="s">
        <v>388</v>
      </c>
      <c r="B26" s="64">
        <f>'3_Giả định'!$C$13+B25</f>
        <v>1600000000</v>
      </c>
      <c r="C26" s="64">
        <f t="shared" ref="C26:Z26" si="6">B26+C25</f>
        <v>1324763654.9119999</v>
      </c>
      <c r="D26" s="64">
        <f t="shared" si="6"/>
        <v>1077546237.83424</v>
      </c>
      <c r="E26" s="64">
        <f t="shared" si="6"/>
        <v>858795272.80929279</v>
      </c>
      <c r="F26" s="64">
        <f t="shared" si="6"/>
        <v>669009262.75259805</v>
      </c>
      <c r="G26" s="64">
        <f t="shared" si="6"/>
        <v>508739380.3159833</v>
      </c>
      <c r="H26" s="64">
        <f t="shared" si="6"/>
        <v>378591269.03676516</v>
      </c>
      <c r="I26" s="64">
        <f t="shared" si="6"/>
        <v>279226959.5144366</v>
      </c>
      <c r="J26" s="64">
        <f t="shared" si="6"/>
        <v>211366905.61721659</v>
      </c>
      <c r="K26" s="64">
        <f t="shared" si="6"/>
        <v>175792145.99332386</v>
      </c>
      <c r="L26" s="64">
        <f t="shared" si="6"/>
        <v>173346596.44737914</v>
      </c>
      <c r="M26" s="64">
        <f t="shared" si="6"/>
        <v>204939479.04150558</v>
      </c>
      <c r="N26" s="64">
        <f t="shared" si="6"/>
        <v>271547894.09418565</v>
      </c>
      <c r="O26" s="64">
        <f t="shared" si="6"/>
        <v>374219541.57848155</v>
      </c>
      <c r="P26" s="64">
        <f t="shared" si="6"/>
        <v>514075598.76560473</v>
      </c>
      <c r="Q26" s="64">
        <f t="shared" si="6"/>
        <v>692313761.32083797</v>
      </c>
      <c r="R26" s="64">
        <f t="shared" si="6"/>
        <v>910211455.43732417</v>
      </c>
      <c r="S26" s="64">
        <f t="shared" si="6"/>
        <v>1169129228.9901214</v>
      </c>
      <c r="T26" s="64">
        <f t="shared" si="6"/>
        <v>1470514330.1091304</v>
      </c>
      <c r="U26" s="64">
        <f t="shared" si="6"/>
        <v>1815904482.0060048</v>
      </c>
      <c r="V26" s="64">
        <f t="shared" si="6"/>
        <v>2206931863.3479805</v>
      </c>
      <c r="W26" s="64">
        <f t="shared" si="6"/>
        <v>2645327303.9518051</v>
      </c>
      <c r="X26" s="64">
        <f t="shared" si="6"/>
        <v>3132924706.074728</v>
      </c>
      <c r="Y26" s="64">
        <f t="shared" si="6"/>
        <v>3671665702.108037</v>
      </c>
      <c r="Z26" s="64">
        <f t="shared" si="6"/>
        <v>4263604560.033124</v>
      </c>
    </row>
    <row r="27" spans="1:26" ht="15" customHeight="1" x14ac:dyDescent="0.25">
      <c r="A27" s="22" t="s">
        <v>389</v>
      </c>
      <c r="B27" s="64">
        <f>B25</f>
        <v>-900000000</v>
      </c>
      <c r="C27" s="64">
        <f t="shared" ref="C27:Z27" si="7">B27+C25</f>
        <v>-1175236345.0880001</v>
      </c>
      <c r="D27" s="64">
        <f t="shared" si="7"/>
        <v>-1422453762.16576</v>
      </c>
      <c r="E27" s="64">
        <f t="shared" si="7"/>
        <v>-1641204727.1907072</v>
      </c>
      <c r="F27" s="64">
        <f t="shared" si="7"/>
        <v>-1830990737.247402</v>
      </c>
      <c r="G27" s="64">
        <f t="shared" si="7"/>
        <v>-1991260619.6840167</v>
      </c>
      <c r="H27" s="64">
        <f t="shared" si="7"/>
        <v>-2121408730.9632349</v>
      </c>
      <c r="I27" s="64">
        <f t="shared" si="7"/>
        <v>-2220773040.4855633</v>
      </c>
      <c r="J27" s="64">
        <f t="shared" si="7"/>
        <v>-2288633094.3827834</v>
      </c>
      <c r="K27" s="64">
        <f t="shared" si="7"/>
        <v>-2324207854.0066762</v>
      </c>
      <c r="L27" s="64">
        <f t="shared" si="7"/>
        <v>-2326653403.5526209</v>
      </c>
      <c r="M27" s="64">
        <f t="shared" si="7"/>
        <v>-2295060520.9584947</v>
      </c>
      <c r="N27" s="64">
        <f t="shared" si="7"/>
        <v>-2228452105.9058146</v>
      </c>
      <c r="O27" s="64">
        <f t="shared" si="7"/>
        <v>-2125780458.4215188</v>
      </c>
      <c r="P27" s="64">
        <f t="shared" si="7"/>
        <v>-1985924401.2343955</v>
      </c>
      <c r="Q27" s="64">
        <f t="shared" si="7"/>
        <v>-1807686238.6791623</v>
      </c>
      <c r="R27" s="64">
        <f t="shared" si="7"/>
        <v>-1589788544.562676</v>
      </c>
      <c r="S27" s="64">
        <f t="shared" si="7"/>
        <v>-1330870771.0098786</v>
      </c>
      <c r="T27" s="64">
        <f t="shared" si="7"/>
        <v>-1029485669.8908695</v>
      </c>
      <c r="U27" s="64">
        <f t="shared" si="7"/>
        <v>-684095517.99399507</v>
      </c>
      <c r="V27" s="64">
        <f t="shared" si="7"/>
        <v>-293068136.65201926</v>
      </c>
      <c r="W27" s="64">
        <f t="shared" si="7"/>
        <v>145327303.95180511</v>
      </c>
      <c r="X27" s="64">
        <f t="shared" si="7"/>
        <v>632924706.07472789</v>
      </c>
      <c r="Y27" s="64">
        <f t="shared" si="7"/>
        <v>1171665702.1080365</v>
      </c>
      <c r="Z27" s="64">
        <f t="shared" si="7"/>
        <v>1763604560.0331235</v>
      </c>
    </row>
    <row r="28" spans="1:26" ht="15.7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 customHeight="1" x14ac:dyDescent="0.25">
      <c r="A29" s="62" t="s">
        <v>490</v>
      </c>
      <c r="B29" s="4"/>
      <c r="C29" s="4"/>
      <c r="D29" s="4"/>
      <c r="E29" s="4"/>
      <c r="F29" s="4"/>
      <c r="G29" s="4"/>
      <c r="H29" s="4"/>
      <c r="I29" s="4"/>
      <c r="J29" s="4"/>
      <c r="K29" s="4"/>
      <c r="L29" s="4"/>
      <c r="M29" s="4"/>
      <c r="N29" s="4"/>
      <c r="O29" s="4"/>
      <c r="P29" s="4"/>
      <c r="Q29" s="4"/>
      <c r="R29" s="4"/>
      <c r="S29" s="4"/>
      <c r="T29" s="4"/>
      <c r="U29" s="4"/>
      <c r="V29" s="4"/>
      <c r="W29" s="4"/>
      <c r="X29" s="4"/>
      <c r="Y29" s="4"/>
      <c r="Z29" s="4"/>
    </row>
    <row r="30" spans="1:26" ht="15" customHeight="1" x14ac:dyDescent="0.25">
      <c r="A30" s="22" t="s">
        <v>382</v>
      </c>
      <c r="B30" s="4"/>
      <c r="C30" s="63">
        <f>'3_Giả định'!$D$7*(1+'3_Giả định'!$D$8)^0</f>
        <v>6</v>
      </c>
      <c r="D30" s="63">
        <f>'3_Giả định'!$D$7*(1+'3_Giả định'!$D$8)^1</f>
        <v>6.12</v>
      </c>
      <c r="E30" s="63">
        <f>'3_Giả định'!$D$7*(1+'3_Giả định'!$D$8)^2</f>
        <v>6.2423999999999999</v>
      </c>
      <c r="F30" s="63">
        <f>'3_Giả định'!$D$7*(1+'3_Giả định'!$D$8)^3</f>
        <v>6.367248</v>
      </c>
      <c r="G30" s="63">
        <f>'3_Giả định'!$D$7*(1+'3_Giả định'!$D$8)^4</f>
        <v>6.4945929600000003</v>
      </c>
      <c r="H30" s="63">
        <f>'3_Giả định'!$D$7*(1+'3_Giả định'!$D$8)^5</f>
        <v>6.6244848192000001</v>
      </c>
      <c r="I30" s="63">
        <f>'3_Giả định'!$D$7*(1+'3_Giả định'!$D$8)^6</f>
        <v>6.756974515584</v>
      </c>
      <c r="J30" s="63">
        <f>'3_Giả định'!$D$7*(1+'3_Giả định'!$D$8)^7</f>
        <v>6.8921140058956789</v>
      </c>
      <c r="K30" s="63">
        <f>'3_Giả định'!$D$7*(1+'3_Giả định'!$D$8)^8</f>
        <v>7.0299562860135936</v>
      </c>
      <c r="L30" s="63">
        <f>'3_Giả định'!$D$7*(1+'3_Giả định'!$D$8)^9</f>
        <v>7.170555411733865</v>
      </c>
      <c r="M30" s="63">
        <f>'3_Giả định'!$D$7*(1+'3_Giả định'!$D$8)^10</f>
        <v>7.3139665199685426</v>
      </c>
      <c r="N30" s="63">
        <f>'3_Giả định'!$D$7*(1+'3_Giả định'!$D$8)^11</f>
        <v>7.4602458503679117</v>
      </c>
      <c r="O30" s="63">
        <f>'3_Giả định'!$D$7*(1+'3_Giả định'!$D$8)^12</f>
        <v>7.6094507673752716</v>
      </c>
      <c r="P30" s="63">
        <f>'3_Giả định'!$D$7*(1+'3_Giả định'!$D$8)^13</f>
        <v>7.7616397827227761</v>
      </c>
      <c r="Q30" s="63">
        <f>'3_Giả định'!$D$7*(1+'3_Giả định'!$D$8)^14</f>
        <v>7.9168725783772329</v>
      </c>
      <c r="R30" s="63">
        <f>'3_Giả định'!$D$7*(1+'3_Giả định'!$D$8)^15</f>
        <v>8.0752100299447758</v>
      </c>
      <c r="S30" s="63">
        <f>'3_Giả định'!$D$7*(1+'3_Giả định'!$D$8)^16</f>
        <v>8.2367142305436722</v>
      </c>
      <c r="T30" s="63">
        <f>'3_Giả định'!$D$7*(1+'3_Giả định'!$D$8)^17</f>
        <v>8.4014485151545468</v>
      </c>
      <c r="U30" s="63">
        <f>'3_Giả định'!$D$7*(1+'3_Giả định'!$D$8)^18</f>
        <v>8.5694774854576359</v>
      </c>
      <c r="V30" s="63">
        <f>'3_Giả định'!$D$7*(1+'3_Giả định'!$D$8)^19</f>
        <v>8.7408670351667883</v>
      </c>
      <c r="W30" s="63">
        <f>'3_Giả định'!$D$7*(1+'3_Giả định'!$D$8)^20</f>
        <v>8.915684375870125</v>
      </c>
      <c r="X30" s="63">
        <f>'3_Giả định'!$D$7*(1+'3_Giả định'!$D$8)^21</f>
        <v>9.0939980633875273</v>
      </c>
      <c r="Y30" s="63">
        <f>'3_Giả định'!$D$7*(1+'3_Giả định'!$D$8)^22</f>
        <v>9.2758780246552774</v>
      </c>
      <c r="Z30" s="63">
        <f>'3_Giả định'!$D$7*(1+'3_Giả định'!$D$8)^23</f>
        <v>9.4613955851483826</v>
      </c>
    </row>
    <row r="31" spans="1:26" ht="15" customHeight="1" x14ac:dyDescent="0.25">
      <c r="A31" s="22" t="s">
        <v>383</v>
      </c>
      <c r="B31" s="4">
        <v>0</v>
      </c>
      <c r="C31" s="63">
        <f>B31*(1-'3_Giả định'!$D$9)+C30</f>
        <v>6</v>
      </c>
      <c r="D31" s="63">
        <f>C31*(1-'3_Giả định'!$D$9)+D30</f>
        <v>11.832000000000001</v>
      </c>
      <c r="E31" s="63">
        <f>D31*(1-'3_Giả định'!$D$9)+E30</f>
        <v>17.506464000000001</v>
      </c>
      <c r="F31" s="63">
        <f>E31*(1-'3_Giả định'!$D$9)+F30</f>
        <v>23.033401728000001</v>
      </c>
      <c r="G31" s="63">
        <f>F31*(1-'3_Giả định'!$D$9)+G30</f>
        <v>28.422391405055997</v>
      </c>
      <c r="H31" s="63">
        <f>G31*(1-'3_Giả định'!$D$9)+H30</f>
        <v>33.682601436813307</v>
      </c>
      <c r="I31" s="63">
        <f>H31*(1-'3_Giả định'!$D$9)+I30</f>
        <v>38.822811083430267</v>
      </c>
      <c r="J31" s="63">
        <f>I31*(1-'3_Giả định'!$D$9)+J30</f>
        <v>43.851430157321289</v>
      </c>
      <c r="K31" s="63">
        <f>J31*(1-'3_Giả định'!$D$9)+K30</f>
        <v>48.776517795783462</v>
      </c>
      <c r="L31" s="63">
        <f>K31*(1-'3_Giả định'!$D$9)+L30</f>
        <v>53.605800353319722</v>
      </c>
      <c r="M31" s="63">
        <f>L31*(1-'3_Giả định'!$D$9)+M30</f>
        <v>58.34668845632892</v>
      </c>
      <c r="N31" s="63">
        <f>M31*(1-'3_Giả định'!$D$9)+N30</f>
        <v>63.006293260793043</v>
      </c>
      <c r="O31" s="63">
        <f>N31*(1-'3_Giả định'!$D$9)+O30</f>
        <v>67.591441951650239</v>
      </c>
      <c r="P31" s="63">
        <f>O31*(1-'3_Giả định'!$D$9)+P30</f>
        <v>72.108692520693808</v>
      </c>
      <c r="Q31" s="63">
        <f>P31*(1-'3_Giả định'!$D$9)+Q30</f>
        <v>76.564347858077738</v>
      </c>
      <c r="R31" s="63">
        <f>Q31*(1-'3_Giả định'!$D$9)+R30</f>
        <v>80.964469190834777</v>
      </c>
      <c r="S31" s="63">
        <f>R31*(1-'3_Giả định'!$D$9)+S30</f>
        <v>85.314888900218378</v>
      </c>
      <c r="T31" s="63">
        <f>S31*(1-'3_Giả định'!$D$9)+T30</f>
        <v>89.621222748162438</v>
      </c>
      <c r="U31" s="63">
        <f>T31*(1-'3_Giả định'!$D$9)+U30</f>
        <v>93.888881541708272</v>
      </c>
      <c r="V31" s="63">
        <f>U31*(1-'3_Giả định'!$D$9)+V30</f>
        <v>98.123082262873055</v>
      </c>
      <c r="W31" s="63">
        <f>V31*(1-'3_Giả định'!$D$9)+W30</f>
        <v>102.32885869012527</v>
      </c>
      <c r="X31" s="63">
        <f>W31*(1-'3_Giả định'!$D$9)+X30</f>
        <v>106.51107153638678</v>
      </c>
      <c r="Y31" s="63">
        <f>X31*(1-'3_Giả định'!$D$9)+Y30</f>
        <v>110.6744181272955</v>
      </c>
      <c r="Z31" s="63">
        <f>Y31*(1-'3_Giả định'!$D$9)+Z30</f>
        <v>114.82344164233369</v>
      </c>
    </row>
    <row r="32" spans="1:26" ht="15" customHeight="1" x14ac:dyDescent="0.25">
      <c r="A32" s="22" t="s">
        <v>79</v>
      </c>
      <c r="B32" s="4"/>
      <c r="C32" s="64">
        <f>C31*'3_Giả định'!$D$17</f>
        <v>19056000</v>
      </c>
      <c r="D32" s="64">
        <f>D31*'3_Giả định'!$D$17</f>
        <v>37578432</v>
      </c>
      <c r="E32" s="64">
        <f>E31*'3_Giả định'!$D$17</f>
        <v>55600529.664000005</v>
      </c>
      <c r="F32" s="64">
        <f>F31*'3_Giả định'!$D$17</f>
        <v>73154083.888127998</v>
      </c>
      <c r="G32" s="64">
        <f>G31*'3_Giả định'!$D$17</f>
        <v>90269515.102457851</v>
      </c>
      <c r="H32" s="64">
        <f>H31*'3_Giả định'!$D$17</f>
        <v>106975942.16331907</v>
      </c>
      <c r="I32" s="64">
        <f>I31*'3_Giả định'!$D$17</f>
        <v>123301248.00097452</v>
      </c>
      <c r="J32" s="64">
        <f>J31*'3_Giả định'!$D$17</f>
        <v>139272142.17965242</v>
      </c>
      <c r="K32" s="64">
        <f>K31*'3_Giả định'!$D$17</f>
        <v>154914220.51940829</v>
      </c>
      <c r="L32" s="64">
        <f>L31*'3_Giả định'!$D$17</f>
        <v>170252021.92214343</v>
      </c>
      <c r="M32" s="64">
        <f>M31*'3_Giả định'!$D$17</f>
        <v>185309082.53730065</v>
      </c>
      <c r="N32" s="64">
        <f>N31*'3_Giả định'!$D$17</f>
        <v>200107987.39627871</v>
      </c>
      <c r="O32" s="64">
        <f>O31*'3_Giả định'!$D$17</f>
        <v>214670419.63844115</v>
      </c>
      <c r="P32" s="64">
        <f>P31*'3_Giả định'!$D$17</f>
        <v>229017207.44572353</v>
      </c>
      <c r="Q32" s="64">
        <f>Q31*'3_Giả định'!$D$17</f>
        <v>243168368.79725489</v>
      </c>
      <c r="R32" s="64">
        <f>R31*'3_Giả định'!$D$17</f>
        <v>257143154.15009126</v>
      </c>
      <c r="S32" s="64">
        <f>S31*'3_Giả định'!$D$17</f>
        <v>270960087.14709359</v>
      </c>
      <c r="T32" s="64">
        <f>T31*'3_Giả định'!$D$17</f>
        <v>284637003.44816393</v>
      </c>
      <c r="U32" s="64">
        <f>U31*'3_Giả định'!$D$17</f>
        <v>298191087.77646548</v>
      </c>
      <c r="V32" s="64">
        <f>V31*'3_Giả định'!$D$17</f>
        <v>311638909.2668848</v>
      </c>
      <c r="W32" s="64">
        <f>W31*'3_Giả định'!$D$17</f>
        <v>324996455.19983786</v>
      </c>
      <c r="X32" s="64">
        <f>X31*'3_Giả định'!$D$17</f>
        <v>338279163.1995644</v>
      </c>
      <c r="Y32" s="64">
        <f>Y31*'3_Giả định'!$D$17</f>
        <v>351501951.97229052</v>
      </c>
      <c r="Z32" s="64">
        <f>Z31*'3_Giả định'!$D$17</f>
        <v>364679250.65605181</v>
      </c>
    </row>
    <row r="33" spans="1:26" ht="15" customHeight="1" x14ac:dyDescent="0.25">
      <c r="A33" s="22" t="s">
        <v>384</v>
      </c>
      <c r="B33" s="4"/>
      <c r="C33" s="64">
        <f>C31*'3_Giả định'!$D$18</f>
        <v>8925807.0528000016</v>
      </c>
      <c r="D33" s="64">
        <f>D31*'3_Giả định'!$D$18</f>
        <v>17601691.508121602</v>
      </c>
      <c r="E33" s="64">
        <f>E31*'3_Giả định'!$D$18</f>
        <v>26043219.973464888</v>
      </c>
      <c r="F33" s="64">
        <f>F31*'3_Giả định'!$D$18</f>
        <v>34265283.265626356</v>
      </c>
      <c r="G33" s="64">
        <f>G31*'3_Giả định'!$D$18</f>
        <v>42282130.276781827</v>
      </c>
      <c r="H33" s="64">
        <f>H31*'3_Giả định'!$D$18</f>
        <v>50107400.243559942</v>
      </c>
      <c r="I33" s="64">
        <f>I31*'3_Giả định'!$D$18</f>
        <v>57754153.496333987</v>
      </c>
      <c r="J33" s="64">
        <f>J31*'3_Giả định'!$D$18</f>
        <v>65234900.76226417</v>
      </c>
      <c r="K33" s="64">
        <f>K31*'3_Giả định'!$D$18</f>
        <v>72561631.092104793</v>
      </c>
      <c r="L33" s="64">
        <f>L31*'3_Giả định'!$D$18</f>
        <v>79745838.477441669</v>
      </c>
      <c r="M33" s="64">
        <f>M31*'3_Giả định'!$D$18</f>
        <v>86798547.221837521</v>
      </c>
      <c r="N33" s="64">
        <f>N31*'3_Giả định'!$D$18</f>
        <v>93730336.126328617</v>
      </c>
      <c r="O33" s="64">
        <f>O31*'3_Giả định'!$D$18</f>
        <v>100551361.54682693</v>
      </c>
      <c r="P33" s="64">
        <f>P31*'3_Giả định'!$D$18</f>
        <v>107271379.37823258</v>
      </c>
      <c r="Q33" s="64">
        <f>Q31*'3_Giả định'!$D$18</f>
        <v>113899766.01744382</v>
      </c>
      <c r="R33" s="64">
        <f>R31*'3_Giả định'!$D$18</f>
        <v>120445538.35496025</v>
      </c>
      <c r="S33" s="64">
        <f>S31*'3_Giả định'!$D$18</f>
        <v>126917372.84240295</v>
      </c>
      <c r="T33" s="64">
        <f>T31*'3_Giả định'!$D$18</f>
        <v>133323623.68101802</v>
      </c>
      <c r="U33" s="64">
        <f>U31*'3_Giả định'!$D$18</f>
        <v>139672340.17408058</v>
      </c>
      <c r="V33" s="64">
        <f>V31*'3_Giả định'!$D$18</f>
        <v>145971283.28407118</v>
      </c>
      <c r="W33" s="64">
        <f>W31*'3_Giả định'!$D$18</f>
        <v>152227941.43354914</v>
      </c>
      <c r="X33" s="64">
        <f>X31*'3_Giả định'!$D$18</f>
        <v>158449545.58679444</v>
      </c>
      <c r="Y33" s="64">
        <f>Y31*'3_Giả định'!$D$18</f>
        <v>164643083.64752507</v>
      </c>
      <c r="Z33" s="64">
        <f>Z31*'3_Giả định'!$D$18</f>
        <v>170815314.20631856</v>
      </c>
    </row>
    <row r="34" spans="1:26" ht="15" customHeight="1" x14ac:dyDescent="0.25">
      <c r="A34" s="22" t="s">
        <v>84</v>
      </c>
      <c r="B34" s="4"/>
      <c r="C34" s="64">
        <f t="shared" ref="C34:Z34" si="8">C32-C33</f>
        <v>10130192.947199998</v>
      </c>
      <c r="D34" s="64">
        <f t="shared" si="8"/>
        <v>19976740.491878398</v>
      </c>
      <c r="E34" s="64">
        <f t="shared" si="8"/>
        <v>29557309.690535117</v>
      </c>
      <c r="F34" s="64">
        <f t="shared" si="8"/>
        <v>38888800.622501642</v>
      </c>
      <c r="G34" s="64">
        <f t="shared" si="8"/>
        <v>47987384.825676024</v>
      </c>
      <c r="H34" s="64">
        <f t="shared" si="8"/>
        <v>56868541.919759125</v>
      </c>
      <c r="I34" s="64">
        <f t="shared" si="8"/>
        <v>65547094.504640535</v>
      </c>
      <c r="J34" s="64">
        <f t="shared" si="8"/>
        <v>74037241.41738826</v>
      </c>
      <c r="K34" s="64">
        <f t="shared" si="8"/>
        <v>82352589.427303493</v>
      </c>
      <c r="L34" s="64">
        <f t="shared" si="8"/>
        <v>90506183.444701761</v>
      </c>
      <c r="M34" s="64">
        <f t="shared" si="8"/>
        <v>98510535.315463126</v>
      </c>
      <c r="N34" s="64">
        <f t="shared" si="8"/>
        <v>106377651.26995009</v>
      </c>
      <c r="O34" s="64">
        <f t="shared" si="8"/>
        <v>114119058.09161422</v>
      </c>
      <c r="P34" s="64">
        <f t="shared" si="8"/>
        <v>121745828.06749095</v>
      </c>
      <c r="Q34" s="64">
        <f t="shared" si="8"/>
        <v>129268602.77981107</v>
      </c>
      <c r="R34" s="64">
        <f t="shared" si="8"/>
        <v>136697615.79513103</v>
      </c>
      <c r="S34" s="64">
        <f t="shared" si="8"/>
        <v>144042714.30469066</v>
      </c>
      <c r="T34" s="64">
        <f t="shared" si="8"/>
        <v>151313379.7671459</v>
      </c>
      <c r="U34" s="64">
        <f t="shared" si="8"/>
        <v>158518747.6023849</v>
      </c>
      <c r="V34" s="64">
        <f t="shared" si="8"/>
        <v>165667625.98281363</v>
      </c>
      <c r="W34" s="64">
        <f t="shared" si="8"/>
        <v>172768513.76628873</v>
      </c>
      <c r="X34" s="64">
        <f t="shared" si="8"/>
        <v>179829617.61276996</v>
      </c>
      <c r="Y34" s="64">
        <f t="shared" si="8"/>
        <v>186858868.32476544</v>
      </c>
      <c r="Z34" s="64">
        <f t="shared" si="8"/>
        <v>193863936.44973326</v>
      </c>
    </row>
    <row r="35" spans="1:26" ht="15" customHeight="1" x14ac:dyDescent="0.25">
      <c r="A35" s="22" t="s">
        <v>385</v>
      </c>
      <c r="B35" s="4"/>
      <c r="C35" s="64">
        <f>C30*'3_Giả định'!$D$10</f>
        <v>81000000</v>
      </c>
      <c r="D35" s="64">
        <f>D30*'3_Giả định'!$D$10</f>
        <v>82620000</v>
      </c>
      <c r="E35" s="64">
        <f>E30*'3_Giả định'!$D$10</f>
        <v>84272400</v>
      </c>
      <c r="F35" s="64">
        <f>F30*'3_Giả định'!$D$10</f>
        <v>85957848</v>
      </c>
      <c r="G35" s="64">
        <f>G30*'3_Giả định'!$D$10</f>
        <v>87677004.960000008</v>
      </c>
      <c r="H35" s="64">
        <f>H30*'3_Giả định'!$D$10</f>
        <v>89430545.059200004</v>
      </c>
      <c r="I35" s="64">
        <f>I30*'3_Giả định'!$D$10</f>
        <v>91219155.960383996</v>
      </c>
      <c r="J35" s="64">
        <f>J30*'3_Giả định'!$D$10</f>
        <v>93043539.079591662</v>
      </c>
      <c r="K35" s="64">
        <f>K30*'3_Giả định'!$D$10</f>
        <v>94904409.861183509</v>
      </c>
      <c r="L35" s="64">
        <f>L30*'3_Giả định'!$D$10</f>
        <v>96802498.058407173</v>
      </c>
      <c r="M35" s="64">
        <f>M30*'3_Giả định'!$D$10</f>
        <v>98738548.019575328</v>
      </c>
      <c r="N35" s="64">
        <f>N30*'3_Giả định'!$D$10</f>
        <v>100713318.9799668</v>
      </c>
      <c r="O35" s="64">
        <f>O30*'3_Giả định'!$D$10</f>
        <v>102727585.35956617</v>
      </c>
      <c r="P35" s="64">
        <f>P30*'3_Giả định'!$D$10</f>
        <v>104782137.06675747</v>
      </c>
      <c r="Q35" s="64">
        <f>Q30*'3_Giả định'!$D$10</f>
        <v>106877779.80809264</v>
      </c>
      <c r="R35" s="64">
        <f>R30*'3_Giả định'!$D$10</f>
        <v>109015335.40425447</v>
      </c>
      <c r="S35" s="64">
        <f>S30*'3_Giả định'!$D$10</f>
        <v>111195642.11233957</v>
      </c>
      <c r="T35" s="64">
        <f>T30*'3_Giả định'!$D$10</f>
        <v>113419554.95458639</v>
      </c>
      <c r="U35" s="64">
        <f>U30*'3_Giả định'!$D$10</f>
        <v>115687946.05367808</v>
      </c>
      <c r="V35" s="64">
        <f>V30*'3_Giả định'!$D$10</f>
        <v>118001704.97475164</v>
      </c>
      <c r="W35" s="64">
        <f>W30*'3_Giả định'!$D$10</f>
        <v>120361739.07424669</v>
      </c>
      <c r="X35" s="64">
        <f>X30*'3_Giả định'!$D$10</f>
        <v>122768973.85573162</v>
      </c>
      <c r="Y35" s="64">
        <f>Y30*'3_Giả định'!$D$10</f>
        <v>125224353.33284624</v>
      </c>
      <c r="Z35" s="64">
        <f>Z30*'3_Giả định'!$D$10</f>
        <v>127728840.39950317</v>
      </c>
    </row>
    <row r="36" spans="1:26" ht="15" customHeight="1" x14ac:dyDescent="0.25">
      <c r="A36" s="22" t="s">
        <v>386</v>
      </c>
      <c r="B36" s="4"/>
      <c r="C36" s="64">
        <f>'3_Giả định'!$D$11</f>
        <v>200000000</v>
      </c>
      <c r="D36" s="64">
        <f>'3_Giả định'!$D$11</f>
        <v>200000000</v>
      </c>
      <c r="E36" s="64">
        <f>'3_Giả định'!$D$11</f>
        <v>200000000</v>
      </c>
      <c r="F36" s="64">
        <f>'3_Giả định'!$D$11</f>
        <v>200000000</v>
      </c>
      <c r="G36" s="64">
        <f>'3_Giả định'!$D$11</f>
        <v>200000000</v>
      </c>
      <c r="H36" s="64">
        <f>'3_Giả định'!$D$11</f>
        <v>200000000</v>
      </c>
      <c r="I36" s="64">
        <f>'3_Giả định'!$D$11</f>
        <v>200000000</v>
      </c>
      <c r="J36" s="64">
        <f>'3_Giả định'!$D$11</f>
        <v>200000000</v>
      </c>
      <c r="K36" s="64">
        <f>'3_Giả định'!$D$11</f>
        <v>200000000</v>
      </c>
      <c r="L36" s="64">
        <f>'3_Giả định'!$D$11</f>
        <v>200000000</v>
      </c>
      <c r="M36" s="64">
        <f>'3_Giả định'!$D$11</f>
        <v>200000000</v>
      </c>
      <c r="N36" s="64">
        <f>'3_Giả định'!$D$11</f>
        <v>200000000</v>
      </c>
      <c r="O36" s="64">
        <f>'3_Giả định'!$D$11</f>
        <v>200000000</v>
      </c>
      <c r="P36" s="64">
        <f>'3_Giả định'!$D$11</f>
        <v>200000000</v>
      </c>
      <c r="Q36" s="64">
        <f>'3_Giả định'!$D$11</f>
        <v>200000000</v>
      </c>
      <c r="R36" s="64">
        <f>'3_Giả định'!$D$11</f>
        <v>200000000</v>
      </c>
      <c r="S36" s="64">
        <f>'3_Giả định'!$D$11</f>
        <v>200000000</v>
      </c>
      <c r="T36" s="64">
        <f>'3_Giả định'!$D$11</f>
        <v>200000000</v>
      </c>
      <c r="U36" s="64">
        <f>'3_Giả định'!$D$11</f>
        <v>200000000</v>
      </c>
      <c r="V36" s="64">
        <f>'3_Giả định'!$D$11</f>
        <v>200000000</v>
      </c>
      <c r="W36" s="64">
        <f>'3_Giả định'!$D$11</f>
        <v>200000000</v>
      </c>
      <c r="X36" s="64">
        <f>'3_Giả định'!$D$11</f>
        <v>200000000</v>
      </c>
      <c r="Y36" s="64">
        <f>'3_Giả định'!$D$11</f>
        <v>200000000</v>
      </c>
      <c r="Z36" s="64">
        <f>'3_Giả định'!$D$11</f>
        <v>200000000</v>
      </c>
    </row>
    <row r="37" spans="1:26" ht="15" customHeight="1" x14ac:dyDescent="0.25">
      <c r="A37" s="22" t="s">
        <v>387</v>
      </c>
      <c r="B37" s="64">
        <f>-'3_Giả định'!$D$12</f>
        <v>-900000000</v>
      </c>
      <c r="C37" s="64">
        <f t="shared" ref="C37:Z37" si="9">C34-C35-C36</f>
        <v>-270869807.0528</v>
      </c>
      <c r="D37" s="64">
        <f t="shared" si="9"/>
        <v>-262643259.50812161</v>
      </c>
      <c r="E37" s="64">
        <f t="shared" si="9"/>
        <v>-254715090.30946487</v>
      </c>
      <c r="F37" s="64">
        <f t="shared" si="9"/>
        <v>-247069047.37749836</v>
      </c>
      <c r="G37" s="64">
        <f t="shared" si="9"/>
        <v>-239689620.13432398</v>
      </c>
      <c r="H37" s="64">
        <f t="shared" si="9"/>
        <v>-232562003.13944089</v>
      </c>
      <c r="I37" s="64">
        <f t="shared" si="9"/>
        <v>-225672061.45574346</v>
      </c>
      <c r="J37" s="64">
        <f t="shared" si="9"/>
        <v>-219006297.6622034</v>
      </c>
      <c r="K37" s="64">
        <f t="shared" si="9"/>
        <v>-212551820.43388003</v>
      </c>
      <c r="L37" s="64">
        <f t="shared" si="9"/>
        <v>-206296314.6137054</v>
      </c>
      <c r="M37" s="64">
        <f t="shared" si="9"/>
        <v>-200228012.7041122</v>
      </c>
      <c r="N37" s="64">
        <f t="shared" si="9"/>
        <v>-194335667.71001673</v>
      </c>
      <c r="O37" s="64">
        <f t="shared" si="9"/>
        <v>-188608527.26795197</v>
      </c>
      <c r="P37" s="64">
        <f t="shared" si="9"/>
        <v>-183036308.99926651</v>
      </c>
      <c r="Q37" s="64">
        <f t="shared" si="9"/>
        <v>-177609177.02828157</v>
      </c>
      <c r="R37" s="64">
        <f t="shared" si="9"/>
        <v>-172317719.60912344</v>
      </c>
      <c r="S37" s="64">
        <f t="shared" si="9"/>
        <v>-167152927.8076489</v>
      </c>
      <c r="T37" s="64">
        <f t="shared" si="9"/>
        <v>-162106175.18744048</v>
      </c>
      <c r="U37" s="64">
        <f t="shared" si="9"/>
        <v>-157169198.45129317</v>
      </c>
      <c r="V37" s="64">
        <f t="shared" si="9"/>
        <v>-152334078.99193799</v>
      </c>
      <c r="W37" s="64">
        <f t="shared" si="9"/>
        <v>-147593225.30795795</v>
      </c>
      <c r="X37" s="64">
        <f t="shared" si="9"/>
        <v>-142939356.24296165</v>
      </c>
      <c r="Y37" s="64">
        <f t="shared" si="9"/>
        <v>-138365485.00808078</v>
      </c>
      <c r="Z37" s="64">
        <f t="shared" si="9"/>
        <v>-133864903.94976991</v>
      </c>
    </row>
    <row r="38" spans="1:26" ht="15" customHeight="1" x14ac:dyDescent="0.25">
      <c r="A38" s="22" t="s">
        <v>388</v>
      </c>
      <c r="B38" s="64">
        <f>'3_Giả định'!$D$13+B37</f>
        <v>1600000000</v>
      </c>
      <c r="C38" s="64">
        <f t="shared" ref="C38:Z38" si="10">B38+C37</f>
        <v>1329130192.9472001</v>
      </c>
      <c r="D38" s="64">
        <f t="shared" si="10"/>
        <v>1066486933.4390785</v>
      </c>
      <c r="E38" s="64">
        <f t="shared" si="10"/>
        <v>811771843.12961364</v>
      </c>
      <c r="F38" s="64">
        <f t="shared" si="10"/>
        <v>564702795.75211525</v>
      </c>
      <c r="G38" s="64">
        <f t="shared" si="10"/>
        <v>325013175.6177913</v>
      </c>
      <c r="H38" s="64">
        <f t="shared" si="10"/>
        <v>92451172.478350401</v>
      </c>
      <c r="I38" s="64">
        <f t="shared" si="10"/>
        <v>-133220888.97739306</v>
      </c>
      <c r="J38" s="64">
        <f t="shared" si="10"/>
        <v>-352227186.63959646</v>
      </c>
      <c r="K38" s="64">
        <f t="shared" si="10"/>
        <v>-564779007.07347655</v>
      </c>
      <c r="L38" s="64">
        <f t="shared" si="10"/>
        <v>-771075321.68718195</v>
      </c>
      <c r="M38" s="64">
        <f t="shared" si="10"/>
        <v>-971303334.39129412</v>
      </c>
      <c r="N38" s="64">
        <f t="shared" si="10"/>
        <v>-1165639002.1013107</v>
      </c>
      <c r="O38" s="64">
        <f t="shared" si="10"/>
        <v>-1354247529.3692627</v>
      </c>
      <c r="P38" s="64">
        <f t="shared" si="10"/>
        <v>-1537283838.3685293</v>
      </c>
      <c r="Q38" s="64">
        <f t="shared" si="10"/>
        <v>-1714893015.396811</v>
      </c>
      <c r="R38" s="64">
        <f t="shared" si="10"/>
        <v>-1887210735.0059345</v>
      </c>
      <c r="S38" s="64">
        <f t="shared" si="10"/>
        <v>-2054363662.8135834</v>
      </c>
      <c r="T38" s="64">
        <f t="shared" si="10"/>
        <v>-2216469838.0010238</v>
      </c>
      <c r="U38" s="64">
        <f t="shared" si="10"/>
        <v>-2373639036.4523168</v>
      </c>
      <c r="V38" s="64">
        <f t="shared" si="10"/>
        <v>-2525973115.4442549</v>
      </c>
      <c r="W38" s="64">
        <f t="shared" si="10"/>
        <v>-2673566340.752213</v>
      </c>
      <c r="X38" s="64">
        <f t="shared" si="10"/>
        <v>-2816505696.9951744</v>
      </c>
      <c r="Y38" s="64">
        <f t="shared" si="10"/>
        <v>-2954871182.0032554</v>
      </c>
      <c r="Z38" s="64">
        <f t="shared" si="10"/>
        <v>-3088736085.9530253</v>
      </c>
    </row>
    <row r="39" spans="1:26" ht="15" customHeight="1" x14ac:dyDescent="0.25">
      <c r="A39" s="22" t="s">
        <v>389</v>
      </c>
      <c r="B39" s="64">
        <f>B37</f>
        <v>-900000000</v>
      </c>
      <c r="C39" s="64">
        <f t="shared" ref="C39:Z39" si="11">B39+C37</f>
        <v>-1170869807.0527999</v>
      </c>
      <c r="D39" s="64">
        <f t="shared" si="11"/>
        <v>-1433513066.5609217</v>
      </c>
      <c r="E39" s="64">
        <f t="shared" si="11"/>
        <v>-1688228156.8703866</v>
      </c>
      <c r="F39" s="64">
        <f t="shared" si="11"/>
        <v>-1935297204.247885</v>
      </c>
      <c r="G39" s="64">
        <f t="shared" si="11"/>
        <v>-2174986824.3822088</v>
      </c>
      <c r="H39" s="64">
        <f t="shared" si="11"/>
        <v>-2407548827.5216498</v>
      </c>
      <c r="I39" s="64">
        <f t="shared" si="11"/>
        <v>-2633220888.9773932</v>
      </c>
      <c r="J39" s="64">
        <f t="shared" si="11"/>
        <v>-2852227186.6395965</v>
      </c>
      <c r="K39" s="64">
        <f t="shared" si="11"/>
        <v>-3064779007.0734763</v>
      </c>
      <c r="L39" s="64">
        <f t="shared" si="11"/>
        <v>-3271075321.6871815</v>
      </c>
      <c r="M39" s="64">
        <f t="shared" si="11"/>
        <v>-3471303334.3912935</v>
      </c>
      <c r="N39" s="64">
        <f t="shared" si="11"/>
        <v>-3665639002.1013103</v>
      </c>
      <c r="O39" s="64">
        <f t="shared" si="11"/>
        <v>-3854247529.3692622</v>
      </c>
      <c r="P39" s="64">
        <f t="shared" si="11"/>
        <v>-4037283838.3685288</v>
      </c>
      <c r="Q39" s="64">
        <f t="shared" si="11"/>
        <v>-4214893015.3968105</v>
      </c>
      <c r="R39" s="64">
        <f t="shared" si="11"/>
        <v>-4387210735.0059338</v>
      </c>
      <c r="S39" s="64">
        <f t="shared" si="11"/>
        <v>-4554363662.8135824</v>
      </c>
      <c r="T39" s="64">
        <f t="shared" si="11"/>
        <v>-4716469838.0010233</v>
      </c>
      <c r="U39" s="64">
        <f t="shared" si="11"/>
        <v>-4873639036.4523163</v>
      </c>
      <c r="V39" s="64">
        <f t="shared" si="11"/>
        <v>-5025973115.4442539</v>
      </c>
      <c r="W39" s="64">
        <f t="shared" si="11"/>
        <v>-5173566340.7522116</v>
      </c>
      <c r="X39" s="64">
        <f t="shared" si="11"/>
        <v>-5316505696.9951735</v>
      </c>
      <c r="Y39" s="64">
        <f t="shared" si="11"/>
        <v>-5454871182.0032539</v>
      </c>
      <c r="Z39" s="64">
        <f t="shared" si="11"/>
        <v>-5588736085.9530239</v>
      </c>
    </row>
    <row r="40" spans="1:26" ht="15.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 customHeight="1" x14ac:dyDescent="0.25">
      <c r="A42" s="71" t="s">
        <v>491</v>
      </c>
      <c r="B42" s="4"/>
      <c r="C42" s="4"/>
      <c r="D42" s="4"/>
      <c r="E42" s="4"/>
      <c r="F42" s="4"/>
      <c r="G42" s="4"/>
      <c r="H42" s="4"/>
      <c r="I42" s="4"/>
      <c r="J42" s="4"/>
      <c r="K42" s="4"/>
      <c r="L42" s="4"/>
      <c r="M42" s="4"/>
      <c r="N42" s="4"/>
      <c r="O42" s="4"/>
      <c r="P42" s="4"/>
      <c r="Q42" s="4"/>
      <c r="R42" s="4"/>
      <c r="S42" s="4"/>
      <c r="T42" s="4"/>
      <c r="U42" s="4"/>
      <c r="V42" s="4"/>
      <c r="W42" s="4"/>
      <c r="X42" s="4"/>
      <c r="Y42" s="4"/>
      <c r="Z42" s="4"/>
    </row>
    <row r="43" spans="1:26" ht="26.25" customHeight="1" x14ac:dyDescent="0.25">
      <c r="A43" s="14" t="s">
        <v>315</v>
      </c>
      <c r="B43" s="14" t="s">
        <v>295</v>
      </c>
      <c r="C43" s="14" t="s">
        <v>296</v>
      </c>
      <c r="D43" s="14" t="s">
        <v>297</v>
      </c>
      <c r="E43" s="14" t="s">
        <v>317</v>
      </c>
      <c r="F43" s="4"/>
      <c r="G43" s="4"/>
      <c r="H43" s="4"/>
      <c r="I43" s="4"/>
      <c r="J43" s="4"/>
      <c r="K43" s="4"/>
      <c r="L43" s="4"/>
      <c r="M43" s="4"/>
      <c r="N43" s="4"/>
      <c r="O43" s="4"/>
      <c r="P43" s="4"/>
      <c r="Q43" s="4"/>
      <c r="R43" s="4"/>
      <c r="S43" s="4"/>
      <c r="T43" s="4"/>
      <c r="U43" s="4"/>
      <c r="V43" s="4"/>
      <c r="W43" s="4"/>
      <c r="X43" s="4"/>
      <c r="Y43" s="4"/>
      <c r="Z43" s="4"/>
    </row>
    <row r="44" spans="1:26" ht="31.5" customHeight="1" x14ac:dyDescent="0.25">
      <c r="A44" s="10" t="s">
        <v>492</v>
      </c>
      <c r="B44" s="24">
        <f t="array" ref="B44">B13+NPV('3_Giả định'!$B$14/12,C13:Z13)</f>
        <v>10833860972.668793</v>
      </c>
      <c r="C44" s="24">
        <f t="array" ref="C44">B25+NPV('3_Giả định'!$C$14/12,C25:Z25)</f>
        <v>935463001.14868689</v>
      </c>
      <c r="D44" s="24">
        <f t="array" ref="D44">B37+NPV('3_Giả định'!$D$14/12,C37:Z37)</f>
        <v>-5001500911.9690199</v>
      </c>
      <c r="E44" s="4" t="s">
        <v>419</v>
      </c>
      <c r="F44" s="4"/>
      <c r="G44" s="4"/>
      <c r="H44" s="4"/>
      <c r="I44" s="4"/>
      <c r="J44" s="4"/>
      <c r="K44" s="4"/>
      <c r="L44" s="4"/>
      <c r="M44" s="4"/>
      <c r="N44" s="4"/>
      <c r="O44" s="4"/>
      <c r="P44" s="4"/>
      <c r="Q44" s="4"/>
      <c r="R44" s="4"/>
      <c r="S44" s="4"/>
      <c r="T44" s="4"/>
      <c r="U44" s="4"/>
      <c r="V44" s="4"/>
      <c r="W44" s="4"/>
      <c r="X44" s="4"/>
      <c r="Y44" s="4"/>
      <c r="Z44" s="4"/>
    </row>
    <row r="45" spans="1:26" ht="15" customHeight="1" x14ac:dyDescent="0.25">
      <c r="A45" s="22" t="s">
        <v>493</v>
      </c>
      <c r="B45" s="34">
        <f>IFERROR((1+IRR(B13:Z13,0.01))^12-1,"Không tính được")</f>
        <v>3.8576208241827032</v>
      </c>
      <c r="C45" s="34">
        <f>IFERROR((1+IRR(B25:Z25,0.01))^12-1,"Không tính được")</f>
        <v>0.47218455060102338</v>
      </c>
      <c r="D45" s="34" t="str">
        <f>IFERROR((1+IRR(B37:Z37,0.01))^12-1,"Không tính được")</f>
        <v>Không tính được</v>
      </c>
      <c r="E45" s="4" t="s">
        <v>494</v>
      </c>
      <c r="F45" s="35" t="s">
        <v>495</v>
      </c>
      <c r="G45" s="4"/>
      <c r="H45" s="4"/>
      <c r="I45" s="4"/>
      <c r="J45" s="4"/>
      <c r="K45" s="4"/>
      <c r="L45" s="4"/>
      <c r="M45" s="4"/>
      <c r="N45" s="4"/>
      <c r="O45" s="4"/>
      <c r="P45" s="4"/>
      <c r="Q45" s="4"/>
      <c r="R45" s="4"/>
      <c r="S45" s="4"/>
      <c r="T45" s="4"/>
      <c r="U45" s="4"/>
      <c r="V45" s="4"/>
      <c r="W45" s="4"/>
      <c r="X45" s="4"/>
      <c r="Y45" s="4"/>
      <c r="Z45" s="4"/>
    </row>
    <row r="46" spans="1:26" ht="15" customHeight="1" x14ac:dyDescent="0.25">
      <c r="A46" s="22" t="s">
        <v>496</v>
      </c>
      <c r="B46" s="24">
        <f>MIN(B14:Z14)</f>
        <v>761044165.65671432</v>
      </c>
      <c r="C46" s="24">
        <f>MIN(B26:Z26)</f>
        <v>173346596.44737914</v>
      </c>
      <c r="D46" s="24">
        <f>MIN(B38:Z38)</f>
        <v>-3088736085.9530253</v>
      </c>
      <c r="E46" s="4" t="s">
        <v>419</v>
      </c>
      <c r="F46" s="4"/>
      <c r="G46" s="4"/>
      <c r="H46" s="4"/>
      <c r="I46" s="4"/>
      <c r="J46" s="4"/>
      <c r="K46" s="4"/>
      <c r="L46" s="4"/>
      <c r="M46" s="4"/>
      <c r="N46" s="4"/>
      <c r="O46" s="4"/>
      <c r="P46" s="4"/>
      <c r="Q46" s="4"/>
      <c r="R46" s="4"/>
      <c r="S46" s="4"/>
      <c r="T46" s="4"/>
      <c r="U46" s="4"/>
      <c r="V46" s="4"/>
      <c r="W46" s="4"/>
      <c r="X46" s="4"/>
      <c r="Y46" s="4"/>
      <c r="Z46" s="4"/>
    </row>
    <row r="47" spans="1:26" ht="15" customHeight="1" x14ac:dyDescent="0.25">
      <c r="A47" s="22" t="s">
        <v>497</v>
      </c>
      <c r="B47" s="70" t="str">
        <f t="array" ref="B47">IF('3_Giả định'!B7=0,"Chưa điền",IFERROR(MATCH(TRUE(),INDEX(C14:Z14&lt;0,0),0),"Không hết tiền trong 24 tháng"))</f>
        <v>Không hết tiền trong 24 tháng</v>
      </c>
      <c r="C47" s="70" t="str">
        <f t="array" ref="C47">IF('3_Giả định'!C7=0,"Chưa điền",IFERROR(MATCH(TRUE(),INDEX(C26:Z26&lt;0,0),0),"Không hết tiền trong 24 tháng"))</f>
        <v>Không hết tiền trong 24 tháng</v>
      </c>
      <c r="D47" s="70">
        <f t="array" ref="D47">IF('3_Giả định'!D7=0,"Chưa điền",IFERROR(MATCH(TRUE(),INDEX(C38:Z38&lt;0,0),0),"Không hết tiền trong 24 tháng"))</f>
        <v>7</v>
      </c>
      <c r="E47" s="4" t="s">
        <v>498</v>
      </c>
      <c r="F47" s="35" t="s">
        <v>499</v>
      </c>
      <c r="G47" s="4"/>
      <c r="H47" s="4"/>
      <c r="I47" s="4"/>
      <c r="J47" s="4"/>
      <c r="K47" s="4"/>
      <c r="L47" s="4"/>
      <c r="M47" s="4"/>
      <c r="N47" s="4"/>
      <c r="O47" s="4"/>
      <c r="P47" s="4"/>
      <c r="Q47" s="4"/>
      <c r="R47" s="4"/>
      <c r="S47" s="4"/>
      <c r="T47" s="4"/>
      <c r="U47" s="4"/>
      <c r="V47" s="4"/>
      <c r="W47" s="4"/>
      <c r="X47" s="4"/>
      <c r="Y47" s="4"/>
      <c r="Z47" s="4"/>
    </row>
    <row r="48" spans="1:26" ht="15" customHeight="1" x14ac:dyDescent="0.25">
      <c r="A48" s="22" t="s">
        <v>500</v>
      </c>
      <c r="B48" s="70">
        <f t="array" ref="B48">IF('3_Giả định'!B7=0,"Chưa điền",IFERROR(MATCH(TRUE(),INDEX(C15:Z15&gt;=0,0),0),"Chưa hoàn vốn trong 24 tháng"))</f>
        <v>13</v>
      </c>
      <c r="C48" s="70">
        <f t="array" ref="C48">IF('3_Giả định'!C7=0,"Chưa điền",IFERROR(MATCH(TRUE(),INDEX(C27:Z27&gt;=0,0),0),"Chưa hoàn vốn trong 24 tháng"))</f>
        <v>21</v>
      </c>
      <c r="D48" s="70" t="str">
        <f t="array" ref="D48">IF('3_Giả định'!D7=0,"Chưa điền",IFERROR(MATCH(TRUE(),INDEX(C39:Z39&gt;=0,0),0),"Chưa hoàn vốn trong 24 tháng"))</f>
        <v>Chưa hoàn vốn trong 24 tháng</v>
      </c>
      <c r="E48" s="4" t="s">
        <v>501</v>
      </c>
      <c r="F48" s="4"/>
      <c r="G48" s="4"/>
      <c r="H48" s="4"/>
      <c r="I48" s="4"/>
      <c r="J48" s="4"/>
      <c r="K48" s="4"/>
      <c r="L48" s="4"/>
      <c r="M48" s="4"/>
      <c r="N48" s="4"/>
      <c r="O48" s="4"/>
      <c r="P48" s="4"/>
      <c r="Q48" s="4"/>
      <c r="R48" s="4"/>
      <c r="S48" s="4"/>
      <c r="T48" s="4"/>
      <c r="U48" s="4"/>
      <c r="V48" s="4"/>
      <c r="W48" s="4"/>
      <c r="X48" s="4"/>
      <c r="Y48" s="4"/>
      <c r="Z48" s="4"/>
    </row>
    <row r="49" spans="1:26" ht="15" customHeight="1" x14ac:dyDescent="0.25">
      <c r="A49" s="22" t="s">
        <v>502</v>
      </c>
      <c r="B49" s="49">
        <f t="shared" ref="B49:B50" si="12">Z7</f>
        <v>906.47479858411748</v>
      </c>
      <c r="C49" s="49">
        <f t="shared" ref="C49:C50" si="13">Z19</f>
        <v>411.55240827029638</v>
      </c>
      <c r="D49" s="49">
        <f t="shared" ref="D49:D50" si="14">Z31</f>
        <v>114.82344164233369</v>
      </c>
      <c r="E49" s="4"/>
      <c r="F49" s="4"/>
      <c r="G49" s="4"/>
      <c r="H49" s="4"/>
      <c r="I49" s="4"/>
      <c r="J49" s="4"/>
      <c r="K49" s="4"/>
      <c r="L49" s="4"/>
      <c r="M49" s="4"/>
      <c r="N49" s="4"/>
      <c r="O49" s="4"/>
      <c r="P49" s="4"/>
      <c r="Q49" s="4"/>
      <c r="R49" s="4"/>
      <c r="S49" s="4"/>
      <c r="T49" s="4"/>
      <c r="U49" s="4"/>
      <c r="V49" s="4"/>
      <c r="W49" s="4"/>
      <c r="X49" s="4"/>
      <c r="Y49" s="4"/>
      <c r="Z49" s="4"/>
    </row>
    <row r="50" spans="1:26" ht="15" customHeight="1" x14ac:dyDescent="0.25">
      <c r="A50" s="22" t="s">
        <v>503</v>
      </c>
      <c r="B50" s="24">
        <f t="shared" si="12"/>
        <v>3958575445.416841</v>
      </c>
      <c r="C50" s="24">
        <f t="shared" si="13"/>
        <v>1633863060.8330767</v>
      </c>
      <c r="D50" s="24">
        <f t="shared" si="14"/>
        <v>364679250.65605181</v>
      </c>
      <c r="E50" s="4"/>
      <c r="F50" s="4"/>
      <c r="G50" s="4"/>
      <c r="H50" s="4"/>
      <c r="I50" s="4"/>
      <c r="J50" s="4"/>
      <c r="K50" s="4"/>
      <c r="L50" s="4"/>
      <c r="M50" s="4"/>
      <c r="N50" s="4"/>
      <c r="O50" s="4"/>
      <c r="P50" s="4"/>
      <c r="Q50" s="4"/>
      <c r="R50" s="4"/>
      <c r="S50" s="4"/>
      <c r="T50" s="4"/>
      <c r="U50" s="4"/>
      <c r="V50" s="4"/>
      <c r="W50" s="4"/>
      <c r="X50" s="4"/>
      <c r="Y50" s="4"/>
      <c r="Z50" s="4"/>
    </row>
    <row r="51" spans="1:26" ht="15.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 customHeight="1" x14ac:dyDescent="0.25">
      <c r="A53" s="71" t="s">
        <v>504</v>
      </c>
      <c r="B53" s="4"/>
      <c r="C53" s="4"/>
      <c r="D53" s="4"/>
      <c r="E53" s="4"/>
      <c r="F53" s="4"/>
      <c r="G53" s="4"/>
      <c r="H53" s="4"/>
      <c r="I53" s="4"/>
      <c r="J53" s="4"/>
      <c r="K53" s="4"/>
      <c r="L53" s="4"/>
      <c r="M53" s="4"/>
      <c r="N53" s="4"/>
      <c r="O53" s="4"/>
      <c r="P53" s="4"/>
      <c r="Q53" s="4"/>
      <c r="R53" s="4"/>
      <c r="S53" s="4"/>
      <c r="T53" s="4"/>
      <c r="U53" s="4"/>
      <c r="V53" s="4"/>
      <c r="W53" s="4"/>
      <c r="X53" s="4"/>
      <c r="Y53" s="4"/>
      <c r="Z53" s="4"/>
    </row>
    <row r="54" spans="1:26" ht="15" customHeight="1" x14ac:dyDescent="0.25">
      <c r="A54" s="4" t="s">
        <v>505</v>
      </c>
      <c r="B54" s="72">
        <v>0.2</v>
      </c>
      <c r="C54" s="35" t="s">
        <v>506</v>
      </c>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45" customHeight="1" x14ac:dyDescent="0.25">
      <c r="A56" s="73" t="s">
        <v>507</v>
      </c>
      <c r="B56" s="74" t="s">
        <v>508</v>
      </c>
      <c r="C56" s="74" t="s">
        <v>509</v>
      </c>
      <c r="D56" s="74" t="s">
        <v>510</v>
      </c>
      <c r="E56" s="74" t="s">
        <v>511</v>
      </c>
      <c r="F56" s="74" t="s">
        <v>497</v>
      </c>
      <c r="G56" s="74" t="s">
        <v>512</v>
      </c>
      <c r="H56" s="74" t="s">
        <v>513</v>
      </c>
      <c r="I56" s="4"/>
      <c r="J56" s="4"/>
      <c r="K56" s="4"/>
      <c r="L56" s="4"/>
      <c r="M56" s="4"/>
      <c r="N56" s="4"/>
      <c r="O56" s="4"/>
      <c r="P56" s="4"/>
      <c r="Q56" s="4"/>
      <c r="R56" s="4"/>
      <c r="S56" s="4"/>
      <c r="T56" s="4"/>
      <c r="U56" s="4"/>
      <c r="V56" s="4"/>
      <c r="W56" s="4"/>
      <c r="X56" s="4"/>
      <c r="Y56" s="4"/>
      <c r="Z56" s="4"/>
    </row>
    <row r="57" spans="1:26" ht="27.75" customHeight="1" x14ac:dyDescent="0.25">
      <c r="A57" s="7" t="s">
        <v>514</v>
      </c>
      <c r="B57" s="75" t="s">
        <v>515</v>
      </c>
      <c r="C57" s="75" t="s">
        <v>515</v>
      </c>
      <c r="D57" s="76">
        <f t="array" ref="D57">(B94+NPV($K$80/12,C94:Z94))/1000000</f>
        <v>935.46300114868689</v>
      </c>
      <c r="E57" s="75" t="s">
        <v>515</v>
      </c>
      <c r="F57" s="77" t="str">
        <f t="array" ref="F57">IFERROR(MATCH(TRUE(),INDEX(C95:Z95&lt;0,0),0),"Không hết tiền trong 24 tháng")</f>
        <v>Không hết tiền trong 24 tháng</v>
      </c>
      <c r="G57" s="77">
        <f t="array" ref="G57">IFERROR(MATCH(TRUE(),INDEX(C96:Z96&gt;=0,0),0),"Chưa hoàn vốn trong 24 tháng")</f>
        <v>21</v>
      </c>
      <c r="H57" s="4"/>
      <c r="I57" s="4"/>
      <c r="J57" s="4"/>
      <c r="K57" s="4"/>
      <c r="L57" s="4"/>
      <c r="M57" s="4"/>
      <c r="N57" s="4"/>
      <c r="O57" s="4"/>
      <c r="P57" s="4"/>
      <c r="Q57" s="4"/>
      <c r="R57" s="4"/>
      <c r="S57" s="4"/>
      <c r="T57" s="4"/>
      <c r="U57" s="4"/>
      <c r="V57" s="4"/>
      <c r="W57" s="4"/>
      <c r="X57" s="4"/>
      <c r="Y57" s="4"/>
      <c r="Z57" s="4"/>
    </row>
    <row r="58" spans="1:26" ht="27.75" customHeight="1" x14ac:dyDescent="0.25">
      <c r="A58" s="4" t="s">
        <v>525</v>
      </c>
      <c r="B58" s="76">
        <f>'3_Giả định'!$C$17</f>
        <v>3970000</v>
      </c>
      <c r="C58" s="76">
        <f>B81</f>
        <v>3176000</v>
      </c>
      <c r="D58" s="76">
        <f t="array" ref="D58">(B100+NPV($K$81/12,C100:Z100))/1000000</f>
        <v>-1965.0909141351876</v>
      </c>
      <c r="E58" s="76">
        <f t="shared" ref="E58:E64" si="15">D58-$D$57</f>
        <v>-2900.5539152838746</v>
      </c>
      <c r="F58" s="77">
        <f t="array" ref="F58">IFERROR(MATCH(TRUE(),INDEX(C101:Z101&lt;0,0),0),"Không hết tiền trong 24 tháng")</f>
        <v>8</v>
      </c>
      <c r="G58" s="77" t="str">
        <f t="array" ref="G58">IFERROR(MATCH(TRUE(),INDEX(C102:Z102&gt;=0,0),0),"Chưa hoàn vốn trong 24 tháng")</f>
        <v>Chưa hoàn vốn trong 24 tháng</v>
      </c>
      <c r="H58" s="80">
        <f t="shared" ref="H58:H64" si="16">RANK(D58,$D$58:$D$64,1)</f>
        <v>1</v>
      </c>
      <c r="I58" s="4"/>
      <c r="J58" s="4"/>
      <c r="K58" s="4"/>
      <c r="L58" s="4"/>
      <c r="M58" s="4"/>
      <c r="N58" s="4"/>
      <c r="O58" s="4"/>
      <c r="P58" s="4"/>
      <c r="Q58" s="4"/>
      <c r="R58" s="4"/>
      <c r="S58" s="4"/>
      <c r="T58" s="4"/>
      <c r="U58" s="4"/>
      <c r="V58" s="4"/>
      <c r="W58" s="4"/>
      <c r="X58" s="4"/>
      <c r="Y58" s="4"/>
      <c r="Z58" s="4"/>
    </row>
    <row r="59" spans="1:26" ht="27.75" customHeight="1" x14ac:dyDescent="0.25">
      <c r="A59" s="4" t="s">
        <v>557</v>
      </c>
      <c r="B59" s="76">
        <f>'3_Giả định'!$C$18</f>
        <v>1239695.4240000001</v>
      </c>
      <c r="C59" s="76">
        <f>C82</f>
        <v>1487634.5088000002</v>
      </c>
      <c r="D59" s="76">
        <f t="array" ref="D59">(B106+NPV($K$82/12,C106:Z106))/1000000</f>
        <v>29.71906768704951</v>
      </c>
      <c r="E59" s="76">
        <f t="shared" si="15"/>
        <v>-905.74393346163743</v>
      </c>
      <c r="F59" s="77">
        <f t="array" ref="F59">IFERROR(MATCH(TRUE(),INDEX(C107:Z107&lt;0,0),0),"Không hết tiền trong 24 tháng")</f>
        <v>10</v>
      </c>
      <c r="G59" s="77">
        <f t="array" ref="G59">IFERROR(MATCH(TRUE(),INDEX(C108:Z108&gt;=0,0),0),"Chưa hoàn vốn trong 24 tháng")</f>
        <v>23</v>
      </c>
      <c r="H59" s="80">
        <f t="shared" si="16"/>
        <v>3</v>
      </c>
      <c r="I59" s="4"/>
      <c r="J59" s="4"/>
      <c r="K59" s="4"/>
      <c r="L59" s="4"/>
      <c r="M59" s="4"/>
      <c r="N59" s="4"/>
      <c r="O59" s="4"/>
      <c r="P59" s="4"/>
      <c r="Q59" s="4"/>
      <c r="R59" s="4"/>
      <c r="S59" s="4"/>
      <c r="T59" s="4"/>
      <c r="U59" s="4"/>
      <c r="V59" s="4"/>
      <c r="W59" s="4"/>
      <c r="X59" s="4"/>
      <c r="Y59" s="4"/>
      <c r="Z59" s="4"/>
    </row>
    <row r="60" spans="1:26" ht="27.75" customHeight="1" x14ac:dyDescent="0.25">
      <c r="A60" s="4" t="s">
        <v>567</v>
      </c>
      <c r="B60" s="81">
        <f>'3_Giả định'!$C$9</f>
        <v>0.03</v>
      </c>
      <c r="C60" s="81">
        <f>F83</f>
        <v>3.5999999999999997E-2</v>
      </c>
      <c r="D60" s="76">
        <f t="array" ref="D60">(B112+NPV($K$83/12,C112:Z112))/1000000</f>
        <v>586.8819805067551</v>
      </c>
      <c r="E60" s="76">
        <f t="shared" si="15"/>
        <v>-348.58102064193179</v>
      </c>
      <c r="F60" s="77" t="str">
        <f t="array" ref="F60">IFERROR(MATCH(TRUE(),INDEX(C113:Z113&lt;0,0),0),"Không hết tiền trong 24 tháng")</f>
        <v>Không hết tiền trong 24 tháng</v>
      </c>
      <c r="G60" s="77">
        <f t="array" ref="G60">IFERROR(MATCH(TRUE(),INDEX(C114:Z114&gt;=0,0),0),"Chưa hoàn vốn trong 24 tháng")</f>
        <v>22</v>
      </c>
      <c r="H60" s="80">
        <f t="shared" si="16"/>
        <v>7</v>
      </c>
      <c r="I60" s="4"/>
      <c r="J60" s="4"/>
      <c r="K60" s="4"/>
      <c r="L60" s="4"/>
      <c r="M60" s="4"/>
      <c r="N60" s="4"/>
      <c r="O60" s="4"/>
      <c r="P60" s="4"/>
      <c r="Q60" s="4"/>
      <c r="R60" s="4"/>
      <c r="S60" s="4"/>
      <c r="T60" s="4"/>
      <c r="U60" s="4"/>
      <c r="V60" s="4"/>
      <c r="W60" s="4"/>
      <c r="X60" s="4"/>
      <c r="Y60" s="4"/>
      <c r="Z60" s="4"/>
    </row>
    <row r="61" spans="1:26" ht="27.75" customHeight="1" x14ac:dyDescent="0.25">
      <c r="A61" s="4" t="s">
        <v>568</v>
      </c>
      <c r="B61" s="76">
        <f>'3_Giả định'!$C$10</f>
        <v>9000000</v>
      </c>
      <c r="C61" s="76">
        <f>G84</f>
        <v>10800000</v>
      </c>
      <c r="D61" s="76">
        <f t="array" ref="D61">(B118+NPV($K$84/12,C118:Z118))/1000000</f>
        <v>132.71500001876103</v>
      </c>
      <c r="E61" s="76">
        <f t="shared" si="15"/>
        <v>-802.7480011299258</v>
      </c>
      <c r="F61" s="77">
        <f t="array" ref="F61">IFERROR(MATCH(TRUE(),INDEX(C119:Z119&lt;0,0),0),"Không hết tiền trong 24 tháng")</f>
        <v>9</v>
      </c>
      <c r="G61" s="77">
        <f t="array" ref="G61">IFERROR(MATCH(TRUE(),INDEX(C120:Z120&gt;=0,0),0),"Chưa hoàn vốn trong 24 tháng")</f>
        <v>23</v>
      </c>
      <c r="H61" s="80">
        <f t="shared" si="16"/>
        <v>5</v>
      </c>
      <c r="I61" s="4"/>
      <c r="J61" s="4"/>
      <c r="K61" s="4"/>
      <c r="L61" s="4"/>
      <c r="M61" s="4"/>
      <c r="N61" s="4"/>
      <c r="O61" s="4"/>
      <c r="P61" s="4"/>
      <c r="Q61" s="4"/>
      <c r="R61" s="4"/>
      <c r="S61" s="4"/>
      <c r="T61" s="4"/>
      <c r="U61" s="4"/>
      <c r="V61" s="4"/>
      <c r="W61" s="4"/>
      <c r="X61" s="4"/>
      <c r="Y61" s="4"/>
      <c r="Z61" s="4"/>
    </row>
    <row r="62" spans="1:26" ht="27.75" customHeight="1" x14ac:dyDescent="0.25">
      <c r="A62" s="4" t="s">
        <v>569</v>
      </c>
      <c r="B62" s="82">
        <f>'3_Giả định'!$C$7</f>
        <v>12</v>
      </c>
      <c r="C62" s="82">
        <f>D85</f>
        <v>9.6000000000000014</v>
      </c>
      <c r="D62" s="76">
        <f t="array" ref="D62">(B124+NPV($K$85/12,C124:Z124))/1000000</f>
        <v>-256.59897954362475</v>
      </c>
      <c r="E62" s="76">
        <f t="shared" si="15"/>
        <v>-1192.0619806923116</v>
      </c>
      <c r="F62" s="77" t="str">
        <f t="array" ref="F62">IFERROR(MATCH(TRUE(),INDEX(C125:Z125&lt;0,0),0),"Không hết tiền trong 24 tháng")</f>
        <v>Không hết tiền trong 24 tháng</v>
      </c>
      <c r="G62" s="77">
        <f t="array" ref="G62">IFERROR(MATCH(TRUE(),INDEX(C126:Z126&gt;=0,0),0),"Chưa hoàn vốn trong 24 tháng")</f>
        <v>24</v>
      </c>
      <c r="H62" s="80">
        <f t="shared" si="16"/>
        <v>2</v>
      </c>
      <c r="I62" s="4"/>
      <c r="J62" s="4"/>
      <c r="K62" s="4"/>
      <c r="L62" s="4"/>
      <c r="M62" s="4"/>
      <c r="N62" s="4"/>
      <c r="O62" s="4"/>
      <c r="P62" s="4"/>
      <c r="Q62" s="4"/>
      <c r="R62" s="4"/>
      <c r="S62" s="4"/>
      <c r="T62" s="4"/>
      <c r="U62" s="4"/>
      <c r="V62" s="4"/>
      <c r="W62" s="4"/>
      <c r="X62" s="4"/>
      <c r="Y62" s="4"/>
      <c r="Z62" s="4"/>
    </row>
    <row r="63" spans="1:26" ht="27.75" customHeight="1" x14ac:dyDescent="0.25">
      <c r="A63" s="4" t="s">
        <v>570</v>
      </c>
      <c r="B63" s="81">
        <f>'3_Giả định'!$C$8</f>
        <v>0.05</v>
      </c>
      <c r="C63" s="81">
        <f>E86</f>
        <v>4.0000000000000008E-2</v>
      </c>
      <c r="D63" s="76">
        <f t="array" ref="D63">(B130+NPV($K$86/12,C130:Z130))/1000000</f>
        <v>539.87763227163816</v>
      </c>
      <c r="E63" s="76">
        <f t="shared" si="15"/>
        <v>-395.58536887704872</v>
      </c>
      <c r="F63" s="77" t="str">
        <f t="array" ref="F63">IFERROR(MATCH(TRUE(),INDEX(C131:Z131&lt;0,0),0),"Không hết tiền trong 24 tháng")</f>
        <v>Không hết tiền trong 24 tháng</v>
      </c>
      <c r="G63" s="77">
        <f t="array" ref="G63">IFERROR(MATCH(TRUE(),INDEX(C132:Z132&gt;=0,0),0),"Chưa hoàn vốn trong 24 tháng")</f>
        <v>22</v>
      </c>
      <c r="H63" s="80">
        <f t="shared" si="16"/>
        <v>6</v>
      </c>
      <c r="I63" s="4"/>
      <c r="J63" s="4"/>
      <c r="K63" s="4"/>
      <c r="L63" s="4"/>
      <c r="M63" s="4"/>
      <c r="N63" s="4"/>
      <c r="O63" s="4"/>
      <c r="P63" s="4"/>
      <c r="Q63" s="4"/>
      <c r="R63" s="4"/>
      <c r="S63" s="4"/>
      <c r="T63" s="4"/>
      <c r="U63" s="4"/>
      <c r="V63" s="4"/>
      <c r="W63" s="4"/>
      <c r="X63" s="4"/>
      <c r="Y63" s="4"/>
      <c r="Z63" s="4"/>
    </row>
    <row r="64" spans="1:26" ht="27.75" customHeight="1" x14ac:dyDescent="0.25">
      <c r="A64" s="4" t="s">
        <v>571</v>
      </c>
      <c r="B64" s="76">
        <f>'3_Giả định'!$C$11</f>
        <v>200000000</v>
      </c>
      <c r="C64" s="76">
        <f>H87</f>
        <v>240000000</v>
      </c>
      <c r="D64" s="76">
        <f t="array" ref="D64">(B136+NPV($K$87/12,C136:Z136))/1000000</f>
        <v>110.49362068611312</v>
      </c>
      <c r="E64" s="76">
        <f t="shared" si="15"/>
        <v>-824.96938046257378</v>
      </c>
      <c r="F64" s="77">
        <f t="array" ref="F64">IFERROR(MATCH(TRUE(),INDEX(C137:Z137&lt;0,0),0),"Không hết tiền trong 24 tháng")</f>
        <v>7</v>
      </c>
      <c r="G64" s="77">
        <f t="array" ref="G64">IFERROR(MATCH(TRUE(),INDEX(C138:Z138&gt;=0,0),0),"Chưa hoàn vốn trong 24 tháng")</f>
        <v>23</v>
      </c>
      <c r="H64" s="80">
        <f t="shared" si="16"/>
        <v>4</v>
      </c>
      <c r="I64" s="4"/>
      <c r="J64" s="4"/>
      <c r="K64" s="4"/>
      <c r="L64" s="4"/>
      <c r="M64" s="4"/>
      <c r="N64" s="4"/>
      <c r="O64" s="4"/>
      <c r="P64" s="4"/>
      <c r="Q64" s="4"/>
      <c r="R64" s="4"/>
      <c r="S64" s="4"/>
      <c r="T64" s="4"/>
      <c r="U64" s="4"/>
      <c r="V64" s="4"/>
      <c r="W64" s="4"/>
      <c r="X64" s="4"/>
      <c r="Y64" s="4"/>
      <c r="Z64" s="4"/>
    </row>
    <row r="65" spans="1:26" ht="15.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 customHeight="1" x14ac:dyDescent="0.25">
      <c r="A66" s="7" t="s">
        <v>572</v>
      </c>
      <c r="B66" s="83" t="str">
        <f t="array" ref="B66">IF(MAX(D58:D64)-MIN(D58:D64)&lt;0.5,"Chưa đủ số liệu",INDEX(A58:A64,MATCH(MIN(D58:D64),D58:D64,0)))</f>
        <v>Doanh thu bình quân giảm</v>
      </c>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31.5" customHeight="1" x14ac:dyDescent="0.25">
      <c r="A68" s="84" t="s">
        <v>573</v>
      </c>
      <c r="B68" s="75" t="s">
        <v>515</v>
      </c>
      <c r="C68" s="75" t="s">
        <v>515</v>
      </c>
      <c r="D68" s="76">
        <f t="array" ref="D68">(B142+NPV($K$88/12,C142:Z142))/1000000</f>
        <v>-3827.4456065713221</v>
      </c>
      <c r="E68" s="76">
        <f>D68-$D$57</f>
        <v>-4762.9086077200091</v>
      </c>
      <c r="F68" s="77">
        <f t="array" ref="F68">IFERROR(MATCH(TRUE(),INDEX(C143:Z143&lt;0,0),0),"Không hết tiền trong 24 tháng")</f>
        <v>7</v>
      </c>
      <c r="G68" s="77" t="str">
        <f t="array" ref="G68">IFERROR(MATCH(TRUE(),INDEX(C144:Z144&gt;=0,0),0),"Chưa hoàn vốn trong 24 tháng")</f>
        <v>Chưa hoàn vốn trong 24 tháng</v>
      </c>
      <c r="H68" s="4"/>
      <c r="I68" s="4"/>
      <c r="J68" s="4"/>
      <c r="K68" s="4"/>
      <c r="L68" s="4"/>
      <c r="M68" s="4"/>
      <c r="N68" s="4"/>
      <c r="O68" s="4"/>
      <c r="P68" s="4"/>
      <c r="Q68" s="4"/>
      <c r="R68" s="4"/>
      <c r="S68" s="4"/>
      <c r="T68" s="4"/>
      <c r="U68" s="4"/>
      <c r="V68" s="4"/>
      <c r="W68" s="4"/>
      <c r="X68" s="4"/>
      <c r="Y68" s="4"/>
      <c r="Z68" s="4"/>
    </row>
    <row r="69" spans="1:26" ht="15" customHeight="1" x14ac:dyDescent="0.25">
      <c r="A69" s="35" t="s">
        <v>574</v>
      </c>
      <c r="B69" s="4"/>
      <c r="C69" s="4"/>
      <c r="D69" s="4"/>
      <c r="E69" s="4"/>
      <c r="F69" s="4"/>
      <c r="G69" s="4"/>
      <c r="H69" s="4"/>
      <c r="I69" s="4"/>
      <c r="J69" s="4"/>
      <c r="K69" s="4"/>
      <c r="L69" s="4"/>
      <c r="M69" s="4"/>
      <c r="N69" s="4"/>
      <c r="O69" s="4"/>
      <c r="P69" s="4"/>
      <c r="Q69" s="4"/>
      <c r="R69" s="4"/>
      <c r="S69" s="4"/>
      <c r="T69" s="4"/>
      <c r="U69" s="4"/>
      <c r="V69" s="4"/>
      <c r="W69" s="4"/>
      <c r="X69" s="4"/>
      <c r="Y69" s="4"/>
      <c r="Z69" s="4"/>
    </row>
    <row r="70" spans="1:26" ht="15" customHeight="1" x14ac:dyDescent="0.25">
      <c r="A70" s="71" t="s">
        <v>575</v>
      </c>
      <c r="B70" s="4"/>
      <c r="C70" s="4"/>
      <c r="D70" s="4"/>
      <c r="E70" s="4"/>
      <c r="F70" s="4"/>
      <c r="G70" s="4"/>
      <c r="H70" s="4"/>
      <c r="I70" s="4"/>
      <c r="J70" s="4"/>
      <c r="K70" s="4"/>
      <c r="L70" s="4"/>
      <c r="M70" s="4"/>
      <c r="N70" s="4"/>
      <c r="O70" s="4"/>
      <c r="P70" s="4"/>
      <c r="Q70" s="4"/>
      <c r="R70" s="4"/>
      <c r="S70" s="4"/>
      <c r="T70" s="4"/>
      <c r="U70" s="4"/>
      <c r="V70" s="4"/>
      <c r="W70" s="4"/>
      <c r="X70" s="4"/>
      <c r="Y70" s="4"/>
      <c r="Z70" s="4"/>
    </row>
    <row r="71" spans="1:26" ht="45" customHeight="1" x14ac:dyDescent="0.25">
      <c r="A71" s="14" t="s">
        <v>315</v>
      </c>
      <c r="B71" s="14" t="s">
        <v>576</v>
      </c>
      <c r="C71" s="14" t="s">
        <v>577</v>
      </c>
      <c r="D71" s="47" t="s">
        <v>578</v>
      </c>
      <c r="E71" s="98" t="s">
        <v>579</v>
      </c>
      <c r="F71" s="99"/>
      <c r="G71" s="99"/>
      <c r="H71" s="100"/>
      <c r="I71" s="4"/>
      <c r="J71" s="4"/>
      <c r="K71" s="4"/>
      <c r="L71" s="4"/>
      <c r="M71" s="4"/>
      <c r="N71" s="4"/>
      <c r="O71" s="4"/>
      <c r="P71" s="4"/>
      <c r="Q71" s="4"/>
      <c r="R71" s="4"/>
      <c r="S71" s="4"/>
      <c r="T71" s="4"/>
      <c r="U71" s="4"/>
      <c r="V71" s="4"/>
      <c r="W71" s="4"/>
      <c r="X71" s="4"/>
      <c r="Y71" s="4"/>
      <c r="Z71" s="4"/>
    </row>
    <row r="72" spans="1:26" ht="15" customHeight="1" x14ac:dyDescent="0.25">
      <c r="A72" s="22" t="s">
        <v>580</v>
      </c>
      <c r="B72" s="24">
        <f>'3_Giả định'!C17</f>
        <v>3970000</v>
      </c>
      <c r="C72" s="30">
        <f>IFERROR(B72*(1-$B$54*$D$57/($D$57-$D$58)),"")</f>
        <v>3713925.5933157294</v>
      </c>
      <c r="D72" s="36">
        <f>IFERROR(C72/B72-1,"")</f>
        <v>-6.4502369441881813E-2</v>
      </c>
      <c r="E72" s="101" t="s">
        <v>581</v>
      </c>
      <c r="F72" s="95"/>
      <c r="G72" s="95"/>
      <c r="H72" s="96"/>
      <c r="I72" s="4"/>
      <c r="J72" s="4"/>
      <c r="K72" s="4"/>
      <c r="L72" s="4"/>
      <c r="M72" s="4"/>
      <c r="N72" s="4"/>
      <c r="O72" s="4"/>
      <c r="P72" s="4"/>
      <c r="Q72" s="4"/>
      <c r="R72" s="4"/>
      <c r="S72" s="4"/>
      <c r="T72" s="4"/>
      <c r="U72" s="4"/>
      <c r="V72" s="4"/>
      <c r="W72" s="4"/>
      <c r="X72" s="4"/>
      <c r="Y72" s="4"/>
      <c r="Z72" s="4"/>
    </row>
    <row r="73" spans="1:26" ht="15" customHeight="1" x14ac:dyDescent="0.25">
      <c r="A73" s="22" t="s">
        <v>160</v>
      </c>
      <c r="B73" s="34">
        <f>'4_Chỉ số mỗi khách'!C7</f>
        <v>0.68773415012594452</v>
      </c>
      <c r="C73" s="55">
        <f>IFERROR(1-('3_Giả định'!C18*(1+$B$54*$D$57/($D$57-$D$59)))/'3_Giả định'!C17,"")</f>
        <v>0.6232317806840626</v>
      </c>
      <c r="D73" s="34">
        <f>IFERROR(C73-B73,"")</f>
        <v>-6.4502369441881924E-2</v>
      </c>
      <c r="E73" s="101" t="s">
        <v>582</v>
      </c>
      <c r="F73" s="95"/>
      <c r="G73" s="95"/>
      <c r="H73" s="96"/>
      <c r="I73" s="4"/>
      <c r="J73" s="4"/>
      <c r="K73" s="4"/>
      <c r="L73" s="4"/>
      <c r="M73" s="4"/>
      <c r="N73" s="4"/>
      <c r="O73" s="4"/>
      <c r="P73" s="4"/>
      <c r="Q73" s="4"/>
      <c r="R73" s="4"/>
      <c r="S73" s="4"/>
      <c r="T73" s="4"/>
      <c r="U73" s="4"/>
      <c r="V73" s="4"/>
      <c r="W73" s="4"/>
      <c r="X73" s="4"/>
      <c r="Y73" s="4"/>
      <c r="Z73" s="4"/>
    </row>
    <row r="74" spans="1:26" ht="15" customHeight="1" x14ac:dyDescent="0.25">
      <c r="A74" s="22" t="s">
        <v>583</v>
      </c>
      <c r="B74" s="24">
        <f>'3_Giả định'!C10</f>
        <v>9000000</v>
      </c>
      <c r="C74" s="30">
        <f>IFERROR(B74*(1+$B$54*$D$57/($D$57-$D$61)),"")</f>
        <v>11097586.539857488</v>
      </c>
      <c r="D74" s="36">
        <f t="shared" ref="D74:D76" si="17">IFERROR(C74/B74-1,"")</f>
        <v>0.23306517109527647</v>
      </c>
      <c r="E74" s="102" t="str">
        <f>IFERROR("Trên mức này là 'nguy'. Tương ứng LTV ÷ CAC = "&amp;ROUND('4_Chỉ số mỗi khách'!C9/C74,1)&amp;", không phải 3","")</f>
        <v>Trên mức này là 'nguy'. Tương ứng LTV ÷ CAC = 8.2, không phải 3</v>
      </c>
      <c r="F74" s="95"/>
      <c r="G74" s="95"/>
      <c r="H74" s="96"/>
      <c r="I74" s="4"/>
      <c r="J74" s="4"/>
      <c r="K74" s="4"/>
      <c r="L74" s="4"/>
      <c r="M74" s="4"/>
      <c r="N74" s="4"/>
      <c r="O74" s="4"/>
      <c r="P74" s="4"/>
      <c r="Q74" s="4"/>
      <c r="R74" s="4"/>
      <c r="S74" s="4"/>
      <c r="T74" s="4"/>
      <c r="U74" s="4"/>
      <c r="V74" s="4"/>
      <c r="W74" s="4"/>
      <c r="X74" s="4"/>
      <c r="Y74" s="4"/>
      <c r="Z74" s="4"/>
    </row>
    <row r="75" spans="1:26" ht="15" customHeight="1" x14ac:dyDescent="0.25">
      <c r="A75" s="22" t="s">
        <v>584</v>
      </c>
      <c r="B75" s="85">
        <f>'3_Giả định'!C7</f>
        <v>12</v>
      </c>
      <c r="C75" s="86">
        <f>IFERROR(B75*(1-$B$54*$D$57/($D$57-$D$62)),"")</f>
        <v>10.116615378125758</v>
      </c>
      <c r="D75" s="36">
        <f t="shared" si="17"/>
        <v>-0.15694871848952019</v>
      </c>
      <c r="E75" s="101" t="s">
        <v>585</v>
      </c>
      <c r="F75" s="95"/>
      <c r="G75" s="95"/>
      <c r="H75" s="96"/>
      <c r="I75" s="4"/>
      <c r="J75" s="4"/>
      <c r="K75" s="4"/>
      <c r="L75" s="4"/>
      <c r="M75" s="4"/>
      <c r="N75" s="4"/>
      <c r="O75" s="4"/>
      <c r="P75" s="4"/>
      <c r="Q75" s="4"/>
      <c r="R75" s="4"/>
      <c r="S75" s="4"/>
      <c r="T75" s="4"/>
      <c r="U75" s="4"/>
      <c r="V75" s="4"/>
      <c r="W75" s="4"/>
      <c r="X75" s="4"/>
      <c r="Y75" s="4"/>
      <c r="Z75" s="4"/>
    </row>
    <row r="76" spans="1:26" ht="15" customHeight="1" x14ac:dyDescent="0.25">
      <c r="A76" s="22" t="s">
        <v>586</v>
      </c>
      <c r="B76" s="24">
        <f>'3_Giả định'!C11</f>
        <v>200000000</v>
      </c>
      <c r="C76" s="30">
        <f>IFERROR(B76*(1+$B$54*$D$57/($D$57-$D$64)),"")</f>
        <v>245357465.29764086</v>
      </c>
      <c r="D76" s="36">
        <f t="shared" si="17"/>
        <v>0.22678732648820432</v>
      </c>
      <c r="E76" s="101" t="s">
        <v>587</v>
      </c>
      <c r="F76" s="95"/>
      <c r="G76" s="95"/>
      <c r="H76" s="96"/>
      <c r="I76" s="4"/>
      <c r="J76" s="4"/>
      <c r="K76" s="4"/>
      <c r="L76" s="4"/>
      <c r="M76" s="4"/>
      <c r="N76" s="4"/>
      <c r="O76" s="4"/>
      <c r="P76" s="4"/>
      <c r="Q76" s="4"/>
      <c r="R76" s="4"/>
      <c r="S76" s="4"/>
      <c r="T76" s="4"/>
      <c r="U76" s="4"/>
      <c r="V76" s="4"/>
      <c r="W76" s="4"/>
      <c r="X76" s="4"/>
      <c r="Y76" s="4"/>
      <c r="Z76" s="4"/>
    </row>
    <row r="77" spans="1:26" ht="15" customHeight="1" x14ac:dyDescent="0.25">
      <c r="A77" s="22" t="s">
        <v>588</v>
      </c>
      <c r="B77" s="34">
        <f>'2_Định giá'!B27</f>
        <v>0</v>
      </c>
      <c r="C77" s="55">
        <f>IFERROR(1-C72/('2_Định giá'!D17*'3_Giả định'!C5),"")</f>
        <v>6.4502369441881813E-2</v>
      </c>
      <c r="D77" s="34">
        <f>IFERROR(C77-B77,"")</f>
        <v>6.4502369441881813E-2</v>
      </c>
      <c r="E77" s="101" t="s">
        <v>589</v>
      </c>
      <c r="F77" s="95"/>
      <c r="G77" s="95"/>
      <c r="H77" s="96"/>
      <c r="I77" s="4"/>
      <c r="J77" s="4"/>
      <c r="K77" s="4"/>
      <c r="L77" s="4"/>
      <c r="M77" s="4"/>
      <c r="N77" s="4"/>
      <c r="O77" s="4"/>
      <c r="P77" s="4"/>
      <c r="Q77" s="4"/>
      <c r="R77" s="4"/>
      <c r="S77" s="4"/>
      <c r="T77" s="4"/>
      <c r="U77" s="4"/>
      <c r="V77" s="4"/>
      <c r="W77" s="4"/>
      <c r="X77" s="4"/>
      <c r="Y77" s="4"/>
      <c r="Z77" s="4"/>
    </row>
    <row r="78" spans="1:26" ht="15" customHeight="1" x14ac:dyDescent="0.25">
      <c r="A78" s="87" t="s">
        <v>590</v>
      </c>
      <c r="B78" s="4"/>
      <c r="C78" s="4"/>
      <c r="D78" s="4"/>
      <c r="E78" s="4"/>
      <c r="F78" s="4"/>
      <c r="G78" s="4"/>
      <c r="H78" s="4"/>
      <c r="I78" s="4"/>
      <c r="J78" s="4"/>
      <c r="K78" s="4"/>
      <c r="L78" s="4"/>
      <c r="M78" s="4"/>
      <c r="N78" s="4"/>
      <c r="O78" s="4"/>
      <c r="P78" s="4"/>
      <c r="Q78" s="4"/>
      <c r="R78" s="4"/>
      <c r="S78" s="4"/>
      <c r="T78" s="4"/>
      <c r="U78" s="4"/>
      <c r="V78" s="4"/>
      <c r="W78" s="4"/>
      <c r="X78" s="4"/>
      <c r="Y78" s="4"/>
      <c r="Z78" s="4"/>
    </row>
    <row r="79" spans="1:26" ht="15" hidden="1" customHeight="1" outlineLevel="1" x14ac:dyDescent="0.25">
      <c r="A79" s="87" t="s">
        <v>591</v>
      </c>
      <c r="B79" s="87" t="s">
        <v>592</v>
      </c>
      <c r="C79" s="87" t="s">
        <v>593</v>
      </c>
      <c r="D79" s="87" t="s">
        <v>594</v>
      </c>
      <c r="E79" s="87" t="s">
        <v>595</v>
      </c>
      <c r="F79" s="87" t="s">
        <v>596</v>
      </c>
      <c r="G79" s="87" t="s">
        <v>597</v>
      </c>
      <c r="H79" s="87" t="s">
        <v>386</v>
      </c>
      <c r="I79" s="87" t="s">
        <v>598</v>
      </c>
      <c r="J79" s="87" t="s">
        <v>599</v>
      </c>
      <c r="K79" s="87" t="s">
        <v>600</v>
      </c>
      <c r="L79" s="4"/>
      <c r="M79" s="4"/>
      <c r="N79" s="4"/>
      <c r="O79" s="4"/>
      <c r="P79" s="4"/>
      <c r="Q79" s="4"/>
      <c r="R79" s="4"/>
      <c r="S79" s="4"/>
      <c r="T79" s="4"/>
      <c r="U79" s="4"/>
      <c r="V79" s="4"/>
      <c r="W79" s="4"/>
      <c r="X79" s="4"/>
      <c r="Y79" s="4"/>
      <c r="Z79" s="4"/>
    </row>
    <row r="80" spans="1:26" ht="15" hidden="1" customHeight="1" outlineLevel="1" x14ac:dyDescent="0.25">
      <c r="A80" s="87" t="s">
        <v>601</v>
      </c>
      <c r="B80" s="88">
        <f>'3_Giả định'!$C$17</f>
        <v>3970000</v>
      </c>
      <c r="C80" s="88">
        <f>'3_Giả định'!$C$18</f>
        <v>1239695.4240000001</v>
      </c>
      <c r="D80" s="89">
        <f>'3_Giả định'!$C$7</f>
        <v>12</v>
      </c>
      <c r="E80" s="90">
        <f>'3_Giả định'!$C$8</f>
        <v>0.05</v>
      </c>
      <c r="F80" s="90">
        <f>'3_Giả định'!$C$9</f>
        <v>0.03</v>
      </c>
      <c r="G80" s="88">
        <f>'3_Giả định'!$C$10</f>
        <v>9000000</v>
      </c>
      <c r="H80" s="88">
        <f>'3_Giả định'!$C$11</f>
        <v>200000000</v>
      </c>
      <c r="I80" s="88">
        <f>'3_Giả định'!$C$12</f>
        <v>900000000</v>
      </c>
      <c r="J80" s="88">
        <f>'3_Giả định'!$C$13</f>
        <v>2500000000</v>
      </c>
      <c r="K80" s="90">
        <f>'3_Giả định'!$C$14</f>
        <v>0.15</v>
      </c>
      <c r="L80" s="4"/>
      <c r="M80" s="4"/>
      <c r="N80" s="4"/>
      <c r="O80" s="4"/>
      <c r="P80" s="4"/>
      <c r="Q80" s="4"/>
      <c r="R80" s="4"/>
      <c r="S80" s="4"/>
      <c r="T80" s="4"/>
      <c r="U80" s="4"/>
      <c r="V80" s="4"/>
      <c r="W80" s="4"/>
      <c r="X80" s="4"/>
      <c r="Y80" s="4"/>
      <c r="Z80" s="4"/>
    </row>
    <row r="81" spans="1:26" ht="15" hidden="1" customHeight="1" outlineLevel="1" x14ac:dyDescent="0.25">
      <c r="A81" s="87" t="s">
        <v>602</v>
      </c>
      <c r="B81" s="88">
        <f>'3_Giả định'!$C$17*(1-$B$54)</f>
        <v>3176000</v>
      </c>
      <c r="C81" s="88">
        <f>'3_Giả định'!$C$18</f>
        <v>1239695.4240000001</v>
      </c>
      <c r="D81" s="89">
        <f>'3_Giả định'!$C$7</f>
        <v>12</v>
      </c>
      <c r="E81" s="90">
        <f>'3_Giả định'!$C$8</f>
        <v>0.05</v>
      </c>
      <c r="F81" s="90">
        <f>'3_Giả định'!$C$9</f>
        <v>0.03</v>
      </c>
      <c r="G81" s="88">
        <f>'3_Giả định'!$C$10</f>
        <v>9000000</v>
      </c>
      <c r="H81" s="88">
        <f>'3_Giả định'!$C$11</f>
        <v>200000000</v>
      </c>
      <c r="I81" s="88">
        <f>'3_Giả định'!$C$12</f>
        <v>900000000</v>
      </c>
      <c r="J81" s="88">
        <f>'3_Giả định'!$C$13</f>
        <v>2500000000</v>
      </c>
      <c r="K81" s="90">
        <f>'3_Giả định'!$C$14</f>
        <v>0.15</v>
      </c>
      <c r="L81" s="4"/>
      <c r="M81" s="4"/>
      <c r="N81" s="4"/>
      <c r="O81" s="4"/>
      <c r="P81" s="4"/>
      <c r="Q81" s="4"/>
      <c r="R81" s="4"/>
      <c r="S81" s="4"/>
      <c r="T81" s="4"/>
      <c r="U81" s="4"/>
      <c r="V81" s="4"/>
      <c r="W81" s="4"/>
      <c r="X81" s="4"/>
      <c r="Y81" s="4"/>
      <c r="Z81" s="4"/>
    </row>
    <row r="82" spans="1:26" ht="15" hidden="1" customHeight="1" outlineLevel="1" x14ac:dyDescent="0.25">
      <c r="A82" s="87" t="s">
        <v>603</v>
      </c>
      <c r="B82" s="88">
        <f>'3_Giả định'!$C$17</f>
        <v>3970000</v>
      </c>
      <c r="C82" s="88">
        <f>'3_Giả định'!$C$18*(1+$B$54)</f>
        <v>1487634.5088000002</v>
      </c>
      <c r="D82" s="89">
        <f>'3_Giả định'!$C$7</f>
        <v>12</v>
      </c>
      <c r="E82" s="90">
        <f>'3_Giả định'!$C$8</f>
        <v>0.05</v>
      </c>
      <c r="F82" s="90">
        <f>'3_Giả định'!$C$9</f>
        <v>0.03</v>
      </c>
      <c r="G82" s="88">
        <f>'3_Giả định'!$C$10</f>
        <v>9000000</v>
      </c>
      <c r="H82" s="88">
        <f>'3_Giả định'!$C$11</f>
        <v>200000000</v>
      </c>
      <c r="I82" s="88">
        <f>'3_Giả định'!$C$12</f>
        <v>900000000</v>
      </c>
      <c r="J82" s="88">
        <f>'3_Giả định'!$C$13</f>
        <v>2500000000</v>
      </c>
      <c r="K82" s="90">
        <f>'3_Giả định'!$C$14</f>
        <v>0.15</v>
      </c>
      <c r="L82" s="4"/>
      <c r="M82" s="4"/>
      <c r="N82" s="4"/>
      <c r="O82" s="4"/>
      <c r="P82" s="4"/>
      <c r="Q82" s="4"/>
      <c r="R82" s="4"/>
      <c r="S82" s="4"/>
      <c r="T82" s="4"/>
      <c r="U82" s="4"/>
      <c r="V82" s="4"/>
      <c r="W82" s="4"/>
      <c r="X82" s="4"/>
      <c r="Y82" s="4"/>
      <c r="Z82" s="4"/>
    </row>
    <row r="83" spans="1:26" ht="15" hidden="1" customHeight="1" outlineLevel="1" x14ac:dyDescent="0.25">
      <c r="A83" s="87" t="s">
        <v>604</v>
      </c>
      <c r="B83" s="88">
        <f>'3_Giả định'!$C$17</f>
        <v>3970000</v>
      </c>
      <c r="C83" s="88">
        <f>'3_Giả định'!$C$18</f>
        <v>1239695.4240000001</v>
      </c>
      <c r="D83" s="89">
        <f>'3_Giả định'!$C$7</f>
        <v>12</v>
      </c>
      <c r="E83" s="90">
        <f>'3_Giả định'!$C$8</f>
        <v>0.05</v>
      </c>
      <c r="F83" s="90">
        <f>'3_Giả định'!$C$9*(1+$B$54)</f>
        <v>3.5999999999999997E-2</v>
      </c>
      <c r="G83" s="88">
        <f>'3_Giả định'!$C$10</f>
        <v>9000000</v>
      </c>
      <c r="H83" s="88">
        <f>'3_Giả định'!$C$11</f>
        <v>200000000</v>
      </c>
      <c r="I83" s="88">
        <f>'3_Giả định'!$C$12</f>
        <v>900000000</v>
      </c>
      <c r="J83" s="88">
        <f>'3_Giả định'!$C$13</f>
        <v>2500000000</v>
      </c>
      <c r="K83" s="90">
        <f>'3_Giả định'!$C$14</f>
        <v>0.15</v>
      </c>
      <c r="L83" s="4"/>
      <c r="M83" s="4"/>
      <c r="N83" s="4"/>
      <c r="O83" s="4"/>
      <c r="P83" s="4"/>
      <c r="Q83" s="4"/>
      <c r="R83" s="4"/>
      <c r="S83" s="4"/>
      <c r="T83" s="4"/>
      <c r="U83" s="4"/>
      <c r="V83" s="4"/>
      <c r="W83" s="4"/>
      <c r="X83" s="4"/>
      <c r="Y83" s="4"/>
      <c r="Z83" s="4"/>
    </row>
    <row r="84" spans="1:26" ht="15" hidden="1" customHeight="1" outlineLevel="1" x14ac:dyDescent="0.25">
      <c r="A84" s="87" t="s">
        <v>605</v>
      </c>
      <c r="B84" s="88">
        <f>'3_Giả định'!$C$17</f>
        <v>3970000</v>
      </c>
      <c r="C84" s="88">
        <f>'3_Giả định'!$C$18</f>
        <v>1239695.4240000001</v>
      </c>
      <c r="D84" s="89">
        <f>'3_Giả định'!$C$7</f>
        <v>12</v>
      </c>
      <c r="E84" s="90">
        <f>'3_Giả định'!$C$8</f>
        <v>0.05</v>
      </c>
      <c r="F84" s="90">
        <f>'3_Giả định'!$C$9</f>
        <v>0.03</v>
      </c>
      <c r="G84" s="88">
        <f>'3_Giả định'!$C$10*(1+$B$54)</f>
        <v>10800000</v>
      </c>
      <c r="H84" s="88">
        <f>'3_Giả định'!$C$11</f>
        <v>200000000</v>
      </c>
      <c r="I84" s="88">
        <f>'3_Giả định'!$C$12</f>
        <v>900000000</v>
      </c>
      <c r="J84" s="88">
        <f>'3_Giả định'!$C$13</f>
        <v>2500000000</v>
      </c>
      <c r="K84" s="90">
        <f>'3_Giả định'!$C$14</f>
        <v>0.15</v>
      </c>
      <c r="L84" s="4"/>
      <c r="M84" s="4"/>
      <c r="N84" s="4"/>
      <c r="O84" s="4"/>
      <c r="P84" s="4"/>
      <c r="Q84" s="4"/>
      <c r="R84" s="4"/>
      <c r="S84" s="4"/>
      <c r="T84" s="4"/>
      <c r="U84" s="4"/>
      <c r="V84" s="4"/>
      <c r="W84" s="4"/>
      <c r="X84" s="4"/>
      <c r="Y84" s="4"/>
      <c r="Z84" s="4"/>
    </row>
    <row r="85" spans="1:26" ht="15" hidden="1" customHeight="1" outlineLevel="1" x14ac:dyDescent="0.25">
      <c r="A85" s="87" t="s">
        <v>606</v>
      </c>
      <c r="B85" s="88">
        <f>'3_Giả định'!$C$17</f>
        <v>3970000</v>
      </c>
      <c r="C85" s="88">
        <f>'3_Giả định'!$C$18</f>
        <v>1239695.4240000001</v>
      </c>
      <c r="D85" s="89">
        <f>'3_Giả định'!$C$7*(1-$B$54)</f>
        <v>9.6000000000000014</v>
      </c>
      <c r="E85" s="90">
        <f>'3_Giả định'!$C$8</f>
        <v>0.05</v>
      </c>
      <c r="F85" s="90">
        <f>'3_Giả định'!$C$9</f>
        <v>0.03</v>
      </c>
      <c r="G85" s="88">
        <f>'3_Giả định'!$C$10</f>
        <v>9000000</v>
      </c>
      <c r="H85" s="88">
        <f>'3_Giả định'!$C$11</f>
        <v>200000000</v>
      </c>
      <c r="I85" s="88">
        <f>'3_Giả định'!$C$12</f>
        <v>900000000</v>
      </c>
      <c r="J85" s="88">
        <f>'3_Giả định'!$C$13</f>
        <v>2500000000</v>
      </c>
      <c r="K85" s="90">
        <f>'3_Giả định'!$C$14</f>
        <v>0.15</v>
      </c>
      <c r="L85" s="4"/>
      <c r="M85" s="4"/>
      <c r="N85" s="4"/>
      <c r="O85" s="4"/>
      <c r="P85" s="4"/>
      <c r="Q85" s="4"/>
      <c r="R85" s="4"/>
      <c r="S85" s="4"/>
      <c r="T85" s="4"/>
      <c r="U85" s="4"/>
      <c r="V85" s="4"/>
      <c r="W85" s="4"/>
      <c r="X85" s="4"/>
      <c r="Y85" s="4"/>
      <c r="Z85" s="4"/>
    </row>
    <row r="86" spans="1:26" ht="15" hidden="1" customHeight="1" outlineLevel="1" x14ac:dyDescent="0.25">
      <c r="A86" s="87" t="s">
        <v>607</v>
      </c>
      <c r="B86" s="88">
        <f>'3_Giả định'!$C$17</f>
        <v>3970000</v>
      </c>
      <c r="C86" s="88">
        <f>'3_Giả định'!$C$18</f>
        <v>1239695.4240000001</v>
      </c>
      <c r="D86" s="89">
        <f>'3_Giả định'!$C$7</f>
        <v>12</v>
      </c>
      <c r="E86" s="90">
        <f>'3_Giả định'!$C$8*(1-$B$54)</f>
        <v>4.0000000000000008E-2</v>
      </c>
      <c r="F86" s="90">
        <f>'3_Giả định'!$C$9</f>
        <v>0.03</v>
      </c>
      <c r="G86" s="88">
        <f>'3_Giả định'!$C$10</f>
        <v>9000000</v>
      </c>
      <c r="H86" s="88">
        <f>'3_Giả định'!$C$11</f>
        <v>200000000</v>
      </c>
      <c r="I86" s="88">
        <f>'3_Giả định'!$C$12</f>
        <v>900000000</v>
      </c>
      <c r="J86" s="88">
        <f>'3_Giả định'!$C$13</f>
        <v>2500000000</v>
      </c>
      <c r="K86" s="90">
        <f>'3_Giả định'!$C$14</f>
        <v>0.15</v>
      </c>
      <c r="L86" s="4"/>
      <c r="M86" s="4"/>
      <c r="N86" s="4"/>
      <c r="O86" s="4"/>
      <c r="P86" s="4"/>
      <c r="Q86" s="4"/>
      <c r="R86" s="4"/>
      <c r="S86" s="4"/>
      <c r="T86" s="4"/>
      <c r="U86" s="4"/>
      <c r="V86" s="4"/>
      <c r="W86" s="4"/>
      <c r="X86" s="4"/>
      <c r="Y86" s="4"/>
      <c r="Z86" s="4"/>
    </row>
    <row r="87" spans="1:26" ht="15" hidden="1" customHeight="1" outlineLevel="1" x14ac:dyDescent="0.25">
      <c r="A87" s="87" t="s">
        <v>608</v>
      </c>
      <c r="B87" s="88">
        <f>'3_Giả định'!$C$17</f>
        <v>3970000</v>
      </c>
      <c r="C87" s="88">
        <f>'3_Giả định'!$C$18</f>
        <v>1239695.4240000001</v>
      </c>
      <c r="D87" s="89">
        <f>'3_Giả định'!$C$7</f>
        <v>12</v>
      </c>
      <c r="E87" s="90">
        <f>'3_Giả định'!$C$8</f>
        <v>0.05</v>
      </c>
      <c r="F87" s="90">
        <f>'3_Giả định'!$C$9</f>
        <v>0.03</v>
      </c>
      <c r="G87" s="88">
        <f>'3_Giả định'!$C$10</f>
        <v>9000000</v>
      </c>
      <c r="H87" s="88">
        <f>'3_Giả định'!$C$11*(1+$B$54)</f>
        <v>240000000</v>
      </c>
      <c r="I87" s="88">
        <f>'3_Giả định'!$C$12</f>
        <v>900000000</v>
      </c>
      <c r="J87" s="88">
        <f>'3_Giả định'!$C$13</f>
        <v>2500000000</v>
      </c>
      <c r="K87" s="90">
        <f>'3_Giả định'!$C$14</f>
        <v>0.15</v>
      </c>
      <c r="L87" s="4"/>
      <c r="M87" s="4"/>
      <c r="N87" s="4"/>
      <c r="O87" s="4"/>
      <c r="P87" s="4"/>
      <c r="Q87" s="4"/>
      <c r="R87" s="4"/>
      <c r="S87" s="4"/>
      <c r="T87" s="4"/>
      <c r="U87" s="4"/>
      <c r="V87" s="4"/>
      <c r="W87" s="4"/>
      <c r="X87" s="4"/>
      <c r="Y87" s="4"/>
      <c r="Z87" s="4"/>
    </row>
    <row r="88" spans="1:26" ht="15" hidden="1" customHeight="1" outlineLevel="1" x14ac:dyDescent="0.25">
      <c r="A88" s="87" t="s">
        <v>609</v>
      </c>
      <c r="B88" s="88">
        <f>'2_Định giá'!$D$15*'3_Giả định'!$C$5*(1-'2_Định giá'!$B$27)</f>
        <v>1990000</v>
      </c>
      <c r="C88" s="88">
        <f>'2_Định giá'!$E$15*'3_Giả định'!$C$6</f>
        <v>563497.92000000004</v>
      </c>
      <c r="D88" s="89">
        <f>'3_Giả định'!$C$7</f>
        <v>12</v>
      </c>
      <c r="E88" s="90">
        <f>'3_Giả định'!$C$8</f>
        <v>0.05</v>
      </c>
      <c r="F88" s="90">
        <f>'3_Giả định'!$C$9</f>
        <v>0.03</v>
      </c>
      <c r="G88" s="88">
        <f>'3_Giả định'!$C$10</f>
        <v>9000000</v>
      </c>
      <c r="H88" s="88">
        <f>'3_Giả định'!$C$11</f>
        <v>200000000</v>
      </c>
      <c r="I88" s="88">
        <f>'3_Giả định'!$C$12</f>
        <v>900000000</v>
      </c>
      <c r="J88" s="88">
        <f>'3_Giả định'!$C$13</f>
        <v>2500000000</v>
      </c>
      <c r="K88" s="90">
        <f>'3_Giả định'!$C$14</f>
        <v>0.15</v>
      </c>
      <c r="L88" s="4"/>
      <c r="M88" s="4"/>
      <c r="N88" s="4"/>
      <c r="O88" s="4"/>
      <c r="P88" s="4"/>
      <c r="Q88" s="4"/>
      <c r="R88" s="4"/>
      <c r="S88" s="4"/>
      <c r="T88" s="4"/>
      <c r="U88" s="4"/>
      <c r="V88" s="4"/>
      <c r="W88" s="4"/>
      <c r="X88" s="4"/>
      <c r="Y88" s="4"/>
      <c r="Z88" s="4"/>
    </row>
    <row r="89" spans="1:26" ht="15" hidden="1" customHeight="1" outlineLevel="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 hidden="1" customHeight="1" outlineLevel="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 hidden="1" customHeight="1" outlineLevel="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 hidden="1" customHeight="1" outlineLevel="1" x14ac:dyDescent="0.25">
      <c r="A92" s="87" t="s">
        <v>610</v>
      </c>
      <c r="B92" s="4"/>
      <c r="C92" s="89">
        <f>$D$80*(1+$E$80)^0</f>
        <v>12</v>
      </c>
      <c r="D92" s="89">
        <f>$D$80*(1+$E$80)^1</f>
        <v>12.600000000000001</v>
      </c>
      <c r="E92" s="89">
        <f>$D$80*(1+$E$80)^2</f>
        <v>13.23</v>
      </c>
      <c r="F92" s="89">
        <f>$D$80*(1+$E$80)^3</f>
        <v>13.891500000000001</v>
      </c>
      <c r="G92" s="89">
        <f>$D$80*(1+$E$80)^4</f>
        <v>14.586075000000001</v>
      </c>
      <c r="H92" s="89">
        <f>$D$80*(1+$E$80)^5</f>
        <v>15.315378750000001</v>
      </c>
      <c r="I92" s="89">
        <f>$D$80*(1+$E$80)^6</f>
        <v>16.0811476875</v>
      </c>
      <c r="J92" s="89">
        <f>$D$80*(1+$E$80)^7</f>
        <v>16.885205071875003</v>
      </c>
      <c r="K92" s="89">
        <f>$D$80*(1+$E$80)^8</f>
        <v>17.729465325468752</v>
      </c>
      <c r="L92" s="89">
        <f>$D$80*(1+$E$80)^9</f>
        <v>18.615938591742189</v>
      </c>
      <c r="M92" s="89">
        <f>$D$80*(1+$E$80)^10</f>
        <v>19.5467355213293</v>
      </c>
      <c r="N92" s="89">
        <f>$D$80*(1+$E$80)^11</f>
        <v>20.524072297395765</v>
      </c>
      <c r="O92" s="89">
        <f>$D$80*(1+$E$80)^12</f>
        <v>21.550275912265551</v>
      </c>
      <c r="P92" s="89">
        <f>$D$80*(1+$E$80)^13</f>
        <v>22.627789707878833</v>
      </c>
      <c r="Q92" s="89">
        <f>$D$80*(1+$E$80)^14</f>
        <v>23.759179193272768</v>
      </c>
      <c r="R92" s="89">
        <f>$D$80*(1+$E$80)^15</f>
        <v>24.947138152936414</v>
      </c>
      <c r="S92" s="89">
        <f>$D$80*(1+$E$80)^16</f>
        <v>26.194495060583233</v>
      </c>
      <c r="T92" s="89">
        <f>$D$80*(1+$E$80)^17</f>
        <v>27.504219813612398</v>
      </c>
      <c r="U92" s="89">
        <f>$D$80*(1+$E$80)^18</f>
        <v>28.879430804293015</v>
      </c>
      <c r="V92" s="89">
        <f>$D$80*(1+$E$80)^19</f>
        <v>30.32340234450767</v>
      </c>
      <c r="W92" s="89">
        <f>$D$80*(1+$E$80)^20</f>
        <v>31.839572461733049</v>
      </c>
      <c r="X92" s="89">
        <f>$D$80*(1+$E$80)^21</f>
        <v>33.431551084819702</v>
      </c>
      <c r="Y92" s="89">
        <f>$D$80*(1+$E$80)^22</f>
        <v>35.103128639060685</v>
      </c>
      <c r="Z92" s="89">
        <f>$D$80*(1+$E$80)^23</f>
        <v>36.858285071013725</v>
      </c>
    </row>
    <row r="93" spans="1:26" ht="15" hidden="1" customHeight="1" outlineLevel="1" x14ac:dyDescent="0.25">
      <c r="A93" s="87" t="s">
        <v>611</v>
      </c>
      <c r="B93" s="87">
        <v>0</v>
      </c>
      <c r="C93" s="89">
        <f t="shared" ref="C93:Z93" si="18">B93*(1-$F$80)+C92</f>
        <v>12</v>
      </c>
      <c r="D93" s="89">
        <f t="shared" si="18"/>
        <v>24.240000000000002</v>
      </c>
      <c r="E93" s="89">
        <f t="shared" si="18"/>
        <v>36.742800000000003</v>
      </c>
      <c r="F93" s="89">
        <f t="shared" si="18"/>
        <v>49.532015999999999</v>
      </c>
      <c r="G93" s="89">
        <f t="shared" si="18"/>
        <v>62.632130519999997</v>
      </c>
      <c r="H93" s="89">
        <f t="shared" si="18"/>
        <v>76.068545354399987</v>
      </c>
      <c r="I93" s="89">
        <f t="shared" si="18"/>
        <v>89.867636681267982</v>
      </c>
      <c r="J93" s="89">
        <f t="shared" si="18"/>
        <v>104.05681265270495</v>
      </c>
      <c r="K93" s="89">
        <f t="shared" si="18"/>
        <v>118.66457359859255</v>
      </c>
      <c r="L93" s="89">
        <f t="shared" si="18"/>
        <v>133.72057498237697</v>
      </c>
      <c r="M93" s="89">
        <f t="shared" si="18"/>
        <v>149.25569325423498</v>
      </c>
      <c r="N93" s="89">
        <f t="shared" si="18"/>
        <v>165.30209475400372</v>
      </c>
      <c r="O93" s="89">
        <f t="shared" si="18"/>
        <v>181.89330782364917</v>
      </c>
      <c r="P93" s="89">
        <f t="shared" si="18"/>
        <v>199.06429829681852</v>
      </c>
      <c r="Q93" s="89">
        <f t="shared" si="18"/>
        <v>216.85154854118673</v>
      </c>
      <c r="R93" s="89">
        <f t="shared" si="18"/>
        <v>235.29314023788754</v>
      </c>
      <c r="S93" s="89">
        <f t="shared" si="18"/>
        <v>254.42884109133414</v>
      </c>
      <c r="T93" s="89">
        <f t="shared" si="18"/>
        <v>274.30019567220648</v>
      </c>
      <c r="U93" s="89">
        <f t="shared" si="18"/>
        <v>294.9506206063333</v>
      </c>
      <c r="V93" s="89">
        <f t="shared" si="18"/>
        <v>316.42550433265097</v>
      </c>
      <c r="W93" s="89">
        <f t="shared" si="18"/>
        <v>338.77231166440447</v>
      </c>
      <c r="X93" s="89">
        <f t="shared" si="18"/>
        <v>362.04069339929202</v>
      </c>
      <c r="Y93" s="89">
        <f t="shared" si="18"/>
        <v>386.28260123637392</v>
      </c>
      <c r="Z93" s="89">
        <f t="shared" si="18"/>
        <v>411.55240827029638</v>
      </c>
    </row>
    <row r="94" spans="1:26" ht="15" hidden="1" customHeight="1" outlineLevel="1" x14ac:dyDescent="0.25">
      <c r="A94" s="87" t="s">
        <v>612</v>
      </c>
      <c r="B94" s="88">
        <f>-$I$80</f>
        <v>-900000000</v>
      </c>
      <c r="C94" s="88">
        <f t="shared" ref="C94:Z94" si="19">C93*($B$80-$C$80)-C92*$G$80-$H$80</f>
        <v>-275236345.088</v>
      </c>
      <c r="D94" s="88">
        <f t="shared" si="19"/>
        <v>-247217417.07776001</v>
      </c>
      <c r="E94" s="88">
        <f t="shared" si="19"/>
        <v>-218750965.0249472</v>
      </c>
      <c r="F94" s="88">
        <f t="shared" si="19"/>
        <v>-189786010.05669481</v>
      </c>
      <c r="G94" s="88">
        <f t="shared" si="19"/>
        <v>-160269882.43661475</v>
      </c>
      <c r="H94" s="88">
        <f t="shared" si="19"/>
        <v>-130148111.2792182</v>
      </c>
      <c r="I94" s="88">
        <f t="shared" si="19"/>
        <v>-99364309.522328585</v>
      </c>
      <c r="J94" s="88">
        <f t="shared" si="19"/>
        <v>-67860053.897220016</v>
      </c>
      <c r="K94" s="88">
        <f t="shared" si="19"/>
        <v>-35574759.623892725</v>
      </c>
      <c r="L94" s="88">
        <f t="shared" si="19"/>
        <v>-2445549.5459447205</v>
      </c>
      <c r="M94" s="88">
        <f t="shared" si="19"/>
        <v>31592882.594126374</v>
      </c>
      <c r="N94" s="88">
        <f t="shared" si="19"/>
        <v>66608415.052680016</v>
      </c>
      <c r="O94" s="88">
        <f t="shared" si="19"/>
        <v>102671647.4842959</v>
      </c>
      <c r="P94" s="88">
        <f t="shared" si="19"/>
        <v>139856057.18712318</v>
      </c>
      <c r="Q94" s="88">
        <f t="shared" si="19"/>
        <v>178238162.5552333</v>
      </c>
      <c r="R94" s="88">
        <f t="shared" si="19"/>
        <v>217897694.11648631</v>
      </c>
      <c r="S94" s="88">
        <f t="shared" si="19"/>
        <v>258917773.55279732</v>
      </c>
      <c r="T94" s="88">
        <f t="shared" si="19"/>
        <v>301385101.11900914</v>
      </c>
      <c r="U94" s="88">
        <f t="shared" si="19"/>
        <v>345390151.89687443</v>
      </c>
      <c r="V94" s="88">
        <f t="shared" si="19"/>
        <v>391027381.34197569</v>
      </c>
      <c r="W94" s="88">
        <f t="shared" si="19"/>
        <v>438395440.60382426</v>
      </c>
      <c r="X94" s="88">
        <f t="shared" si="19"/>
        <v>487597402.12292266</v>
      </c>
      <c r="Y94" s="88">
        <f t="shared" si="19"/>
        <v>538740996.03330874</v>
      </c>
      <c r="Z94" s="88">
        <f t="shared" si="19"/>
        <v>591938857.92508698</v>
      </c>
    </row>
    <row r="95" spans="1:26" ht="15" hidden="1" customHeight="1" outlineLevel="1" x14ac:dyDescent="0.25">
      <c r="A95" s="87" t="s">
        <v>613</v>
      </c>
      <c r="B95" s="88">
        <f>$J$80+B94</f>
        <v>1600000000</v>
      </c>
      <c r="C95" s="88">
        <f t="shared" ref="C95:Z95" si="20">B95+C94</f>
        <v>1324763654.9119999</v>
      </c>
      <c r="D95" s="88">
        <f t="shared" si="20"/>
        <v>1077546237.83424</v>
      </c>
      <c r="E95" s="88">
        <f t="shared" si="20"/>
        <v>858795272.80929279</v>
      </c>
      <c r="F95" s="88">
        <f t="shared" si="20"/>
        <v>669009262.75259805</v>
      </c>
      <c r="G95" s="88">
        <f t="shared" si="20"/>
        <v>508739380.3159833</v>
      </c>
      <c r="H95" s="88">
        <f t="shared" si="20"/>
        <v>378591269.0367651</v>
      </c>
      <c r="I95" s="88">
        <f t="shared" si="20"/>
        <v>279226959.51443648</v>
      </c>
      <c r="J95" s="88">
        <f t="shared" si="20"/>
        <v>211366905.61721647</v>
      </c>
      <c r="K95" s="88">
        <f t="shared" si="20"/>
        <v>175792145.99332374</v>
      </c>
      <c r="L95" s="88">
        <f t="shared" si="20"/>
        <v>173346596.44737902</v>
      </c>
      <c r="M95" s="88">
        <f t="shared" si="20"/>
        <v>204939479.0415054</v>
      </c>
      <c r="N95" s="88">
        <f t="shared" si="20"/>
        <v>271547894.09418541</v>
      </c>
      <c r="O95" s="88">
        <f t="shared" si="20"/>
        <v>374219541.57848132</v>
      </c>
      <c r="P95" s="88">
        <f t="shared" si="20"/>
        <v>514075598.7656045</v>
      </c>
      <c r="Q95" s="88">
        <f t="shared" si="20"/>
        <v>692313761.32083774</v>
      </c>
      <c r="R95" s="88">
        <f t="shared" si="20"/>
        <v>910211455.43732405</v>
      </c>
      <c r="S95" s="88">
        <f t="shared" si="20"/>
        <v>1169129228.9901214</v>
      </c>
      <c r="T95" s="88">
        <f t="shared" si="20"/>
        <v>1470514330.1091304</v>
      </c>
      <c r="U95" s="88">
        <f t="shared" si="20"/>
        <v>1815904482.0060048</v>
      </c>
      <c r="V95" s="88">
        <f t="shared" si="20"/>
        <v>2206931863.3479805</v>
      </c>
      <c r="W95" s="88">
        <f t="shared" si="20"/>
        <v>2645327303.9518046</v>
      </c>
      <c r="X95" s="88">
        <f t="shared" si="20"/>
        <v>3132924706.0747271</v>
      </c>
      <c r="Y95" s="88">
        <f t="shared" si="20"/>
        <v>3671665702.108036</v>
      </c>
      <c r="Z95" s="88">
        <f t="shared" si="20"/>
        <v>4263604560.033123</v>
      </c>
    </row>
    <row r="96" spans="1:26" ht="15" hidden="1" customHeight="1" outlineLevel="1" x14ac:dyDescent="0.25">
      <c r="A96" s="87" t="s">
        <v>614</v>
      </c>
      <c r="B96" s="88">
        <f>B94</f>
        <v>-900000000</v>
      </c>
      <c r="C96" s="88">
        <f t="shared" ref="C96:Z96" si="21">B96+C94</f>
        <v>-1175236345.0880001</v>
      </c>
      <c r="D96" s="88">
        <f t="shared" si="21"/>
        <v>-1422453762.16576</v>
      </c>
      <c r="E96" s="88">
        <f t="shared" si="21"/>
        <v>-1641204727.1907072</v>
      </c>
      <c r="F96" s="88">
        <f t="shared" si="21"/>
        <v>-1830990737.247402</v>
      </c>
      <c r="G96" s="88">
        <f t="shared" si="21"/>
        <v>-1991260619.6840167</v>
      </c>
      <c r="H96" s="88">
        <f t="shared" si="21"/>
        <v>-2121408730.9632349</v>
      </c>
      <c r="I96" s="88">
        <f t="shared" si="21"/>
        <v>-2220773040.4855633</v>
      </c>
      <c r="J96" s="88">
        <f t="shared" si="21"/>
        <v>-2288633094.3827834</v>
      </c>
      <c r="K96" s="88">
        <f t="shared" si="21"/>
        <v>-2324207854.0066762</v>
      </c>
      <c r="L96" s="88">
        <f t="shared" si="21"/>
        <v>-2326653403.5526209</v>
      </c>
      <c r="M96" s="88">
        <f t="shared" si="21"/>
        <v>-2295060520.9584947</v>
      </c>
      <c r="N96" s="88">
        <f t="shared" si="21"/>
        <v>-2228452105.9058146</v>
      </c>
      <c r="O96" s="88">
        <f t="shared" si="21"/>
        <v>-2125780458.4215188</v>
      </c>
      <c r="P96" s="88">
        <f t="shared" si="21"/>
        <v>-1985924401.2343955</v>
      </c>
      <c r="Q96" s="88">
        <f t="shared" si="21"/>
        <v>-1807686238.6791623</v>
      </c>
      <c r="R96" s="88">
        <f t="shared" si="21"/>
        <v>-1589788544.562676</v>
      </c>
      <c r="S96" s="88">
        <f t="shared" si="21"/>
        <v>-1330870771.0098786</v>
      </c>
      <c r="T96" s="88">
        <f t="shared" si="21"/>
        <v>-1029485669.8908695</v>
      </c>
      <c r="U96" s="88">
        <f t="shared" si="21"/>
        <v>-684095517.99399507</v>
      </c>
      <c r="V96" s="88">
        <f t="shared" si="21"/>
        <v>-293068136.65201938</v>
      </c>
      <c r="W96" s="88">
        <f t="shared" si="21"/>
        <v>145327303.95180488</v>
      </c>
      <c r="X96" s="88">
        <f t="shared" si="21"/>
        <v>632924706.07472754</v>
      </c>
      <c r="Y96" s="88">
        <f t="shared" si="21"/>
        <v>1171665702.1080363</v>
      </c>
      <c r="Z96" s="88">
        <f t="shared" si="21"/>
        <v>1763604560.0331233</v>
      </c>
    </row>
    <row r="97" spans="1:26" ht="15" hidden="1" customHeight="1" outlineLevel="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 hidden="1" customHeight="1" outlineLevel="1" x14ac:dyDescent="0.25">
      <c r="A98" s="87" t="s">
        <v>615</v>
      </c>
      <c r="B98" s="4"/>
      <c r="C98" s="89">
        <f>$D$81*(1+$E$81)^0</f>
        <v>12</v>
      </c>
      <c r="D98" s="89">
        <f>$D$81*(1+$E$81)^1</f>
        <v>12.600000000000001</v>
      </c>
      <c r="E98" s="89">
        <f>$D$81*(1+$E$81)^2</f>
        <v>13.23</v>
      </c>
      <c r="F98" s="89">
        <f>$D$81*(1+$E$81)^3</f>
        <v>13.891500000000001</v>
      </c>
      <c r="G98" s="89">
        <f>$D$81*(1+$E$81)^4</f>
        <v>14.586075000000001</v>
      </c>
      <c r="H98" s="89">
        <f>$D$81*(1+$E$81)^5</f>
        <v>15.315378750000001</v>
      </c>
      <c r="I98" s="89">
        <f>$D$81*(1+$E$81)^6</f>
        <v>16.0811476875</v>
      </c>
      <c r="J98" s="89">
        <f>$D$81*(1+$E$81)^7</f>
        <v>16.885205071875003</v>
      </c>
      <c r="K98" s="89">
        <f>$D$81*(1+$E$81)^8</f>
        <v>17.729465325468752</v>
      </c>
      <c r="L98" s="89">
        <f>$D$81*(1+$E$81)^9</f>
        <v>18.615938591742189</v>
      </c>
      <c r="M98" s="89">
        <f>$D$81*(1+$E$81)^10</f>
        <v>19.5467355213293</v>
      </c>
      <c r="N98" s="89">
        <f>$D$81*(1+$E$81)^11</f>
        <v>20.524072297395765</v>
      </c>
      <c r="O98" s="89">
        <f>$D$81*(1+$E$81)^12</f>
        <v>21.550275912265551</v>
      </c>
      <c r="P98" s="89">
        <f>$D$81*(1+$E$81)^13</f>
        <v>22.627789707878833</v>
      </c>
      <c r="Q98" s="89">
        <f>$D$81*(1+$E$81)^14</f>
        <v>23.759179193272768</v>
      </c>
      <c r="R98" s="89">
        <f>$D$81*(1+$E$81)^15</f>
        <v>24.947138152936414</v>
      </c>
      <c r="S98" s="89">
        <f>$D$81*(1+$E$81)^16</f>
        <v>26.194495060583233</v>
      </c>
      <c r="T98" s="89">
        <f>$D$81*(1+$E$81)^17</f>
        <v>27.504219813612398</v>
      </c>
      <c r="U98" s="89">
        <f>$D$81*(1+$E$81)^18</f>
        <v>28.879430804293015</v>
      </c>
      <c r="V98" s="89">
        <f>$D$81*(1+$E$81)^19</f>
        <v>30.32340234450767</v>
      </c>
      <c r="W98" s="89">
        <f>$D$81*(1+$E$81)^20</f>
        <v>31.839572461733049</v>
      </c>
      <c r="X98" s="89">
        <f>$D$81*(1+$E$81)^21</f>
        <v>33.431551084819702</v>
      </c>
      <c r="Y98" s="89">
        <f>$D$81*(1+$E$81)^22</f>
        <v>35.103128639060685</v>
      </c>
      <c r="Z98" s="89">
        <f>$D$81*(1+$E$81)^23</f>
        <v>36.858285071013725</v>
      </c>
    </row>
    <row r="99" spans="1:26" ht="15" hidden="1" customHeight="1" outlineLevel="1" x14ac:dyDescent="0.25">
      <c r="A99" s="87" t="s">
        <v>616</v>
      </c>
      <c r="B99" s="87">
        <v>0</v>
      </c>
      <c r="C99" s="89">
        <f t="shared" ref="C99:Z99" si="22">B99*(1-$F$81)+C98</f>
        <v>12</v>
      </c>
      <c r="D99" s="89">
        <f t="shared" si="22"/>
        <v>24.240000000000002</v>
      </c>
      <c r="E99" s="89">
        <f t="shared" si="22"/>
        <v>36.742800000000003</v>
      </c>
      <c r="F99" s="89">
        <f t="shared" si="22"/>
        <v>49.532015999999999</v>
      </c>
      <c r="G99" s="89">
        <f t="shared" si="22"/>
        <v>62.632130519999997</v>
      </c>
      <c r="H99" s="89">
        <f t="shared" si="22"/>
        <v>76.068545354399987</v>
      </c>
      <c r="I99" s="89">
        <f t="shared" si="22"/>
        <v>89.867636681267982</v>
      </c>
      <c r="J99" s="89">
        <f t="shared" si="22"/>
        <v>104.05681265270495</v>
      </c>
      <c r="K99" s="89">
        <f t="shared" si="22"/>
        <v>118.66457359859255</v>
      </c>
      <c r="L99" s="89">
        <f t="shared" si="22"/>
        <v>133.72057498237697</v>
      </c>
      <c r="M99" s="89">
        <f t="shared" si="22"/>
        <v>149.25569325423498</v>
      </c>
      <c r="N99" s="89">
        <f t="shared" si="22"/>
        <v>165.30209475400372</v>
      </c>
      <c r="O99" s="89">
        <f t="shared" si="22"/>
        <v>181.89330782364917</v>
      </c>
      <c r="P99" s="89">
        <f t="shared" si="22"/>
        <v>199.06429829681852</v>
      </c>
      <c r="Q99" s="89">
        <f t="shared" si="22"/>
        <v>216.85154854118673</v>
      </c>
      <c r="R99" s="89">
        <f t="shared" si="22"/>
        <v>235.29314023788754</v>
      </c>
      <c r="S99" s="89">
        <f t="shared" si="22"/>
        <v>254.42884109133414</v>
      </c>
      <c r="T99" s="89">
        <f t="shared" si="22"/>
        <v>274.30019567220648</v>
      </c>
      <c r="U99" s="89">
        <f t="shared" si="22"/>
        <v>294.9506206063333</v>
      </c>
      <c r="V99" s="89">
        <f t="shared" si="22"/>
        <v>316.42550433265097</v>
      </c>
      <c r="W99" s="89">
        <f t="shared" si="22"/>
        <v>338.77231166440447</v>
      </c>
      <c r="X99" s="89">
        <f t="shared" si="22"/>
        <v>362.04069339929202</v>
      </c>
      <c r="Y99" s="89">
        <f t="shared" si="22"/>
        <v>386.28260123637392</v>
      </c>
      <c r="Z99" s="89">
        <f t="shared" si="22"/>
        <v>411.55240827029638</v>
      </c>
    </row>
    <row r="100" spans="1:26" ht="15" hidden="1" customHeight="1" outlineLevel="1" x14ac:dyDescent="0.25">
      <c r="A100" s="87" t="s">
        <v>617</v>
      </c>
      <c r="B100" s="88">
        <f>-$I$81</f>
        <v>-900000000</v>
      </c>
      <c r="C100" s="88">
        <f t="shared" ref="C100:Z100" si="23">C99*($B$81-$C$81)-C98*$G$81-$H$81</f>
        <v>-284764345.088</v>
      </c>
      <c r="D100" s="88">
        <f t="shared" si="23"/>
        <v>-266463977.07776001</v>
      </c>
      <c r="E100" s="88">
        <f t="shared" si="23"/>
        <v>-247924748.22494721</v>
      </c>
      <c r="F100" s="88">
        <f t="shared" si="23"/>
        <v>-229114430.7606948</v>
      </c>
      <c r="G100" s="88">
        <f t="shared" si="23"/>
        <v>-209999794.06949478</v>
      </c>
      <c r="H100" s="88">
        <f t="shared" si="23"/>
        <v>-190546536.29061177</v>
      </c>
      <c r="I100" s="88">
        <f t="shared" si="23"/>
        <v>-170719213.04725537</v>
      </c>
      <c r="J100" s="88">
        <f t="shared" si="23"/>
        <v>-150481163.14346775</v>
      </c>
      <c r="K100" s="88">
        <f t="shared" si="23"/>
        <v>-129794431.06117523</v>
      </c>
      <c r="L100" s="88">
        <f t="shared" si="23"/>
        <v>-108619686.08195207</v>
      </c>
      <c r="M100" s="88">
        <f t="shared" si="23"/>
        <v>-86916137.849736184</v>
      </c>
      <c r="N100" s="88">
        <f t="shared" si="23"/>
        <v>-64641448.181998909</v>
      </c>
      <c r="O100" s="88">
        <f t="shared" si="23"/>
        <v>-41751638.927681506</v>
      </c>
      <c r="P100" s="88">
        <f t="shared" si="23"/>
        <v>-18200995.660550803</v>
      </c>
      <c r="Q100" s="88">
        <f t="shared" si="23"/>
        <v>6058033.0135310292</v>
      </c>
      <c r="R100" s="88">
        <f t="shared" si="23"/>
        <v>31074940.767603606</v>
      </c>
      <c r="S100" s="88">
        <f t="shared" si="23"/>
        <v>56901273.726278007</v>
      </c>
      <c r="T100" s="88">
        <f t="shared" si="23"/>
        <v>83590745.755277157</v>
      </c>
      <c r="U100" s="88">
        <f t="shared" si="23"/>
        <v>111199359.13544589</v>
      </c>
      <c r="V100" s="88">
        <f t="shared" si="23"/>
        <v>139785530.90185082</v>
      </c>
      <c r="W100" s="88">
        <f t="shared" si="23"/>
        <v>169410225.14228702</v>
      </c>
      <c r="X100" s="88">
        <f t="shared" si="23"/>
        <v>200137091.56388474</v>
      </c>
      <c r="Y100" s="88">
        <f t="shared" si="23"/>
        <v>232032610.6516279</v>
      </c>
      <c r="Z100" s="88">
        <f t="shared" si="23"/>
        <v>265166245.75847155</v>
      </c>
    </row>
    <row r="101" spans="1:26" ht="15" hidden="1" customHeight="1" outlineLevel="1" x14ac:dyDescent="0.25">
      <c r="A101" s="87" t="s">
        <v>618</v>
      </c>
      <c r="B101" s="88">
        <f>$J$81+B100</f>
        <v>1600000000</v>
      </c>
      <c r="C101" s="88">
        <f t="shared" ref="C101:Z101" si="24">B101+C100</f>
        <v>1315235654.9119999</v>
      </c>
      <c r="D101" s="88">
        <f t="shared" si="24"/>
        <v>1048771677.83424</v>
      </c>
      <c r="E101" s="88">
        <f t="shared" si="24"/>
        <v>800846929.60929275</v>
      </c>
      <c r="F101" s="88">
        <f t="shared" si="24"/>
        <v>571732498.848598</v>
      </c>
      <c r="G101" s="88">
        <f t="shared" si="24"/>
        <v>361732704.77910322</v>
      </c>
      <c r="H101" s="88">
        <f t="shared" si="24"/>
        <v>171186168.48849145</v>
      </c>
      <c r="I101" s="88">
        <f t="shared" si="24"/>
        <v>466955.44123607874</v>
      </c>
      <c r="J101" s="88">
        <f t="shared" si="24"/>
        <v>-150014207.70223168</v>
      </c>
      <c r="K101" s="88">
        <f t="shared" si="24"/>
        <v>-279808638.76340687</v>
      </c>
      <c r="L101" s="88">
        <f t="shared" si="24"/>
        <v>-388428324.84535897</v>
      </c>
      <c r="M101" s="88">
        <f t="shared" si="24"/>
        <v>-475344462.69509518</v>
      </c>
      <c r="N101" s="88">
        <f t="shared" si="24"/>
        <v>-539985910.87709403</v>
      </c>
      <c r="O101" s="88">
        <f t="shared" si="24"/>
        <v>-581737549.80477548</v>
      </c>
      <c r="P101" s="88">
        <f t="shared" si="24"/>
        <v>-599938545.46532631</v>
      </c>
      <c r="Q101" s="88">
        <f t="shared" si="24"/>
        <v>-593880512.45179534</v>
      </c>
      <c r="R101" s="88">
        <f t="shared" si="24"/>
        <v>-562805571.6841917</v>
      </c>
      <c r="S101" s="88">
        <f t="shared" si="24"/>
        <v>-505904297.9579137</v>
      </c>
      <c r="T101" s="88">
        <f t="shared" si="24"/>
        <v>-422313552.20263654</v>
      </c>
      <c r="U101" s="88">
        <f t="shared" si="24"/>
        <v>-311114193.06719065</v>
      </c>
      <c r="V101" s="88">
        <f t="shared" si="24"/>
        <v>-171328662.16533983</v>
      </c>
      <c r="W101" s="88">
        <f t="shared" si="24"/>
        <v>-1918437.0230528116</v>
      </c>
      <c r="X101" s="88">
        <f t="shared" si="24"/>
        <v>198218654.54083192</v>
      </c>
      <c r="Y101" s="88">
        <f t="shared" si="24"/>
        <v>430251265.19245982</v>
      </c>
      <c r="Z101" s="88">
        <f t="shared" si="24"/>
        <v>695417510.95093131</v>
      </c>
    </row>
    <row r="102" spans="1:26" ht="15" hidden="1" customHeight="1" outlineLevel="1" x14ac:dyDescent="0.25">
      <c r="A102" s="87" t="s">
        <v>619</v>
      </c>
      <c r="B102" s="88">
        <f>B100</f>
        <v>-900000000</v>
      </c>
      <c r="C102" s="88">
        <f t="shared" ref="C102:Z102" si="25">B102+C100</f>
        <v>-1184764345.0880001</v>
      </c>
      <c r="D102" s="88">
        <f t="shared" si="25"/>
        <v>-1451228322.16576</v>
      </c>
      <c r="E102" s="88">
        <f t="shared" si="25"/>
        <v>-1699153070.3907073</v>
      </c>
      <c r="F102" s="88">
        <f t="shared" si="25"/>
        <v>-1928267501.151402</v>
      </c>
      <c r="G102" s="88">
        <f t="shared" si="25"/>
        <v>-2138267295.2208967</v>
      </c>
      <c r="H102" s="88">
        <f t="shared" si="25"/>
        <v>-2328813831.5115085</v>
      </c>
      <c r="I102" s="88">
        <f t="shared" si="25"/>
        <v>-2499533044.558764</v>
      </c>
      <c r="J102" s="88">
        <f t="shared" si="25"/>
        <v>-2650014207.7022319</v>
      </c>
      <c r="K102" s="88">
        <f t="shared" si="25"/>
        <v>-2779808638.7634072</v>
      </c>
      <c r="L102" s="88">
        <f t="shared" si="25"/>
        <v>-2888428324.8453593</v>
      </c>
      <c r="M102" s="88">
        <f t="shared" si="25"/>
        <v>-2975344462.6950955</v>
      </c>
      <c r="N102" s="88">
        <f t="shared" si="25"/>
        <v>-3039985910.8770943</v>
      </c>
      <c r="O102" s="88">
        <f t="shared" si="25"/>
        <v>-3081737549.8047757</v>
      </c>
      <c r="P102" s="88">
        <f t="shared" si="25"/>
        <v>-3099938545.4653263</v>
      </c>
      <c r="Q102" s="88">
        <f t="shared" si="25"/>
        <v>-3093880512.4517951</v>
      </c>
      <c r="R102" s="88">
        <f t="shared" si="25"/>
        <v>-3062805571.6841917</v>
      </c>
      <c r="S102" s="88">
        <f t="shared" si="25"/>
        <v>-3005904297.9579139</v>
      </c>
      <c r="T102" s="88">
        <f t="shared" si="25"/>
        <v>-2922313552.2026367</v>
      </c>
      <c r="U102" s="88">
        <f t="shared" si="25"/>
        <v>-2811114193.0671906</v>
      </c>
      <c r="V102" s="88">
        <f t="shared" si="25"/>
        <v>-2671328662.1653399</v>
      </c>
      <c r="W102" s="88">
        <f t="shared" si="25"/>
        <v>-2501918437.0230532</v>
      </c>
      <c r="X102" s="88">
        <f t="shared" si="25"/>
        <v>-2301781345.4591684</v>
      </c>
      <c r="Y102" s="88">
        <f t="shared" si="25"/>
        <v>-2069748734.8075404</v>
      </c>
      <c r="Z102" s="88">
        <f t="shared" si="25"/>
        <v>-1804582489.0490689</v>
      </c>
    </row>
    <row r="103" spans="1:26" ht="15" hidden="1" customHeight="1" outlineLevel="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 hidden="1" customHeight="1" outlineLevel="1" x14ac:dyDescent="0.25">
      <c r="A104" s="87" t="s">
        <v>620</v>
      </c>
      <c r="B104" s="4"/>
      <c r="C104" s="89">
        <f>$D$82*(1+$E$82)^0</f>
        <v>12</v>
      </c>
      <c r="D104" s="89">
        <f>$D$82*(1+$E$82)^1</f>
        <v>12.600000000000001</v>
      </c>
      <c r="E104" s="89">
        <f>$D$82*(1+$E$82)^2</f>
        <v>13.23</v>
      </c>
      <c r="F104" s="89">
        <f>$D$82*(1+$E$82)^3</f>
        <v>13.891500000000001</v>
      </c>
      <c r="G104" s="89">
        <f>$D$82*(1+$E$82)^4</f>
        <v>14.586075000000001</v>
      </c>
      <c r="H104" s="89">
        <f>$D$82*(1+$E$82)^5</f>
        <v>15.315378750000001</v>
      </c>
      <c r="I104" s="89">
        <f>$D$82*(1+$E$82)^6</f>
        <v>16.0811476875</v>
      </c>
      <c r="J104" s="89">
        <f>$D$82*(1+$E$82)^7</f>
        <v>16.885205071875003</v>
      </c>
      <c r="K104" s="89">
        <f>$D$82*(1+$E$82)^8</f>
        <v>17.729465325468752</v>
      </c>
      <c r="L104" s="89">
        <f>$D$82*(1+$E$82)^9</f>
        <v>18.615938591742189</v>
      </c>
      <c r="M104" s="89">
        <f>$D$82*(1+$E$82)^10</f>
        <v>19.5467355213293</v>
      </c>
      <c r="N104" s="89">
        <f>$D$82*(1+$E$82)^11</f>
        <v>20.524072297395765</v>
      </c>
      <c r="O104" s="89">
        <f>$D$82*(1+$E$82)^12</f>
        <v>21.550275912265551</v>
      </c>
      <c r="P104" s="89">
        <f>$D$82*(1+$E$82)^13</f>
        <v>22.627789707878833</v>
      </c>
      <c r="Q104" s="89">
        <f>$D$82*(1+$E$82)^14</f>
        <v>23.759179193272768</v>
      </c>
      <c r="R104" s="89">
        <f>$D$82*(1+$E$82)^15</f>
        <v>24.947138152936414</v>
      </c>
      <c r="S104" s="89">
        <f>$D$82*(1+$E$82)^16</f>
        <v>26.194495060583233</v>
      </c>
      <c r="T104" s="89">
        <f>$D$82*(1+$E$82)^17</f>
        <v>27.504219813612398</v>
      </c>
      <c r="U104" s="89">
        <f>$D$82*(1+$E$82)^18</f>
        <v>28.879430804293015</v>
      </c>
      <c r="V104" s="89">
        <f>$D$82*(1+$E$82)^19</f>
        <v>30.32340234450767</v>
      </c>
      <c r="W104" s="89">
        <f>$D$82*(1+$E$82)^20</f>
        <v>31.839572461733049</v>
      </c>
      <c r="X104" s="89">
        <f>$D$82*(1+$E$82)^21</f>
        <v>33.431551084819702</v>
      </c>
      <c r="Y104" s="89">
        <f>$D$82*(1+$E$82)^22</f>
        <v>35.103128639060685</v>
      </c>
      <c r="Z104" s="89">
        <f>$D$82*(1+$E$82)^23</f>
        <v>36.858285071013725</v>
      </c>
    </row>
    <row r="105" spans="1:26" ht="15" hidden="1" customHeight="1" outlineLevel="1" x14ac:dyDescent="0.25">
      <c r="A105" s="87" t="s">
        <v>621</v>
      </c>
      <c r="B105" s="87">
        <v>0</v>
      </c>
      <c r="C105" s="89">
        <f t="shared" ref="C105:Z105" si="26">B105*(1-$F$82)+C104</f>
        <v>12</v>
      </c>
      <c r="D105" s="89">
        <f t="shared" si="26"/>
        <v>24.240000000000002</v>
      </c>
      <c r="E105" s="89">
        <f t="shared" si="26"/>
        <v>36.742800000000003</v>
      </c>
      <c r="F105" s="89">
        <f t="shared" si="26"/>
        <v>49.532015999999999</v>
      </c>
      <c r="G105" s="89">
        <f t="shared" si="26"/>
        <v>62.632130519999997</v>
      </c>
      <c r="H105" s="89">
        <f t="shared" si="26"/>
        <v>76.068545354399987</v>
      </c>
      <c r="I105" s="89">
        <f t="shared" si="26"/>
        <v>89.867636681267982</v>
      </c>
      <c r="J105" s="89">
        <f t="shared" si="26"/>
        <v>104.05681265270495</v>
      </c>
      <c r="K105" s="89">
        <f t="shared" si="26"/>
        <v>118.66457359859255</v>
      </c>
      <c r="L105" s="89">
        <f t="shared" si="26"/>
        <v>133.72057498237697</v>
      </c>
      <c r="M105" s="89">
        <f t="shared" si="26"/>
        <v>149.25569325423498</v>
      </c>
      <c r="N105" s="89">
        <f t="shared" si="26"/>
        <v>165.30209475400372</v>
      </c>
      <c r="O105" s="89">
        <f t="shared" si="26"/>
        <v>181.89330782364917</v>
      </c>
      <c r="P105" s="89">
        <f t="shared" si="26"/>
        <v>199.06429829681852</v>
      </c>
      <c r="Q105" s="89">
        <f t="shared" si="26"/>
        <v>216.85154854118673</v>
      </c>
      <c r="R105" s="89">
        <f t="shared" si="26"/>
        <v>235.29314023788754</v>
      </c>
      <c r="S105" s="89">
        <f t="shared" si="26"/>
        <v>254.42884109133414</v>
      </c>
      <c r="T105" s="89">
        <f t="shared" si="26"/>
        <v>274.30019567220648</v>
      </c>
      <c r="U105" s="89">
        <f t="shared" si="26"/>
        <v>294.9506206063333</v>
      </c>
      <c r="V105" s="89">
        <f t="shared" si="26"/>
        <v>316.42550433265097</v>
      </c>
      <c r="W105" s="89">
        <f t="shared" si="26"/>
        <v>338.77231166440447</v>
      </c>
      <c r="X105" s="89">
        <f t="shared" si="26"/>
        <v>362.04069339929202</v>
      </c>
      <c r="Y105" s="89">
        <f t="shared" si="26"/>
        <v>386.28260123637392</v>
      </c>
      <c r="Z105" s="89">
        <f t="shared" si="26"/>
        <v>411.55240827029638</v>
      </c>
    </row>
    <row r="106" spans="1:26" ht="15" hidden="1" customHeight="1" outlineLevel="1" x14ac:dyDescent="0.25">
      <c r="A106" s="87" t="s">
        <v>622</v>
      </c>
      <c r="B106" s="88">
        <f>-$I$82</f>
        <v>-900000000</v>
      </c>
      <c r="C106" s="88">
        <f t="shared" ref="C106:Z106" si="27">C105*($B$82-$C$82)-C104*$G$82-$H$82</f>
        <v>-278211614.1056</v>
      </c>
      <c r="D106" s="88">
        <f t="shared" si="27"/>
        <v>-253227460.493312</v>
      </c>
      <c r="E106" s="88">
        <f t="shared" si="27"/>
        <v>-227860941.22993663</v>
      </c>
      <c r="F106" s="88">
        <f t="shared" si="27"/>
        <v>-202066932.77203375</v>
      </c>
      <c r="G106" s="88">
        <f t="shared" si="27"/>
        <v>-175798835.55681771</v>
      </c>
      <c r="H106" s="88">
        <f t="shared" si="27"/>
        <v>-149008476.79645538</v>
      </c>
      <c r="I106" s="88">
        <f t="shared" si="27"/>
        <v>-121646009.11422107</v>
      </c>
      <c r="J106" s="88">
        <f t="shared" si="27"/>
        <v>-93659804.793536723</v>
      </c>
      <c r="K106" s="88">
        <f t="shared" si="27"/>
        <v>-64996345.400110006</v>
      </c>
      <c r="L106" s="88">
        <f t="shared" si="27"/>
        <v>-35600106.526005059</v>
      </c>
      <c r="M106" s="88">
        <f t="shared" si="27"/>
        <v>-5413437.3925181329</v>
      </c>
      <c r="N106" s="88">
        <f t="shared" si="27"/>
        <v>25623564.963849485</v>
      </c>
      <c r="O106" s="88">
        <f t="shared" si="27"/>
        <v>57573187.211255729</v>
      </c>
      <c r="P106" s="88">
        <f t="shared" si="27"/>
        <v>90500237.251055717</v>
      </c>
      <c r="Q106" s="88">
        <f t="shared" si="27"/>
        <v>124472188.0724687</v>
      </c>
      <c r="R106" s="88">
        <f t="shared" si="27"/>
        <v>159559328.26618648</v>
      </c>
      <c r="S106" s="88">
        <f t="shared" si="27"/>
        <v>195834919.54588735</v>
      </c>
      <c r="T106" s="88">
        <f t="shared" si="27"/>
        <v>233375361.64358139</v>
      </c>
      <c r="U106" s="88">
        <f t="shared" si="27"/>
        <v>272260364.96254832</v>
      </c>
      <c r="V106" s="88">
        <f t="shared" si="27"/>
        <v>312573131.39035988</v>
      </c>
      <c r="W106" s="88">
        <f t="shared" si="27"/>
        <v>354400543.69417143</v>
      </c>
      <c r="X106" s="88">
        <f t="shared" si="27"/>
        <v>397833363.94114482</v>
      </c>
      <c r="Y106" s="88">
        <f t="shared" si="27"/>
        <v>442966441.4085989</v>
      </c>
      <c r="Z106" s="88">
        <f t="shared" si="27"/>
        <v>489898930.47131371</v>
      </c>
    </row>
    <row r="107" spans="1:26" ht="15" hidden="1" customHeight="1" outlineLevel="1" x14ac:dyDescent="0.25">
      <c r="A107" s="87" t="s">
        <v>623</v>
      </c>
      <c r="B107" s="88">
        <f>$J$82+B106</f>
        <v>1600000000</v>
      </c>
      <c r="C107" s="88">
        <f t="shared" ref="C107:Z107" si="28">B107+C106</f>
        <v>1321788385.8944001</v>
      </c>
      <c r="D107" s="88">
        <f t="shared" si="28"/>
        <v>1068560925.4010881</v>
      </c>
      <c r="E107" s="88">
        <f t="shared" si="28"/>
        <v>840699984.17115152</v>
      </c>
      <c r="F107" s="88">
        <f t="shared" si="28"/>
        <v>638633051.39911771</v>
      </c>
      <c r="G107" s="88">
        <f t="shared" si="28"/>
        <v>462834215.8423</v>
      </c>
      <c r="H107" s="88">
        <f t="shared" si="28"/>
        <v>313825739.04584461</v>
      </c>
      <c r="I107" s="88">
        <f t="shared" si="28"/>
        <v>192179729.93162355</v>
      </c>
      <c r="J107" s="88">
        <f t="shared" si="28"/>
        <v>98519925.138086826</v>
      </c>
      <c r="K107" s="88">
        <f t="shared" si="28"/>
        <v>33523579.737976819</v>
      </c>
      <c r="L107" s="88">
        <f t="shared" si="28"/>
        <v>-2076526.7880282402</v>
      </c>
      <c r="M107" s="88">
        <f t="shared" si="28"/>
        <v>-7489964.1805463731</v>
      </c>
      <c r="N107" s="88">
        <f t="shared" si="28"/>
        <v>18133600.783303112</v>
      </c>
      <c r="O107" s="88">
        <f t="shared" si="28"/>
        <v>75706787.994558841</v>
      </c>
      <c r="P107" s="88">
        <f t="shared" si="28"/>
        <v>166207025.24561456</v>
      </c>
      <c r="Q107" s="88">
        <f t="shared" si="28"/>
        <v>290679213.31808329</v>
      </c>
      <c r="R107" s="88">
        <f t="shared" si="28"/>
        <v>450238541.58426976</v>
      </c>
      <c r="S107" s="88">
        <f t="shared" si="28"/>
        <v>646073461.13015711</v>
      </c>
      <c r="T107" s="88">
        <f t="shared" si="28"/>
        <v>879448822.7737385</v>
      </c>
      <c r="U107" s="88">
        <f t="shared" si="28"/>
        <v>1151709187.7362869</v>
      </c>
      <c r="V107" s="88">
        <f t="shared" si="28"/>
        <v>1464282319.1266468</v>
      </c>
      <c r="W107" s="88">
        <f t="shared" si="28"/>
        <v>1818682862.8208182</v>
      </c>
      <c r="X107" s="88">
        <f t="shared" si="28"/>
        <v>2216516226.7619629</v>
      </c>
      <c r="Y107" s="88">
        <f t="shared" si="28"/>
        <v>2659482668.1705618</v>
      </c>
      <c r="Z107" s="88">
        <f t="shared" si="28"/>
        <v>3149381598.6418753</v>
      </c>
    </row>
    <row r="108" spans="1:26" ht="15" hidden="1" customHeight="1" outlineLevel="1" x14ac:dyDescent="0.25">
      <c r="A108" s="87" t="s">
        <v>624</v>
      </c>
      <c r="B108" s="88">
        <f>B106</f>
        <v>-900000000</v>
      </c>
      <c r="C108" s="88">
        <f t="shared" ref="C108:Z108" si="29">B108+C106</f>
        <v>-1178211614.1055999</v>
      </c>
      <c r="D108" s="88">
        <f t="shared" si="29"/>
        <v>-1431439074.5989118</v>
      </c>
      <c r="E108" s="88">
        <f t="shared" si="29"/>
        <v>-1659300015.8288484</v>
      </c>
      <c r="F108" s="88">
        <f t="shared" si="29"/>
        <v>-1861366948.6008821</v>
      </c>
      <c r="G108" s="88">
        <f t="shared" si="29"/>
        <v>-2037165784.1576998</v>
      </c>
      <c r="H108" s="88">
        <f t="shared" si="29"/>
        <v>-2186174260.954155</v>
      </c>
      <c r="I108" s="88">
        <f t="shared" si="29"/>
        <v>-2307820270.0683761</v>
      </c>
      <c r="J108" s="88">
        <f t="shared" si="29"/>
        <v>-2401480074.8619127</v>
      </c>
      <c r="K108" s="88">
        <f t="shared" si="29"/>
        <v>-2466476420.262023</v>
      </c>
      <c r="L108" s="88">
        <f t="shared" si="29"/>
        <v>-2502076526.7880282</v>
      </c>
      <c r="M108" s="88">
        <f t="shared" si="29"/>
        <v>-2507489964.1805463</v>
      </c>
      <c r="N108" s="88">
        <f t="shared" si="29"/>
        <v>-2481866399.2166967</v>
      </c>
      <c r="O108" s="88">
        <f t="shared" si="29"/>
        <v>-2424293212.0054412</v>
      </c>
      <c r="P108" s="88">
        <f t="shared" si="29"/>
        <v>-2333792974.7543855</v>
      </c>
      <c r="Q108" s="88">
        <f t="shared" si="29"/>
        <v>-2209320786.6819167</v>
      </c>
      <c r="R108" s="88">
        <f t="shared" si="29"/>
        <v>-2049761458.4157302</v>
      </c>
      <c r="S108" s="88">
        <f t="shared" si="29"/>
        <v>-1853926538.869843</v>
      </c>
      <c r="T108" s="88">
        <f t="shared" si="29"/>
        <v>-1620551177.2262616</v>
      </c>
      <c r="U108" s="88">
        <f t="shared" si="29"/>
        <v>-1348290812.2637134</v>
      </c>
      <c r="V108" s="88">
        <f t="shared" si="29"/>
        <v>-1035717680.8733535</v>
      </c>
      <c r="W108" s="88">
        <f t="shared" si="29"/>
        <v>-681317137.17918205</v>
      </c>
      <c r="X108" s="88">
        <f t="shared" si="29"/>
        <v>-283483773.23803723</v>
      </c>
      <c r="Y108" s="88">
        <f t="shared" si="29"/>
        <v>159482668.17056167</v>
      </c>
      <c r="Z108" s="88">
        <f t="shared" si="29"/>
        <v>649381598.64187539</v>
      </c>
    </row>
    <row r="109" spans="1:26" ht="15" hidden="1" customHeight="1" outlineLevel="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 hidden="1" customHeight="1" outlineLevel="1" x14ac:dyDescent="0.25">
      <c r="A110" s="87" t="s">
        <v>625</v>
      </c>
      <c r="B110" s="4"/>
      <c r="C110" s="89">
        <f>$D$83*(1+$E$83)^0</f>
        <v>12</v>
      </c>
      <c r="D110" s="89">
        <f>$D$83*(1+$E$83)^1</f>
        <v>12.600000000000001</v>
      </c>
      <c r="E110" s="89">
        <f>$D$83*(1+$E$83)^2</f>
        <v>13.23</v>
      </c>
      <c r="F110" s="89">
        <f>$D$83*(1+$E$83)^3</f>
        <v>13.891500000000001</v>
      </c>
      <c r="G110" s="89">
        <f>$D$83*(1+$E$83)^4</f>
        <v>14.586075000000001</v>
      </c>
      <c r="H110" s="89">
        <f>$D$83*(1+$E$83)^5</f>
        <v>15.315378750000001</v>
      </c>
      <c r="I110" s="89">
        <f>$D$83*(1+$E$83)^6</f>
        <v>16.0811476875</v>
      </c>
      <c r="J110" s="89">
        <f>$D$83*(1+$E$83)^7</f>
        <v>16.885205071875003</v>
      </c>
      <c r="K110" s="89">
        <f>$D$83*(1+$E$83)^8</f>
        <v>17.729465325468752</v>
      </c>
      <c r="L110" s="89">
        <f>$D$83*(1+$E$83)^9</f>
        <v>18.615938591742189</v>
      </c>
      <c r="M110" s="89">
        <f>$D$83*(1+$E$83)^10</f>
        <v>19.5467355213293</v>
      </c>
      <c r="N110" s="89">
        <f>$D$83*(1+$E$83)^11</f>
        <v>20.524072297395765</v>
      </c>
      <c r="O110" s="89">
        <f>$D$83*(1+$E$83)^12</f>
        <v>21.550275912265551</v>
      </c>
      <c r="P110" s="89">
        <f>$D$83*(1+$E$83)^13</f>
        <v>22.627789707878833</v>
      </c>
      <c r="Q110" s="89">
        <f>$D$83*(1+$E$83)^14</f>
        <v>23.759179193272768</v>
      </c>
      <c r="R110" s="89">
        <f>$D$83*(1+$E$83)^15</f>
        <v>24.947138152936414</v>
      </c>
      <c r="S110" s="89">
        <f>$D$83*(1+$E$83)^16</f>
        <v>26.194495060583233</v>
      </c>
      <c r="T110" s="89">
        <f>$D$83*(1+$E$83)^17</f>
        <v>27.504219813612398</v>
      </c>
      <c r="U110" s="89">
        <f>$D$83*(1+$E$83)^18</f>
        <v>28.879430804293015</v>
      </c>
      <c r="V110" s="89">
        <f>$D$83*(1+$E$83)^19</f>
        <v>30.32340234450767</v>
      </c>
      <c r="W110" s="89">
        <f>$D$83*(1+$E$83)^20</f>
        <v>31.839572461733049</v>
      </c>
      <c r="X110" s="89">
        <f>$D$83*(1+$E$83)^21</f>
        <v>33.431551084819702</v>
      </c>
      <c r="Y110" s="89">
        <f>$D$83*(1+$E$83)^22</f>
        <v>35.103128639060685</v>
      </c>
      <c r="Z110" s="89">
        <f>$D$83*(1+$E$83)^23</f>
        <v>36.858285071013725</v>
      </c>
    </row>
    <row r="111" spans="1:26" ht="15" hidden="1" customHeight="1" outlineLevel="1" x14ac:dyDescent="0.25">
      <c r="A111" s="87" t="s">
        <v>626</v>
      </c>
      <c r="B111" s="87">
        <v>0</v>
      </c>
      <c r="C111" s="89">
        <f t="shared" ref="C111:Z111" si="30">B111*(1-$F$83)+C110</f>
        <v>12</v>
      </c>
      <c r="D111" s="89">
        <f t="shared" si="30"/>
        <v>24.167999999999999</v>
      </c>
      <c r="E111" s="89">
        <f t="shared" si="30"/>
        <v>36.527951999999999</v>
      </c>
      <c r="F111" s="89">
        <f t="shared" si="30"/>
        <v>49.104445728000002</v>
      </c>
      <c r="G111" s="89">
        <f t="shared" si="30"/>
        <v>61.922760681791999</v>
      </c>
      <c r="H111" s="89">
        <f t="shared" si="30"/>
        <v>75.008920047247486</v>
      </c>
      <c r="I111" s="89">
        <f t="shared" si="30"/>
        <v>88.389746613046583</v>
      </c>
      <c r="J111" s="89">
        <f t="shared" si="30"/>
        <v>102.09292080685191</v>
      </c>
      <c r="K111" s="89">
        <f t="shared" si="30"/>
        <v>116.14704098327398</v>
      </c>
      <c r="L111" s="89">
        <f t="shared" si="30"/>
        <v>130.58168609961831</v>
      </c>
      <c r="M111" s="89">
        <f t="shared" si="30"/>
        <v>145.42748092136134</v>
      </c>
      <c r="N111" s="89">
        <f t="shared" si="30"/>
        <v>160.7161639055881</v>
      </c>
      <c r="O111" s="89">
        <f t="shared" si="30"/>
        <v>176.4806579172525</v>
      </c>
      <c r="P111" s="89">
        <f t="shared" si="30"/>
        <v>192.75514394011023</v>
      </c>
      <c r="Q111" s="89">
        <f t="shared" si="30"/>
        <v>209.57513795153901</v>
      </c>
      <c r="R111" s="89">
        <f t="shared" si="30"/>
        <v>226.97757113822001</v>
      </c>
      <c r="S111" s="89">
        <f t="shared" si="30"/>
        <v>245.00087363782731</v>
      </c>
      <c r="T111" s="89">
        <f t="shared" si="30"/>
        <v>263.68506200047796</v>
      </c>
      <c r="U111" s="89">
        <f t="shared" si="30"/>
        <v>283.07183057275375</v>
      </c>
      <c r="V111" s="89">
        <f t="shared" si="30"/>
        <v>303.20464701664224</v>
      </c>
      <c r="W111" s="89">
        <f t="shared" si="30"/>
        <v>324.12885218577617</v>
      </c>
      <c r="X111" s="89">
        <f t="shared" si="30"/>
        <v>345.89176459190793</v>
      </c>
      <c r="Y111" s="89">
        <f t="shared" si="30"/>
        <v>368.54278970565991</v>
      </c>
      <c r="Z111" s="89">
        <f t="shared" si="30"/>
        <v>392.13353434726986</v>
      </c>
    </row>
    <row r="112" spans="1:26" ht="15" hidden="1" customHeight="1" outlineLevel="1" x14ac:dyDescent="0.25">
      <c r="A112" s="87" t="s">
        <v>627</v>
      </c>
      <c r="B112" s="88">
        <f>-$I$83</f>
        <v>-900000000</v>
      </c>
      <c r="C112" s="88">
        <f t="shared" ref="C112:Z112" si="31">C111*($B$83-$C$83)-C110*$G$83-$H$83</f>
        <v>-275236345.088</v>
      </c>
      <c r="D112" s="88">
        <f t="shared" si="31"/>
        <v>-247413999.00723201</v>
      </c>
      <c r="E112" s="88">
        <f t="shared" si="31"/>
        <v>-219337565.50249165</v>
      </c>
      <c r="F112" s="88">
        <f t="shared" si="31"/>
        <v>-190953407.12689793</v>
      </c>
      <c r="G112" s="88">
        <f t="shared" si="31"/>
        <v>-162206678.15195042</v>
      </c>
      <c r="H112" s="88">
        <f t="shared" si="31"/>
        <v>-133041211.10418206</v>
      </c>
      <c r="I112" s="88">
        <f t="shared" si="31"/>
        <v>-103399399.53841841</v>
      </c>
      <c r="J112" s="88">
        <f t="shared" si="31"/>
        <v>-73222076.790721655</v>
      </c>
      <c r="K112" s="88">
        <f t="shared" si="31"/>
        <v>-42448390.443726301</v>
      </c>
      <c r="L112" s="88">
        <f t="shared" si="31"/>
        <v>-11015672.226096243</v>
      </c>
      <c r="M112" s="88">
        <f t="shared" si="31"/>
        <v>21140696.943781823</v>
      </c>
      <c r="N112" s="88">
        <f t="shared" si="31"/>
        <v>54087427.072031319</v>
      </c>
      <c r="O112" s="88">
        <f t="shared" si="31"/>
        <v>87893464.676575124</v>
      </c>
      <c r="P112" s="88">
        <f t="shared" si="31"/>
        <v>122630144.17631209</v>
      </c>
      <c r="Q112" s="88">
        <f t="shared" si="31"/>
        <v>158371345.42546326</v>
      </c>
      <c r="R112" s="88">
        <f t="shared" si="31"/>
        <v>195193657.75161982</v>
      </c>
      <c r="S112" s="88">
        <f t="shared" si="31"/>
        <v>233176550.87210858</v>
      </c>
      <c r="T112" s="88">
        <f t="shared" si="31"/>
        <v>272402553.08023715</v>
      </c>
      <c r="U112" s="88">
        <f t="shared" si="31"/>
        <v>312957437.11084908</v>
      </c>
      <c r="V112" s="88">
        <f t="shared" si="31"/>
        <v>354930414.11343396</v>
      </c>
      <c r="W112" s="88">
        <f t="shared" si="31"/>
        <v>398414336.1808548</v>
      </c>
      <c r="X112" s="88">
        <f t="shared" si="31"/>
        <v>443505907.90262365</v>
      </c>
      <c r="Y112" s="88">
        <f t="shared" si="31"/>
        <v>490305907.43362272</v>
      </c>
      <c r="Z112" s="88">
        <f t="shared" si="31"/>
        <v>538919417.59228063</v>
      </c>
    </row>
    <row r="113" spans="1:26" ht="15" hidden="1" customHeight="1" outlineLevel="1" x14ac:dyDescent="0.25">
      <c r="A113" s="87" t="s">
        <v>628</v>
      </c>
      <c r="B113" s="88">
        <f>$J$83+B112</f>
        <v>1600000000</v>
      </c>
      <c r="C113" s="88">
        <f t="shared" ref="C113:Z113" si="32">B113+C112</f>
        <v>1324763654.9119999</v>
      </c>
      <c r="D113" s="88">
        <f t="shared" si="32"/>
        <v>1077349655.904768</v>
      </c>
      <c r="E113" s="88">
        <f t="shared" si="32"/>
        <v>858012090.40227628</v>
      </c>
      <c r="F113" s="88">
        <f t="shared" si="32"/>
        <v>667058683.27537835</v>
      </c>
      <c r="G113" s="88">
        <f t="shared" si="32"/>
        <v>504852005.12342793</v>
      </c>
      <c r="H113" s="88">
        <f t="shared" si="32"/>
        <v>371810794.01924586</v>
      </c>
      <c r="I113" s="88">
        <f t="shared" si="32"/>
        <v>268411394.48082745</v>
      </c>
      <c r="J113" s="88">
        <f t="shared" si="32"/>
        <v>195189317.6901058</v>
      </c>
      <c r="K113" s="88">
        <f t="shared" si="32"/>
        <v>152740927.24637949</v>
      </c>
      <c r="L113" s="88">
        <f t="shared" si="32"/>
        <v>141725255.02028325</v>
      </c>
      <c r="M113" s="88">
        <f t="shared" si="32"/>
        <v>162865951.96406507</v>
      </c>
      <c r="N113" s="88">
        <f t="shared" si="32"/>
        <v>216953379.03609639</v>
      </c>
      <c r="O113" s="88">
        <f t="shared" si="32"/>
        <v>304846843.71267152</v>
      </c>
      <c r="P113" s="88">
        <f t="shared" si="32"/>
        <v>427476987.88898361</v>
      </c>
      <c r="Q113" s="88">
        <f t="shared" si="32"/>
        <v>585848333.31444693</v>
      </c>
      <c r="R113" s="88">
        <f t="shared" si="32"/>
        <v>781041991.06606674</v>
      </c>
      <c r="S113" s="88">
        <f t="shared" si="32"/>
        <v>1014218541.9381753</v>
      </c>
      <c r="T113" s="88">
        <f t="shared" si="32"/>
        <v>1286621095.0184126</v>
      </c>
      <c r="U113" s="88">
        <f t="shared" si="32"/>
        <v>1599578532.1292617</v>
      </c>
      <c r="V113" s="88">
        <f t="shared" si="32"/>
        <v>1954508946.2426958</v>
      </c>
      <c r="W113" s="88">
        <f t="shared" si="32"/>
        <v>2352923282.4235506</v>
      </c>
      <c r="X113" s="88">
        <f t="shared" si="32"/>
        <v>2796429190.3261743</v>
      </c>
      <c r="Y113" s="88">
        <f t="shared" si="32"/>
        <v>3286735097.7597971</v>
      </c>
      <c r="Z113" s="88">
        <f t="shared" si="32"/>
        <v>3825654515.3520775</v>
      </c>
    </row>
    <row r="114" spans="1:26" ht="15" hidden="1" customHeight="1" outlineLevel="1" x14ac:dyDescent="0.25">
      <c r="A114" s="87" t="s">
        <v>629</v>
      </c>
      <c r="B114" s="88">
        <f>B112</f>
        <v>-900000000</v>
      </c>
      <c r="C114" s="88">
        <f t="shared" ref="C114:Z114" si="33">B114+C112</f>
        <v>-1175236345.0880001</v>
      </c>
      <c r="D114" s="88">
        <f t="shared" si="33"/>
        <v>-1422650344.095232</v>
      </c>
      <c r="E114" s="88">
        <f t="shared" si="33"/>
        <v>-1641987909.5977237</v>
      </c>
      <c r="F114" s="88">
        <f t="shared" si="33"/>
        <v>-1832941316.7246218</v>
      </c>
      <c r="G114" s="88">
        <f t="shared" si="33"/>
        <v>-1995147994.8765721</v>
      </c>
      <c r="H114" s="88">
        <f t="shared" si="33"/>
        <v>-2128189205.9807541</v>
      </c>
      <c r="I114" s="88">
        <f t="shared" si="33"/>
        <v>-2231588605.5191727</v>
      </c>
      <c r="J114" s="88">
        <f t="shared" si="33"/>
        <v>-2304810682.3098946</v>
      </c>
      <c r="K114" s="88">
        <f t="shared" si="33"/>
        <v>-2347259072.7536211</v>
      </c>
      <c r="L114" s="88">
        <f t="shared" si="33"/>
        <v>-2358274744.9797173</v>
      </c>
      <c r="M114" s="88">
        <f t="shared" si="33"/>
        <v>-2337134048.0359354</v>
      </c>
      <c r="N114" s="88">
        <f t="shared" si="33"/>
        <v>-2283046620.9639039</v>
      </c>
      <c r="O114" s="88">
        <f t="shared" si="33"/>
        <v>-2195153156.2873287</v>
      </c>
      <c r="P114" s="88">
        <f t="shared" si="33"/>
        <v>-2072523012.1110168</v>
      </c>
      <c r="Q114" s="88">
        <f t="shared" si="33"/>
        <v>-1914151666.6855536</v>
      </c>
      <c r="R114" s="88">
        <f t="shared" si="33"/>
        <v>-1718958008.9339337</v>
      </c>
      <c r="S114" s="88">
        <f t="shared" si="33"/>
        <v>-1485781458.0618253</v>
      </c>
      <c r="T114" s="88">
        <f t="shared" si="33"/>
        <v>-1213378904.9815881</v>
      </c>
      <c r="U114" s="88">
        <f t="shared" si="33"/>
        <v>-900421467.87073898</v>
      </c>
      <c r="V114" s="88">
        <f t="shared" si="33"/>
        <v>-545491053.75730503</v>
      </c>
      <c r="W114" s="88">
        <f t="shared" si="33"/>
        <v>-147076717.57645023</v>
      </c>
      <c r="X114" s="88">
        <f t="shared" si="33"/>
        <v>296429190.32617342</v>
      </c>
      <c r="Y114" s="88">
        <f t="shared" si="33"/>
        <v>786735097.75979614</v>
      </c>
      <c r="Z114" s="88">
        <f t="shared" si="33"/>
        <v>1325654515.3520768</v>
      </c>
    </row>
    <row r="115" spans="1:26" ht="15" hidden="1" customHeight="1" outlineLevel="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 hidden="1" customHeight="1" outlineLevel="1" x14ac:dyDescent="0.25">
      <c r="A116" s="87" t="s">
        <v>630</v>
      </c>
      <c r="B116" s="4"/>
      <c r="C116" s="89">
        <f>$D$84*(1+$E$84)^0</f>
        <v>12</v>
      </c>
      <c r="D116" s="89">
        <f>$D$84*(1+$E$84)^1</f>
        <v>12.600000000000001</v>
      </c>
      <c r="E116" s="89">
        <f>$D$84*(1+$E$84)^2</f>
        <v>13.23</v>
      </c>
      <c r="F116" s="89">
        <f>$D$84*(1+$E$84)^3</f>
        <v>13.891500000000001</v>
      </c>
      <c r="G116" s="89">
        <f>$D$84*(1+$E$84)^4</f>
        <v>14.586075000000001</v>
      </c>
      <c r="H116" s="89">
        <f>$D$84*(1+$E$84)^5</f>
        <v>15.315378750000001</v>
      </c>
      <c r="I116" s="89">
        <f>$D$84*(1+$E$84)^6</f>
        <v>16.0811476875</v>
      </c>
      <c r="J116" s="89">
        <f>$D$84*(1+$E$84)^7</f>
        <v>16.885205071875003</v>
      </c>
      <c r="K116" s="89">
        <f>$D$84*(1+$E$84)^8</f>
        <v>17.729465325468752</v>
      </c>
      <c r="L116" s="89">
        <f>$D$84*(1+$E$84)^9</f>
        <v>18.615938591742189</v>
      </c>
      <c r="M116" s="89">
        <f>$D$84*(1+$E$84)^10</f>
        <v>19.5467355213293</v>
      </c>
      <c r="N116" s="89">
        <f>$D$84*(1+$E$84)^11</f>
        <v>20.524072297395765</v>
      </c>
      <c r="O116" s="89">
        <f>$D$84*(1+$E$84)^12</f>
        <v>21.550275912265551</v>
      </c>
      <c r="P116" s="89">
        <f>$D$84*(1+$E$84)^13</f>
        <v>22.627789707878833</v>
      </c>
      <c r="Q116" s="89">
        <f>$D$84*(1+$E$84)^14</f>
        <v>23.759179193272768</v>
      </c>
      <c r="R116" s="89">
        <f>$D$84*(1+$E$84)^15</f>
        <v>24.947138152936414</v>
      </c>
      <c r="S116" s="89">
        <f>$D$84*(1+$E$84)^16</f>
        <v>26.194495060583233</v>
      </c>
      <c r="T116" s="89">
        <f>$D$84*(1+$E$84)^17</f>
        <v>27.504219813612398</v>
      </c>
      <c r="U116" s="89">
        <f>$D$84*(1+$E$84)^18</f>
        <v>28.879430804293015</v>
      </c>
      <c r="V116" s="89">
        <f>$D$84*(1+$E$84)^19</f>
        <v>30.32340234450767</v>
      </c>
      <c r="W116" s="89">
        <f>$D$84*(1+$E$84)^20</f>
        <v>31.839572461733049</v>
      </c>
      <c r="X116" s="89">
        <f>$D$84*(1+$E$84)^21</f>
        <v>33.431551084819702</v>
      </c>
      <c r="Y116" s="89">
        <f>$D$84*(1+$E$84)^22</f>
        <v>35.103128639060685</v>
      </c>
      <c r="Z116" s="89">
        <f>$D$84*(1+$E$84)^23</f>
        <v>36.858285071013725</v>
      </c>
    </row>
    <row r="117" spans="1:26" ht="15" hidden="1" customHeight="1" outlineLevel="1" x14ac:dyDescent="0.25">
      <c r="A117" s="87" t="s">
        <v>631</v>
      </c>
      <c r="B117" s="87">
        <v>0</v>
      </c>
      <c r="C117" s="89">
        <f t="shared" ref="C117:Z117" si="34">B117*(1-$F$84)+C116</f>
        <v>12</v>
      </c>
      <c r="D117" s="89">
        <f t="shared" si="34"/>
        <v>24.240000000000002</v>
      </c>
      <c r="E117" s="89">
        <f t="shared" si="34"/>
        <v>36.742800000000003</v>
      </c>
      <c r="F117" s="89">
        <f t="shared" si="34"/>
        <v>49.532015999999999</v>
      </c>
      <c r="G117" s="89">
        <f t="shared" si="34"/>
        <v>62.632130519999997</v>
      </c>
      <c r="H117" s="89">
        <f t="shared" si="34"/>
        <v>76.068545354399987</v>
      </c>
      <c r="I117" s="89">
        <f t="shared" si="34"/>
        <v>89.867636681267982</v>
      </c>
      <c r="J117" s="89">
        <f t="shared" si="34"/>
        <v>104.05681265270495</v>
      </c>
      <c r="K117" s="89">
        <f t="shared" si="34"/>
        <v>118.66457359859255</v>
      </c>
      <c r="L117" s="89">
        <f t="shared" si="34"/>
        <v>133.72057498237697</v>
      </c>
      <c r="M117" s="89">
        <f t="shared" si="34"/>
        <v>149.25569325423498</v>
      </c>
      <c r="N117" s="89">
        <f t="shared" si="34"/>
        <v>165.30209475400372</v>
      </c>
      <c r="O117" s="89">
        <f t="shared" si="34"/>
        <v>181.89330782364917</v>
      </c>
      <c r="P117" s="89">
        <f t="shared" si="34"/>
        <v>199.06429829681852</v>
      </c>
      <c r="Q117" s="89">
        <f t="shared" si="34"/>
        <v>216.85154854118673</v>
      </c>
      <c r="R117" s="89">
        <f t="shared" si="34"/>
        <v>235.29314023788754</v>
      </c>
      <c r="S117" s="89">
        <f t="shared" si="34"/>
        <v>254.42884109133414</v>
      </c>
      <c r="T117" s="89">
        <f t="shared" si="34"/>
        <v>274.30019567220648</v>
      </c>
      <c r="U117" s="89">
        <f t="shared" si="34"/>
        <v>294.9506206063333</v>
      </c>
      <c r="V117" s="89">
        <f t="shared" si="34"/>
        <v>316.42550433265097</v>
      </c>
      <c r="W117" s="89">
        <f t="shared" si="34"/>
        <v>338.77231166440447</v>
      </c>
      <c r="X117" s="89">
        <f t="shared" si="34"/>
        <v>362.04069339929202</v>
      </c>
      <c r="Y117" s="89">
        <f t="shared" si="34"/>
        <v>386.28260123637392</v>
      </c>
      <c r="Z117" s="89">
        <f t="shared" si="34"/>
        <v>411.55240827029638</v>
      </c>
    </row>
    <row r="118" spans="1:26" ht="15" hidden="1" customHeight="1" outlineLevel="1" x14ac:dyDescent="0.25">
      <c r="A118" s="87" t="s">
        <v>632</v>
      </c>
      <c r="B118" s="88">
        <f>-$I$84</f>
        <v>-900000000</v>
      </c>
      <c r="C118" s="88">
        <f t="shared" ref="C118:Z118" si="35">C117*($B$84-$C$84)-C116*$G$84-$H$84</f>
        <v>-296836345.088</v>
      </c>
      <c r="D118" s="88">
        <f t="shared" si="35"/>
        <v>-269897417.07776004</v>
      </c>
      <c r="E118" s="88">
        <f t="shared" si="35"/>
        <v>-242564965.0249472</v>
      </c>
      <c r="F118" s="88">
        <f t="shared" si="35"/>
        <v>-214790710.05669481</v>
      </c>
      <c r="G118" s="88">
        <f t="shared" si="35"/>
        <v>-186524817.43661475</v>
      </c>
      <c r="H118" s="88">
        <f t="shared" si="35"/>
        <v>-157715793.0292182</v>
      </c>
      <c r="I118" s="88">
        <f t="shared" si="35"/>
        <v>-128310375.35982859</v>
      </c>
      <c r="J118" s="88">
        <f t="shared" si="35"/>
        <v>-98253423.026595026</v>
      </c>
      <c r="K118" s="88">
        <f t="shared" si="35"/>
        <v>-67487797.209736466</v>
      </c>
      <c r="L118" s="88">
        <f t="shared" si="35"/>
        <v>-35954239.011080682</v>
      </c>
      <c r="M118" s="88">
        <f t="shared" si="35"/>
        <v>-3591241.344266355</v>
      </c>
      <c r="N118" s="88">
        <f t="shared" si="35"/>
        <v>29665084.917367637</v>
      </c>
      <c r="O118" s="88">
        <f t="shared" si="35"/>
        <v>63881150.842217922</v>
      </c>
      <c r="P118" s="88">
        <f t="shared" si="35"/>
        <v>99126035.712941229</v>
      </c>
      <c r="Q118" s="88">
        <f t="shared" si="35"/>
        <v>135471640.00734234</v>
      </c>
      <c r="R118" s="88">
        <f t="shared" si="35"/>
        <v>172992845.44120079</v>
      </c>
      <c r="S118" s="88">
        <f t="shared" si="35"/>
        <v>211767682.44374752</v>
      </c>
      <c r="T118" s="88">
        <f t="shared" si="35"/>
        <v>251877505.45450681</v>
      </c>
      <c r="U118" s="88">
        <f t="shared" si="35"/>
        <v>293407176.44914705</v>
      </c>
      <c r="V118" s="88">
        <f t="shared" si="35"/>
        <v>336445257.12186188</v>
      </c>
      <c r="W118" s="88">
        <f t="shared" si="35"/>
        <v>381084210.1727047</v>
      </c>
      <c r="X118" s="88">
        <f t="shared" si="35"/>
        <v>427420610.1702472</v>
      </c>
      <c r="Y118" s="88">
        <f t="shared" si="35"/>
        <v>475555364.48299956</v>
      </c>
      <c r="Z118" s="88">
        <f t="shared" si="35"/>
        <v>525593944.79726219</v>
      </c>
    </row>
    <row r="119" spans="1:26" ht="15" hidden="1" customHeight="1" outlineLevel="1" x14ac:dyDescent="0.25">
      <c r="A119" s="87" t="s">
        <v>633</v>
      </c>
      <c r="B119" s="88">
        <f>$J$84+B118</f>
        <v>1600000000</v>
      </c>
      <c r="C119" s="88">
        <f t="shared" ref="C119:Z119" si="36">B119+C118</f>
        <v>1303163654.9119999</v>
      </c>
      <c r="D119" s="88">
        <f t="shared" si="36"/>
        <v>1033266237.83424</v>
      </c>
      <c r="E119" s="88">
        <f t="shared" si="36"/>
        <v>790701272.80929279</v>
      </c>
      <c r="F119" s="88">
        <f t="shared" si="36"/>
        <v>575910562.75259805</v>
      </c>
      <c r="G119" s="88">
        <f t="shared" si="36"/>
        <v>389385745.3159833</v>
      </c>
      <c r="H119" s="88">
        <f t="shared" si="36"/>
        <v>231669952.2867651</v>
      </c>
      <c r="I119" s="88">
        <f t="shared" si="36"/>
        <v>103359576.92693651</v>
      </c>
      <c r="J119" s="88">
        <f t="shared" si="36"/>
        <v>5106153.900341481</v>
      </c>
      <c r="K119" s="88">
        <f t="shared" si="36"/>
        <v>-62381643.309394985</v>
      </c>
      <c r="L119" s="88">
        <f t="shared" si="36"/>
        <v>-98335882.320475668</v>
      </c>
      <c r="M119" s="88">
        <f t="shared" si="36"/>
        <v>-101927123.66474202</v>
      </c>
      <c r="N119" s="88">
        <f t="shared" si="36"/>
        <v>-72262038.747374386</v>
      </c>
      <c r="O119" s="88">
        <f t="shared" si="36"/>
        <v>-8380887.9051564634</v>
      </c>
      <c r="P119" s="88">
        <f t="shared" si="36"/>
        <v>90745147.807784766</v>
      </c>
      <c r="Q119" s="88">
        <f t="shared" si="36"/>
        <v>226216787.8151271</v>
      </c>
      <c r="R119" s="88">
        <f t="shared" si="36"/>
        <v>399209633.25632787</v>
      </c>
      <c r="S119" s="88">
        <f t="shared" si="36"/>
        <v>610977315.70007539</v>
      </c>
      <c r="T119" s="88">
        <f t="shared" si="36"/>
        <v>862854821.15458226</v>
      </c>
      <c r="U119" s="88">
        <f t="shared" si="36"/>
        <v>1156261997.6037292</v>
      </c>
      <c r="V119" s="88">
        <f t="shared" si="36"/>
        <v>1492707254.7255912</v>
      </c>
      <c r="W119" s="88">
        <f t="shared" si="36"/>
        <v>1873791464.8982959</v>
      </c>
      <c r="X119" s="88">
        <f t="shared" si="36"/>
        <v>2301212075.068543</v>
      </c>
      <c r="Y119" s="88">
        <f t="shared" si="36"/>
        <v>2776767439.5515423</v>
      </c>
      <c r="Z119" s="88">
        <f t="shared" si="36"/>
        <v>3302361384.3488045</v>
      </c>
    </row>
    <row r="120" spans="1:26" ht="15" hidden="1" customHeight="1" outlineLevel="1" x14ac:dyDescent="0.25">
      <c r="A120" s="87" t="s">
        <v>634</v>
      </c>
      <c r="B120" s="88">
        <f>B118</f>
        <v>-900000000</v>
      </c>
      <c r="C120" s="88">
        <f t="shared" ref="C120:Z120" si="37">B120+C118</f>
        <v>-1196836345.0880001</v>
      </c>
      <c r="D120" s="88">
        <f t="shared" si="37"/>
        <v>-1466733762.16576</v>
      </c>
      <c r="E120" s="88">
        <f t="shared" si="37"/>
        <v>-1709298727.1907072</v>
      </c>
      <c r="F120" s="88">
        <f t="shared" si="37"/>
        <v>-1924089437.247402</v>
      </c>
      <c r="G120" s="88">
        <f t="shared" si="37"/>
        <v>-2110614254.6840167</v>
      </c>
      <c r="H120" s="88">
        <f t="shared" si="37"/>
        <v>-2268330047.7132349</v>
      </c>
      <c r="I120" s="88">
        <f t="shared" si="37"/>
        <v>-2396640423.0730634</v>
      </c>
      <c r="J120" s="88">
        <f t="shared" si="37"/>
        <v>-2494893846.0996585</v>
      </c>
      <c r="K120" s="88">
        <f t="shared" si="37"/>
        <v>-2562381643.3093948</v>
      </c>
      <c r="L120" s="88">
        <f t="shared" si="37"/>
        <v>-2598335882.3204756</v>
      </c>
      <c r="M120" s="88">
        <f t="shared" si="37"/>
        <v>-2601927123.664742</v>
      </c>
      <c r="N120" s="88">
        <f t="shared" si="37"/>
        <v>-2572262038.7473745</v>
      </c>
      <c r="O120" s="88">
        <f t="shared" si="37"/>
        <v>-2508380887.9051566</v>
      </c>
      <c r="P120" s="88">
        <f t="shared" si="37"/>
        <v>-2409254852.1922154</v>
      </c>
      <c r="Q120" s="88">
        <f t="shared" si="37"/>
        <v>-2273783212.1848731</v>
      </c>
      <c r="R120" s="88">
        <f t="shared" si="37"/>
        <v>-2100790366.7436724</v>
      </c>
      <c r="S120" s="88">
        <f t="shared" si="37"/>
        <v>-1889022684.2999249</v>
      </c>
      <c r="T120" s="88">
        <f t="shared" si="37"/>
        <v>-1637145178.845418</v>
      </c>
      <c r="U120" s="88">
        <f t="shared" si="37"/>
        <v>-1343738002.396271</v>
      </c>
      <c r="V120" s="88">
        <f t="shared" si="37"/>
        <v>-1007292745.2744091</v>
      </c>
      <c r="W120" s="88">
        <f t="shared" si="37"/>
        <v>-626208535.10170436</v>
      </c>
      <c r="X120" s="88">
        <f t="shared" si="37"/>
        <v>-198787924.93145716</v>
      </c>
      <c r="Y120" s="88">
        <f t="shared" si="37"/>
        <v>276767439.5515424</v>
      </c>
      <c r="Z120" s="88">
        <f t="shared" si="37"/>
        <v>802361384.34880459</v>
      </c>
    </row>
    <row r="121" spans="1:26" ht="15" hidden="1" customHeight="1" outlineLevel="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 hidden="1" customHeight="1" outlineLevel="1" x14ac:dyDescent="0.25">
      <c r="A122" s="87" t="s">
        <v>635</v>
      </c>
      <c r="B122" s="4"/>
      <c r="C122" s="89">
        <f>$D$85*(1+$E$85)^0</f>
        <v>9.6000000000000014</v>
      </c>
      <c r="D122" s="89">
        <f>$D$85*(1+$E$85)^1</f>
        <v>10.080000000000002</v>
      </c>
      <c r="E122" s="89">
        <f>$D$85*(1+$E$85)^2</f>
        <v>10.584000000000001</v>
      </c>
      <c r="F122" s="89">
        <f>$D$85*(1+$E$85)^3</f>
        <v>11.113200000000003</v>
      </c>
      <c r="G122" s="89">
        <f>$D$85*(1+$E$85)^4</f>
        <v>11.668860000000002</v>
      </c>
      <c r="H122" s="89">
        <f>$D$85*(1+$E$85)^5</f>
        <v>12.252303000000003</v>
      </c>
      <c r="I122" s="89">
        <f>$D$85*(1+$E$85)^6</f>
        <v>12.864918150000001</v>
      </c>
      <c r="J122" s="89">
        <f>$D$85*(1+$E$85)^7</f>
        <v>13.508164057500004</v>
      </c>
      <c r="K122" s="89">
        <f>$D$85*(1+$E$85)^8</f>
        <v>14.183572260375003</v>
      </c>
      <c r="L122" s="89">
        <f>$D$85*(1+$E$85)^9</f>
        <v>14.892750873393753</v>
      </c>
      <c r="M122" s="89">
        <f>$D$85*(1+$E$85)^10</f>
        <v>15.637388417063441</v>
      </c>
      <c r="N122" s="89">
        <f>$D$85*(1+$E$85)^11</f>
        <v>16.419257837916614</v>
      </c>
      <c r="O122" s="89">
        <f>$D$85*(1+$E$85)^12</f>
        <v>17.240220729812442</v>
      </c>
      <c r="P122" s="89">
        <f>$D$85*(1+$E$85)^13</f>
        <v>18.102231766303067</v>
      </c>
      <c r="Q122" s="89">
        <f>$D$85*(1+$E$85)^14</f>
        <v>19.007343354618218</v>
      </c>
      <c r="R122" s="89">
        <f>$D$85*(1+$E$85)^15</f>
        <v>19.957710522349135</v>
      </c>
      <c r="S122" s="89">
        <f>$D$85*(1+$E$85)^16</f>
        <v>20.955596048466589</v>
      </c>
      <c r="T122" s="89">
        <f>$D$85*(1+$E$85)^17</f>
        <v>22.00337585088992</v>
      </c>
      <c r="U122" s="89">
        <f>$D$85*(1+$E$85)^18</f>
        <v>23.103544643434418</v>
      </c>
      <c r="V122" s="89">
        <f>$D$85*(1+$E$85)^19</f>
        <v>24.258721875606138</v>
      </c>
      <c r="W122" s="89">
        <f>$D$85*(1+$E$85)^20</f>
        <v>25.471657969386445</v>
      </c>
      <c r="X122" s="89">
        <f>$D$85*(1+$E$85)^21</f>
        <v>26.745240867855767</v>
      </c>
      <c r="Y122" s="89">
        <f>$D$85*(1+$E$85)^22</f>
        <v>28.082502911248554</v>
      </c>
      <c r="Z122" s="89">
        <f>$D$85*(1+$E$85)^23</f>
        <v>29.486628056810986</v>
      </c>
    </row>
    <row r="123" spans="1:26" ht="15" hidden="1" customHeight="1" outlineLevel="1" x14ac:dyDescent="0.25">
      <c r="A123" s="87" t="s">
        <v>636</v>
      </c>
      <c r="B123" s="87">
        <v>0</v>
      </c>
      <c r="C123" s="89">
        <f t="shared" ref="C123:Z123" si="38">B123*(1-$F$85)+C122</f>
        <v>9.6000000000000014</v>
      </c>
      <c r="D123" s="89">
        <f t="shared" si="38"/>
        <v>19.392000000000003</v>
      </c>
      <c r="E123" s="89">
        <f t="shared" si="38"/>
        <v>29.394240000000003</v>
      </c>
      <c r="F123" s="89">
        <f t="shared" si="38"/>
        <v>39.625612800000006</v>
      </c>
      <c r="G123" s="89">
        <f t="shared" si="38"/>
        <v>50.105704416000009</v>
      </c>
      <c r="H123" s="89">
        <f t="shared" si="38"/>
        <v>60.854836283520015</v>
      </c>
      <c r="I123" s="89">
        <f t="shared" si="38"/>
        <v>71.894109345014414</v>
      </c>
      <c r="J123" s="89">
        <f t="shared" si="38"/>
        <v>83.245450122163987</v>
      </c>
      <c r="K123" s="89">
        <f t="shared" si="38"/>
        <v>94.93165887887406</v>
      </c>
      <c r="L123" s="89">
        <f t="shared" si="38"/>
        <v>106.97645998590158</v>
      </c>
      <c r="M123" s="89">
        <f t="shared" si="38"/>
        <v>119.40455460338796</v>
      </c>
      <c r="N123" s="89">
        <f t="shared" si="38"/>
        <v>132.24167580320292</v>
      </c>
      <c r="O123" s="89">
        <f t="shared" si="38"/>
        <v>145.51464625891927</v>
      </c>
      <c r="P123" s="89">
        <f t="shared" si="38"/>
        <v>159.25143863745475</v>
      </c>
      <c r="Q123" s="89">
        <f t="shared" si="38"/>
        <v>173.48123883294934</v>
      </c>
      <c r="R123" s="89">
        <f t="shared" si="38"/>
        <v>188.23451219031</v>
      </c>
      <c r="S123" s="89">
        <f t="shared" si="38"/>
        <v>203.54307287306727</v>
      </c>
      <c r="T123" s="89">
        <f t="shared" si="38"/>
        <v>219.44015653776515</v>
      </c>
      <c r="U123" s="89">
        <f t="shared" si="38"/>
        <v>235.96049648506661</v>
      </c>
      <c r="V123" s="89">
        <f t="shared" si="38"/>
        <v>253.14040346612074</v>
      </c>
      <c r="W123" s="89">
        <f t="shared" si="38"/>
        <v>271.01784933152356</v>
      </c>
      <c r="X123" s="89">
        <f t="shared" si="38"/>
        <v>289.63255471943364</v>
      </c>
      <c r="Y123" s="89">
        <f t="shared" si="38"/>
        <v>309.02608098909923</v>
      </c>
      <c r="Z123" s="89">
        <f t="shared" si="38"/>
        <v>329.24192661623727</v>
      </c>
    </row>
    <row r="124" spans="1:26" ht="15" hidden="1" customHeight="1" outlineLevel="1" x14ac:dyDescent="0.25">
      <c r="A124" s="87" t="s">
        <v>637</v>
      </c>
      <c r="B124" s="88">
        <f>-$I$85</f>
        <v>-900000000</v>
      </c>
      <c r="C124" s="88">
        <f t="shared" ref="C124:Z124" si="39">C123*($B$85-$C$85)-C122*$G$85-$H$85</f>
        <v>-260189076.0704</v>
      </c>
      <c r="D124" s="88">
        <f t="shared" si="39"/>
        <v>-237773933.66220802</v>
      </c>
      <c r="E124" s="88">
        <f t="shared" si="39"/>
        <v>-215000772.01995778</v>
      </c>
      <c r="F124" s="88">
        <f t="shared" si="39"/>
        <v>-191828808.04535586</v>
      </c>
      <c r="G124" s="88">
        <f t="shared" si="39"/>
        <v>-168215905.94929177</v>
      </c>
      <c r="H124" s="88">
        <f t="shared" si="39"/>
        <v>-144118489.0233745</v>
      </c>
      <c r="I124" s="88">
        <f t="shared" si="39"/>
        <v>-119491447.61786281</v>
      </c>
      <c r="J124" s="88">
        <f t="shared" si="39"/>
        <v>-94288043.117775932</v>
      </c>
      <c r="K124" s="88">
        <f t="shared" si="39"/>
        <v>-68459807.699114174</v>
      </c>
      <c r="L124" s="88">
        <f t="shared" si="39"/>
        <v>-41956439.636755824</v>
      </c>
      <c r="M124" s="88">
        <f t="shared" si="39"/>
        <v>-14725693.924698949</v>
      </c>
      <c r="N124" s="88">
        <f t="shared" si="39"/>
        <v>13286732.042143852</v>
      </c>
      <c r="O124" s="88">
        <f t="shared" si="39"/>
        <v>42137317.987436533</v>
      </c>
      <c r="P124" s="88">
        <f t="shared" si="39"/>
        <v>71884845.749698281</v>
      </c>
      <c r="Q124" s="88">
        <f t="shared" si="39"/>
        <v>102590530.04418653</v>
      </c>
      <c r="R124" s="88">
        <f t="shared" si="39"/>
        <v>134318155.29318893</v>
      </c>
      <c r="S124" s="88">
        <f t="shared" si="39"/>
        <v>167134218.84223771</v>
      </c>
      <c r="T124" s="88">
        <f t="shared" si="39"/>
        <v>201108080.89520717</v>
      </c>
      <c r="U124" s="88">
        <f t="shared" si="39"/>
        <v>236312121.51749945</v>
      </c>
      <c r="V124" s="88">
        <f t="shared" si="39"/>
        <v>272821905.0735805</v>
      </c>
      <c r="W124" s="88">
        <f t="shared" si="39"/>
        <v>310716352.48305929</v>
      </c>
      <c r="X124" s="88">
        <f t="shared" si="39"/>
        <v>350077921.69833803</v>
      </c>
      <c r="Y124" s="88">
        <f t="shared" si="39"/>
        <v>390992796.82664728</v>
      </c>
      <c r="Z124" s="88">
        <f t="shared" si="39"/>
        <v>433551086.34006989</v>
      </c>
    </row>
    <row r="125" spans="1:26" ht="15" hidden="1" customHeight="1" outlineLevel="1" x14ac:dyDescent="0.25">
      <c r="A125" s="87" t="s">
        <v>638</v>
      </c>
      <c r="B125" s="88">
        <f>$J$85+B124</f>
        <v>1600000000</v>
      </c>
      <c r="C125" s="88">
        <f t="shared" ref="C125:Z125" si="40">B125+C124</f>
        <v>1339810923.9296</v>
      </c>
      <c r="D125" s="88">
        <f t="shared" si="40"/>
        <v>1102036990.2673919</v>
      </c>
      <c r="E125" s="88">
        <f t="shared" si="40"/>
        <v>887036218.24743414</v>
      </c>
      <c r="F125" s="88">
        <f t="shared" si="40"/>
        <v>695207410.20207834</v>
      </c>
      <c r="G125" s="88">
        <f t="shared" si="40"/>
        <v>526991504.25278658</v>
      </c>
      <c r="H125" s="88">
        <f t="shared" si="40"/>
        <v>382873015.22941208</v>
      </c>
      <c r="I125" s="88">
        <f t="shared" si="40"/>
        <v>263381567.61154926</v>
      </c>
      <c r="J125" s="88">
        <f t="shared" si="40"/>
        <v>169093524.49377334</v>
      </c>
      <c r="K125" s="88">
        <f t="shared" si="40"/>
        <v>100633716.79465917</v>
      </c>
      <c r="L125" s="88">
        <f t="shared" si="40"/>
        <v>58677277.157903343</v>
      </c>
      <c r="M125" s="88">
        <f t="shared" si="40"/>
        <v>43951583.233204395</v>
      </c>
      <c r="N125" s="88">
        <f t="shared" si="40"/>
        <v>57238315.275348246</v>
      </c>
      <c r="O125" s="88">
        <f t="shared" si="40"/>
        <v>99375633.262784779</v>
      </c>
      <c r="P125" s="88">
        <f t="shared" si="40"/>
        <v>171260479.01248306</v>
      </c>
      <c r="Q125" s="88">
        <f t="shared" si="40"/>
        <v>273851009.05666959</v>
      </c>
      <c r="R125" s="88">
        <f t="shared" si="40"/>
        <v>408169164.34985852</v>
      </c>
      <c r="S125" s="88">
        <f t="shared" si="40"/>
        <v>575303383.19209623</v>
      </c>
      <c r="T125" s="88">
        <f t="shared" si="40"/>
        <v>776411464.0873034</v>
      </c>
      <c r="U125" s="88">
        <f t="shared" si="40"/>
        <v>1012723585.6048028</v>
      </c>
      <c r="V125" s="88">
        <f t="shared" si="40"/>
        <v>1285545490.6783834</v>
      </c>
      <c r="W125" s="88">
        <f t="shared" si="40"/>
        <v>1596261843.1614428</v>
      </c>
      <c r="X125" s="88">
        <f t="shared" si="40"/>
        <v>1946339764.8597808</v>
      </c>
      <c r="Y125" s="88">
        <f t="shared" si="40"/>
        <v>2337332561.6864281</v>
      </c>
      <c r="Z125" s="88">
        <f t="shared" si="40"/>
        <v>2770883648.0264978</v>
      </c>
    </row>
    <row r="126" spans="1:26" ht="15" hidden="1" customHeight="1" outlineLevel="1" x14ac:dyDescent="0.25">
      <c r="A126" s="87" t="s">
        <v>639</v>
      </c>
      <c r="B126" s="88">
        <f>B124</f>
        <v>-900000000</v>
      </c>
      <c r="C126" s="88">
        <f t="shared" ref="C126:Z126" si="41">B126+C124</f>
        <v>-1160189076.0704</v>
      </c>
      <c r="D126" s="88">
        <f t="shared" si="41"/>
        <v>-1397963009.7326081</v>
      </c>
      <c r="E126" s="88">
        <f t="shared" si="41"/>
        <v>-1612963781.7525659</v>
      </c>
      <c r="F126" s="88">
        <f t="shared" si="41"/>
        <v>-1804792589.7979217</v>
      </c>
      <c r="G126" s="88">
        <f t="shared" si="41"/>
        <v>-1973008495.7472134</v>
      </c>
      <c r="H126" s="88">
        <f t="shared" si="41"/>
        <v>-2117126984.7705879</v>
      </c>
      <c r="I126" s="88">
        <f t="shared" si="41"/>
        <v>-2236618432.3884506</v>
      </c>
      <c r="J126" s="88">
        <f t="shared" si="41"/>
        <v>-2330906475.5062265</v>
      </c>
      <c r="K126" s="88">
        <f t="shared" si="41"/>
        <v>-2399366283.2053409</v>
      </c>
      <c r="L126" s="88">
        <f t="shared" si="41"/>
        <v>-2441322722.8420968</v>
      </c>
      <c r="M126" s="88">
        <f t="shared" si="41"/>
        <v>-2456048416.7667956</v>
      </c>
      <c r="N126" s="88">
        <f t="shared" si="41"/>
        <v>-2442761684.7246518</v>
      </c>
      <c r="O126" s="88">
        <f t="shared" si="41"/>
        <v>-2400624366.737215</v>
      </c>
      <c r="P126" s="88">
        <f t="shared" si="41"/>
        <v>-2328739520.9875169</v>
      </c>
      <c r="Q126" s="88">
        <f t="shared" si="41"/>
        <v>-2226148990.9433303</v>
      </c>
      <c r="R126" s="88">
        <f t="shared" si="41"/>
        <v>-2091830835.6501412</v>
      </c>
      <c r="S126" s="88">
        <f t="shared" si="41"/>
        <v>-1924696616.8079035</v>
      </c>
      <c r="T126" s="88">
        <f t="shared" si="41"/>
        <v>-1723588535.9126964</v>
      </c>
      <c r="U126" s="88">
        <f t="shared" si="41"/>
        <v>-1487276414.3951969</v>
      </c>
      <c r="V126" s="88">
        <f t="shared" si="41"/>
        <v>-1214454509.3216164</v>
      </c>
      <c r="W126" s="88">
        <f t="shared" si="41"/>
        <v>-903738156.83855712</v>
      </c>
      <c r="X126" s="88">
        <f t="shared" si="41"/>
        <v>-553660235.14021909</v>
      </c>
      <c r="Y126" s="88">
        <f t="shared" si="41"/>
        <v>-162667438.31357181</v>
      </c>
      <c r="Z126" s="88">
        <f t="shared" si="41"/>
        <v>270883648.02649808</v>
      </c>
    </row>
    <row r="127" spans="1:26" ht="15" hidden="1" customHeight="1" outlineLevel="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 hidden="1" customHeight="1" outlineLevel="1" x14ac:dyDescent="0.25">
      <c r="A128" s="87" t="s">
        <v>640</v>
      </c>
      <c r="B128" s="4"/>
      <c r="C128" s="89">
        <f>$D$86*(1+$E$86)^0</f>
        <v>12</v>
      </c>
      <c r="D128" s="89">
        <f>$D$86*(1+$E$86)^1</f>
        <v>12.48</v>
      </c>
      <c r="E128" s="89">
        <f>$D$86*(1+$E$86)^2</f>
        <v>12.979200000000002</v>
      </c>
      <c r="F128" s="89">
        <f>$D$86*(1+$E$86)^3</f>
        <v>13.498368000000001</v>
      </c>
      <c r="G128" s="89">
        <f>$D$86*(1+$E$86)^4</f>
        <v>14.038302720000003</v>
      </c>
      <c r="H128" s="89">
        <f>$D$86*(1+$E$86)^5</f>
        <v>14.599834828800004</v>
      </c>
      <c r="I128" s="89">
        <f>$D$86*(1+$E$86)^6</f>
        <v>15.183828221952005</v>
      </c>
      <c r="J128" s="89">
        <f>$D$86*(1+$E$86)^7</f>
        <v>15.791181350830083</v>
      </c>
      <c r="K128" s="89">
        <f>$D$86*(1+$E$86)^8</f>
        <v>16.422828604863291</v>
      </c>
      <c r="L128" s="89">
        <f>$D$86*(1+$E$86)^9</f>
        <v>17.079741749057824</v>
      </c>
      <c r="M128" s="89">
        <f>$D$86*(1+$E$86)^10</f>
        <v>17.762931419020134</v>
      </c>
      <c r="N128" s="89">
        <f>$D$86*(1+$E$86)^11</f>
        <v>18.47344867578094</v>
      </c>
      <c r="O128" s="89">
        <f>$D$86*(1+$E$86)^12</f>
        <v>19.212386622812183</v>
      </c>
      <c r="P128" s="89">
        <f>$D$86*(1+$E$86)^13</f>
        <v>19.98088208772467</v>
      </c>
      <c r="Q128" s="89">
        <f>$D$86*(1+$E$86)^14</f>
        <v>20.780117371233654</v>
      </c>
      <c r="R128" s="89">
        <f>$D$86*(1+$E$86)^15</f>
        <v>21.611322066083002</v>
      </c>
      <c r="S128" s="89">
        <f>$D$86*(1+$E$86)^16</f>
        <v>22.475774948726325</v>
      </c>
      <c r="T128" s="89">
        <f>$D$86*(1+$E$86)^17</f>
        <v>23.37480594667538</v>
      </c>
      <c r="U128" s="89">
        <f>$D$86*(1+$E$86)^18</f>
        <v>24.309798184542394</v>
      </c>
      <c r="V128" s="89">
        <f>$D$86*(1+$E$86)^19</f>
        <v>25.282190111924091</v>
      </c>
      <c r="W128" s="89">
        <f>$D$86*(1+$E$86)^20</f>
        <v>26.293477716401057</v>
      </c>
      <c r="X128" s="89">
        <f>$D$86*(1+$E$86)^21</f>
        <v>27.345216825057104</v>
      </c>
      <c r="Y128" s="89">
        <f>$D$86*(1+$E$86)^22</f>
        <v>28.439025498059387</v>
      </c>
      <c r="Z128" s="89">
        <f>$D$86*(1+$E$86)^23</f>
        <v>29.57658651798176</v>
      </c>
    </row>
    <row r="129" spans="1:26" ht="15" hidden="1" customHeight="1" outlineLevel="1" x14ac:dyDescent="0.25">
      <c r="A129" s="87" t="s">
        <v>641</v>
      </c>
      <c r="B129" s="87">
        <v>0</v>
      </c>
      <c r="C129" s="89">
        <f t="shared" ref="C129:Z129" si="42">B129*(1-$F$86)+C128</f>
        <v>12</v>
      </c>
      <c r="D129" s="89">
        <f t="shared" si="42"/>
        <v>24.12</v>
      </c>
      <c r="E129" s="89">
        <f t="shared" si="42"/>
        <v>36.375600000000006</v>
      </c>
      <c r="F129" s="89">
        <f t="shared" si="42"/>
        <v>48.782700000000006</v>
      </c>
      <c r="G129" s="89">
        <f t="shared" si="42"/>
        <v>61.357521720000008</v>
      </c>
      <c r="H129" s="89">
        <f t="shared" si="42"/>
        <v>74.116630897200011</v>
      </c>
      <c r="I129" s="89">
        <f t="shared" si="42"/>
        <v>87.076960192236015</v>
      </c>
      <c r="J129" s="89">
        <f t="shared" si="42"/>
        <v>100.25583273729902</v>
      </c>
      <c r="K129" s="89">
        <f t="shared" si="42"/>
        <v>113.67098636004334</v>
      </c>
      <c r="L129" s="89">
        <f t="shared" si="42"/>
        <v>127.34059851829986</v>
      </c>
      <c r="M129" s="89">
        <f t="shared" si="42"/>
        <v>141.28331198177099</v>
      </c>
      <c r="N129" s="89">
        <f t="shared" si="42"/>
        <v>155.51826129809879</v>
      </c>
      <c r="O129" s="89">
        <f t="shared" si="42"/>
        <v>170.06510008196801</v>
      </c>
      <c r="P129" s="89">
        <f t="shared" si="42"/>
        <v>184.94402916723362</v>
      </c>
      <c r="Q129" s="89">
        <f t="shared" si="42"/>
        <v>200.17582566345024</v>
      </c>
      <c r="R129" s="89">
        <f t="shared" si="42"/>
        <v>215.78187295962974</v>
      </c>
      <c r="S129" s="89">
        <f t="shared" si="42"/>
        <v>231.78419171956716</v>
      </c>
      <c r="T129" s="89">
        <f t="shared" si="42"/>
        <v>248.2054719146555</v>
      </c>
      <c r="U129" s="89">
        <f t="shared" si="42"/>
        <v>265.06910594175821</v>
      </c>
      <c r="V129" s="89">
        <f t="shared" si="42"/>
        <v>282.39922287542953</v>
      </c>
      <c r="W129" s="89">
        <f t="shared" si="42"/>
        <v>300.2207239055677</v>
      </c>
      <c r="X129" s="89">
        <f t="shared" si="42"/>
        <v>318.55931901345775</v>
      </c>
      <c r="Y129" s="89">
        <f t="shared" si="42"/>
        <v>337.44156494111337</v>
      </c>
      <c r="Z129" s="89">
        <f t="shared" si="42"/>
        <v>356.89490451086169</v>
      </c>
    </row>
    <row r="130" spans="1:26" ht="15" hidden="1" customHeight="1" outlineLevel="1" x14ac:dyDescent="0.25">
      <c r="A130" s="87" t="s">
        <v>642</v>
      </c>
      <c r="B130" s="88">
        <f>-$I$86</f>
        <v>-900000000</v>
      </c>
      <c r="C130" s="88">
        <f t="shared" ref="C130:Z130" si="43">C129*($B$86-$C$86)-C128*$G$86-$H$86</f>
        <v>-275236345.088</v>
      </c>
      <c r="D130" s="88">
        <f t="shared" si="43"/>
        <v>-246465053.62687999</v>
      </c>
      <c r="E130" s="88">
        <f t="shared" si="43"/>
        <v>-217496332.8652544</v>
      </c>
      <c r="F130" s="88">
        <f t="shared" si="43"/>
        <v>-188293682.96036482</v>
      </c>
      <c r="G130" s="88">
        <f t="shared" si="43"/>
        <v>-158820002.15586463</v>
      </c>
      <c r="H130" s="88">
        <f t="shared" si="43"/>
        <v>-129037536.96287186</v>
      </c>
      <c r="I130" s="88">
        <f t="shared" si="43"/>
        <v>-98907831.120536208</v>
      </c>
      <c r="J130" s="88">
        <f t="shared" si="43"/>
        <v>-68391673.264132679</v>
      </c>
      <c r="K130" s="88">
        <f t="shared" si="43"/>
        <v>-37449043.22650975</v>
      </c>
      <c r="L130" s="88">
        <f t="shared" si="43"/>
        <v>-6039056.8964275122</v>
      </c>
      <c r="M130" s="88">
        <f t="shared" si="43"/>
        <v>25880090.445083767</v>
      </c>
      <c r="N130" s="88">
        <f t="shared" si="43"/>
        <v>58351182.391734362</v>
      </c>
      <c r="O130" s="88">
        <f t="shared" si="43"/>
        <v>91418041.366385579</v>
      </c>
      <c r="P130" s="88">
        <f t="shared" si="43"/>
        <v>125125590.34965336</v>
      </c>
      <c r="Q130" s="88">
        <f t="shared" si="43"/>
        <v>159519916.47239345</v>
      </c>
      <c r="R130" s="88">
        <f t="shared" si="43"/>
        <v>194648336.56478065</v>
      </c>
      <c r="S130" s="88">
        <f t="shared" si="43"/>
        <v>230559464.75785863</v>
      </c>
      <c r="T130" s="88">
        <f t="shared" si="43"/>
        <v>267303282.236745</v>
      </c>
      <c r="U130" s="88">
        <f t="shared" si="43"/>
        <v>304931209.24812973</v>
      </c>
      <c r="V130" s="88">
        <f t="shared" si="43"/>
        <v>343496179.46831226</v>
      </c>
      <c r="W130" s="88">
        <f t="shared" si="43"/>
        <v>383052716.84179449</v>
      </c>
      <c r="X130" s="88">
        <f t="shared" si="43"/>
        <v>423657015.00437355</v>
      </c>
      <c r="Y130" s="88">
        <f t="shared" si="43"/>
        <v>465367019.40878844</v>
      </c>
      <c r="Z130" s="88">
        <f t="shared" si="43"/>
        <v>508242512.27525282</v>
      </c>
    </row>
    <row r="131" spans="1:26" ht="15" hidden="1" customHeight="1" outlineLevel="1" x14ac:dyDescent="0.25">
      <c r="A131" s="87" t="s">
        <v>643</v>
      </c>
      <c r="B131" s="88">
        <f>$J$86+B130</f>
        <v>1600000000</v>
      </c>
      <c r="C131" s="88">
        <f t="shared" ref="C131:Z131" si="44">B131+C130</f>
        <v>1324763654.9119999</v>
      </c>
      <c r="D131" s="88">
        <f t="shared" si="44"/>
        <v>1078298601.28512</v>
      </c>
      <c r="E131" s="88">
        <f t="shared" si="44"/>
        <v>860802268.41986561</v>
      </c>
      <c r="F131" s="88">
        <f t="shared" si="44"/>
        <v>672508585.45950079</v>
      </c>
      <c r="G131" s="88">
        <f t="shared" si="44"/>
        <v>513688583.30363619</v>
      </c>
      <c r="H131" s="88">
        <f t="shared" si="44"/>
        <v>384651046.34076434</v>
      </c>
      <c r="I131" s="88">
        <f t="shared" si="44"/>
        <v>285743215.22022814</v>
      </c>
      <c r="J131" s="88">
        <f t="shared" si="44"/>
        <v>217351541.95609546</v>
      </c>
      <c r="K131" s="88">
        <f t="shared" si="44"/>
        <v>179902498.72958571</v>
      </c>
      <c r="L131" s="88">
        <f t="shared" si="44"/>
        <v>173863441.8331582</v>
      </c>
      <c r="M131" s="88">
        <f t="shared" si="44"/>
        <v>199743532.27824196</v>
      </c>
      <c r="N131" s="88">
        <f t="shared" si="44"/>
        <v>258094714.66997632</v>
      </c>
      <c r="O131" s="88">
        <f t="shared" si="44"/>
        <v>349512756.03636193</v>
      </c>
      <c r="P131" s="88">
        <f t="shared" si="44"/>
        <v>474638346.3860153</v>
      </c>
      <c r="Q131" s="88">
        <f t="shared" si="44"/>
        <v>634158262.85840869</v>
      </c>
      <c r="R131" s="88">
        <f t="shared" si="44"/>
        <v>828806599.4231894</v>
      </c>
      <c r="S131" s="88">
        <f t="shared" si="44"/>
        <v>1059366064.181048</v>
      </c>
      <c r="T131" s="88">
        <f t="shared" si="44"/>
        <v>1326669346.417793</v>
      </c>
      <c r="U131" s="88">
        <f t="shared" si="44"/>
        <v>1631600555.6659226</v>
      </c>
      <c r="V131" s="88">
        <f t="shared" si="44"/>
        <v>1975096735.1342349</v>
      </c>
      <c r="W131" s="88">
        <f t="shared" si="44"/>
        <v>2358149451.9760294</v>
      </c>
      <c r="X131" s="88">
        <f t="shared" si="44"/>
        <v>2781806466.9804029</v>
      </c>
      <c r="Y131" s="88">
        <f t="shared" si="44"/>
        <v>3247173486.3891916</v>
      </c>
      <c r="Z131" s="88">
        <f t="shared" si="44"/>
        <v>3755415998.6644444</v>
      </c>
    </row>
    <row r="132" spans="1:26" ht="15" hidden="1" customHeight="1" outlineLevel="1" x14ac:dyDescent="0.25">
      <c r="A132" s="87" t="s">
        <v>644</v>
      </c>
      <c r="B132" s="88">
        <f>B130</f>
        <v>-900000000</v>
      </c>
      <c r="C132" s="88">
        <f t="shared" ref="C132:Z132" si="45">B132+C130</f>
        <v>-1175236345.0880001</v>
      </c>
      <c r="D132" s="88">
        <f t="shared" si="45"/>
        <v>-1421701398.71488</v>
      </c>
      <c r="E132" s="88">
        <f t="shared" si="45"/>
        <v>-1639197731.5801344</v>
      </c>
      <c r="F132" s="88">
        <f t="shared" si="45"/>
        <v>-1827491414.5404992</v>
      </c>
      <c r="G132" s="88">
        <f t="shared" si="45"/>
        <v>-1986311416.6963639</v>
      </c>
      <c r="H132" s="88">
        <f t="shared" si="45"/>
        <v>-2115348953.6592357</v>
      </c>
      <c r="I132" s="88">
        <f t="shared" si="45"/>
        <v>-2214256784.7797718</v>
      </c>
      <c r="J132" s="88">
        <f t="shared" si="45"/>
        <v>-2282648458.0439043</v>
      </c>
      <c r="K132" s="88">
        <f t="shared" si="45"/>
        <v>-2320097501.2704139</v>
      </c>
      <c r="L132" s="88">
        <f t="shared" si="45"/>
        <v>-2326136558.1668415</v>
      </c>
      <c r="M132" s="88">
        <f t="shared" si="45"/>
        <v>-2300256467.7217579</v>
      </c>
      <c r="N132" s="88">
        <f t="shared" si="45"/>
        <v>-2241905285.3300238</v>
      </c>
      <c r="O132" s="88">
        <f t="shared" si="45"/>
        <v>-2150487243.9636383</v>
      </c>
      <c r="P132" s="88">
        <f t="shared" si="45"/>
        <v>-2025361653.6139851</v>
      </c>
      <c r="Q132" s="88">
        <f t="shared" si="45"/>
        <v>-1865841737.1415915</v>
      </c>
      <c r="R132" s="88">
        <f t="shared" si="45"/>
        <v>-1671193400.5768108</v>
      </c>
      <c r="S132" s="88">
        <f t="shared" si="45"/>
        <v>-1440633935.8189521</v>
      </c>
      <c r="T132" s="88">
        <f t="shared" si="45"/>
        <v>-1173330653.5822072</v>
      </c>
      <c r="U132" s="88">
        <f t="shared" si="45"/>
        <v>-868399444.33407748</v>
      </c>
      <c r="V132" s="88">
        <f t="shared" si="45"/>
        <v>-524903264.86576521</v>
      </c>
      <c r="W132" s="88">
        <f t="shared" si="45"/>
        <v>-141850548.02397072</v>
      </c>
      <c r="X132" s="88">
        <f t="shared" si="45"/>
        <v>281806466.98040283</v>
      </c>
      <c r="Y132" s="88">
        <f t="shared" si="45"/>
        <v>747173486.38919127</v>
      </c>
      <c r="Z132" s="88">
        <f t="shared" si="45"/>
        <v>1255415998.664444</v>
      </c>
    </row>
    <row r="133" spans="1:26" ht="15" hidden="1" customHeight="1" outlineLevel="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 hidden="1" customHeight="1" outlineLevel="1" x14ac:dyDescent="0.25">
      <c r="A134" s="87" t="s">
        <v>645</v>
      </c>
      <c r="B134" s="4"/>
      <c r="C134" s="89">
        <f>$D$87*(1+$E$87)^0</f>
        <v>12</v>
      </c>
      <c r="D134" s="89">
        <f>$D$87*(1+$E$87)^1</f>
        <v>12.600000000000001</v>
      </c>
      <c r="E134" s="89">
        <f>$D$87*(1+$E$87)^2</f>
        <v>13.23</v>
      </c>
      <c r="F134" s="89">
        <f>$D$87*(1+$E$87)^3</f>
        <v>13.891500000000001</v>
      </c>
      <c r="G134" s="89">
        <f>$D$87*(1+$E$87)^4</f>
        <v>14.586075000000001</v>
      </c>
      <c r="H134" s="89">
        <f>$D$87*(1+$E$87)^5</f>
        <v>15.315378750000001</v>
      </c>
      <c r="I134" s="89">
        <f>$D$87*(1+$E$87)^6</f>
        <v>16.0811476875</v>
      </c>
      <c r="J134" s="89">
        <f>$D$87*(1+$E$87)^7</f>
        <v>16.885205071875003</v>
      </c>
      <c r="K134" s="89">
        <f>$D$87*(1+$E$87)^8</f>
        <v>17.729465325468752</v>
      </c>
      <c r="L134" s="89">
        <f>$D$87*(1+$E$87)^9</f>
        <v>18.615938591742189</v>
      </c>
      <c r="M134" s="89">
        <f>$D$87*(1+$E$87)^10</f>
        <v>19.5467355213293</v>
      </c>
      <c r="N134" s="89">
        <f>$D$87*(1+$E$87)^11</f>
        <v>20.524072297395765</v>
      </c>
      <c r="O134" s="89">
        <f>$D$87*(1+$E$87)^12</f>
        <v>21.550275912265551</v>
      </c>
      <c r="P134" s="89">
        <f>$D$87*(1+$E$87)^13</f>
        <v>22.627789707878833</v>
      </c>
      <c r="Q134" s="89">
        <f>$D$87*(1+$E$87)^14</f>
        <v>23.759179193272768</v>
      </c>
      <c r="R134" s="89">
        <f>$D$87*(1+$E$87)^15</f>
        <v>24.947138152936414</v>
      </c>
      <c r="S134" s="89">
        <f>$D$87*(1+$E$87)^16</f>
        <v>26.194495060583233</v>
      </c>
      <c r="T134" s="89">
        <f>$D$87*(1+$E$87)^17</f>
        <v>27.504219813612398</v>
      </c>
      <c r="U134" s="89">
        <f>$D$87*(1+$E$87)^18</f>
        <v>28.879430804293015</v>
      </c>
      <c r="V134" s="89">
        <f>$D$87*(1+$E$87)^19</f>
        <v>30.32340234450767</v>
      </c>
      <c r="W134" s="89">
        <f>$D$87*(1+$E$87)^20</f>
        <v>31.839572461733049</v>
      </c>
      <c r="X134" s="89">
        <f>$D$87*(1+$E$87)^21</f>
        <v>33.431551084819702</v>
      </c>
      <c r="Y134" s="89">
        <f>$D$87*(1+$E$87)^22</f>
        <v>35.103128639060685</v>
      </c>
      <c r="Z134" s="89">
        <f>$D$87*(1+$E$87)^23</f>
        <v>36.858285071013725</v>
      </c>
    </row>
    <row r="135" spans="1:26" ht="15" hidden="1" customHeight="1" outlineLevel="1" x14ac:dyDescent="0.25">
      <c r="A135" s="87" t="s">
        <v>646</v>
      </c>
      <c r="B135" s="87">
        <v>0</v>
      </c>
      <c r="C135" s="89">
        <f t="shared" ref="C135:Z135" si="46">B135*(1-$F$87)+C134</f>
        <v>12</v>
      </c>
      <c r="D135" s="89">
        <f t="shared" si="46"/>
        <v>24.240000000000002</v>
      </c>
      <c r="E135" s="89">
        <f t="shared" si="46"/>
        <v>36.742800000000003</v>
      </c>
      <c r="F135" s="89">
        <f t="shared" si="46"/>
        <v>49.532015999999999</v>
      </c>
      <c r="G135" s="89">
        <f t="shared" si="46"/>
        <v>62.632130519999997</v>
      </c>
      <c r="H135" s="89">
        <f t="shared" si="46"/>
        <v>76.068545354399987</v>
      </c>
      <c r="I135" s="89">
        <f t="shared" si="46"/>
        <v>89.867636681267982</v>
      </c>
      <c r="J135" s="89">
        <f t="shared" si="46"/>
        <v>104.05681265270495</v>
      </c>
      <c r="K135" s="89">
        <f t="shared" si="46"/>
        <v>118.66457359859255</v>
      </c>
      <c r="L135" s="89">
        <f t="shared" si="46"/>
        <v>133.72057498237697</v>
      </c>
      <c r="M135" s="89">
        <f t="shared" si="46"/>
        <v>149.25569325423498</v>
      </c>
      <c r="N135" s="89">
        <f t="shared" si="46"/>
        <v>165.30209475400372</v>
      </c>
      <c r="O135" s="89">
        <f t="shared" si="46"/>
        <v>181.89330782364917</v>
      </c>
      <c r="P135" s="89">
        <f t="shared" si="46"/>
        <v>199.06429829681852</v>
      </c>
      <c r="Q135" s="89">
        <f t="shared" si="46"/>
        <v>216.85154854118673</v>
      </c>
      <c r="R135" s="89">
        <f t="shared" si="46"/>
        <v>235.29314023788754</v>
      </c>
      <c r="S135" s="89">
        <f t="shared" si="46"/>
        <v>254.42884109133414</v>
      </c>
      <c r="T135" s="89">
        <f t="shared" si="46"/>
        <v>274.30019567220648</v>
      </c>
      <c r="U135" s="89">
        <f t="shared" si="46"/>
        <v>294.9506206063333</v>
      </c>
      <c r="V135" s="89">
        <f t="shared" si="46"/>
        <v>316.42550433265097</v>
      </c>
      <c r="W135" s="89">
        <f t="shared" si="46"/>
        <v>338.77231166440447</v>
      </c>
      <c r="X135" s="89">
        <f t="shared" si="46"/>
        <v>362.04069339929202</v>
      </c>
      <c r="Y135" s="89">
        <f t="shared" si="46"/>
        <v>386.28260123637392</v>
      </c>
      <c r="Z135" s="89">
        <f t="shared" si="46"/>
        <v>411.55240827029638</v>
      </c>
    </row>
    <row r="136" spans="1:26" ht="15" hidden="1" customHeight="1" outlineLevel="1" x14ac:dyDescent="0.25">
      <c r="A136" s="87" t="s">
        <v>647</v>
      </c>
      <c r="B136" s="88">
        <f>-$I$87</f>
        <v>-900000000</v>
      </c>
      <c r="C136" s="88">
        <f t="shared" ref="C136:Z136" si="47">C135*($B$87-$C$87)-C134*$G$87-$H$87</f>
        <v>-315236345.088</v>
      </c>
      <c r="D136" s="88">
        <f t="shared" si="47"/>
        <v>-287217417.07775998</v>
      </c>
      <c r="E136" s="88">
        <f t="shared" si="47"/>
        <v>-258750965.0249472</v>
      </c>
      <c r="F136" s="88">
        <f t="shared" si="47"/>
        <v>-229786010.05669481</v>
      </c>
      <c r="G136" s="88">
        <f t="shared" si="47"/>
        <v>-200269882.43661475</v>
      </c>
      <c r="H136" s="88">
        <f t="shared" si="47"/>
        <v>-170148111.2792182</v>
      </c>
      <c r="I136" s="88">
        <f t="shared" si="47"/>
        <v>-139364309.52232859</v>
      </c>
      <c r="J136" s="88">
        <f t="shared" si="47"/>
        <v>-107860053.89722002</v>
      </c>
      <c r="K136" s="88">
        <f t="shared" si="47"/>
        <v>-75574759.623892725</v>
      </c>
      <c r="L136" s="88">
        <f t="shared" si="47"/>
        <v>-42445549.545944721</v>
      </c>
      <c r="M136" s="88">
        <f t="shared" si="47"/>
        <v>-8407117.4058736265</v>
      </c>
      <c r="N136" s="88">
        <f t="shared" si="47"/>
        <v>26608415.052680016</v>
      </c>
      <c r="O136" s="88">
        <f t="shared" si="47"/>
        <v>62671647.484295905</v>
      </c>
      <c r="P136" s="88">
        <f t="shared" si="47"/>
        <v>99856057.187123179</v>
      </c>
      <c r="Q136" s="88">
        <f t="shared" si="47"/>
        <v>138238162.5552333</v>
      </c>
      <c r="R136" s="88">
        <f t="shared" si="47"/>
        <v>177897694.11648631</v>
      </c>
      <c r="S136" s="88">
        <f t="shared" si="47"/>
        <v>218917773.55279732</v>
      </c>
      <c r="T136" s="88">
        <f t="shared" si="47"/>
        <v>261385101.11900914</v>
      </c>
      <c r="U136" s="88">
        <f t="shared" si="47"/>
        <v>305390151.89687443</v>
      </c>
      <c r="V136" s="88">
        <f t="shared" si="47"/>
        <v>351027381.34197569</v>
      </c>
      <c r="W136" s="88">
        <f t="shared" si="47"/>
        <v>398395440.60382426</v>
      </c>
      <c r="X136" s="88">
        <f t="shared" si="47"/>
        <v>447597402.12292266</v>
      </c>
      <c r="Y136" s="88">
        <f t="shared" si="47"/>
        <v>498740996.03330874</v>
      </c>
      <c r="Z136" s="88">
        <f t="shared" si="47"/>
        <v>551938857.92508698</v>
      </c>
    </row>
    <row r="137" spans="1:26" ht="15" hidden="1" customHeight="1" outlineLevel="1" x14ac:dyDescent="0.25">
      <c r="A137" s="87" t="s">
        <v>648</v>
      </c>
      <c r="B137" s="88">
        <f>$J$87+B136</f>
        <v>1600000000</v>
      </c>
      <c r="C137" s="88">
        <f t="shared" ref="C137:Z137" si="48">B137+C136</f>
        <v>1284763654.9119999</v>
      </c>
      <c r="D137" s="88">
        <f t="shared" si="48"/>
        <v>997546237.83423996</v>
      </c>
      <c r="E137" s="88">
        <f t="shared" si="48"/>
        <v>738795272.80929279</v>
      </c>
      <c r="F137" s="88">
        <f t="shared" si="48"/>
        <v>509009262.75259799</v>
      </c>
      <c r="G137" s="88">
        <f t="shared" si="48"/>
        <v>308739380.31598324</v>
      </c>
      <c r="H137" s="88">
        <f t="shared" si="48"/>
        <v>138591269.03676504</v>
      </c>
      <c r="I137" s="88">
        <f t="shared" si="48"/>
        <v>-773040.48556354642</v>
      </c>
      <c r="J137" s="88">
        <f t="shared" si="48"/>
        <v>-108633094.38278356</v>
      </c>
      <c r="K137" s="88">
        <f t="shared" si="48"/>
        <v>-184207854.00667629</v>
      </c>
      <c r="L137" s="88">
        <f t="shared" si="48"/>
        <v>-226653403.55262101</v>
      </c>
      <c r="M137" s="88">
        <f t="shared" si="48"/>
        <v>-235060520.95849463</v>
      </c>
      <c r="N137" s="88">
        <f t="shared" si="48"/>
        <v>-208452105.90581462</v>
      </c>
      <c r="O137" s="88">
        <f t="shared" si="48"/>
        <v>-145780458.42151871</v>
      </c>
      <c r="P137" s="88">
        <f t="shared" si="48"/>
        <v>-45924401.234395534</v>
      </c>
      <c r="Q137" s="88">
        <f t="shared" si="48"/>
        <v>92313761.320837766</v>
      </c>
      <c r="R137" s="88">
        <f t="shared" si="48"/>
        <v>270211455.43732405</v>
      </c>
      <c r="S137" s="88">
        <f t="shared" si="48"/>
        <v>489129228.99012136</v>
      </c>
      <c r="T137" s="88">
        <f t="shared" si="48"/>
        <v>750514330.1091305</v>
      </c>
      <c r="U137" s="88">
        <f t="shared" si="48"/>
        <v>1055904482.0060049</v>
      </c>
      <c r="V137" s="88">
        <f t="shared" si="48"/>
        <v>1406931863.3479805</v>
      </c>
      <c r="W137" s="88">
        <f t="shared" si="48"/>
        <v>1805327303.9518046</v>
      </c>
      <c r="X137" s="88">
        <f t="shared" si="48"/>
        <v>2252924706.0747271</v>
      </c>
      <c r="Y137" s="88">
        <f t="shared" si="48"/>
        <v>2751665702.108036</v>
      </c>
      <c r="Z137" s="88">
        <f t="shared" si="48"/>
        <v>3303604560.033123</v>
      </c>
    </row>
    <row r="138" spans="1:26" ht="15" hidden="1" customHeight="1" outlineLevel="1" x14ac:dyDescent="0.25">
      <c r="A138" s="87" t="s">
        <v>649</v>
      </c>
      <c r="B138" s="88">
        <f>B136</f>
        <v>-900000000</v>
      </c>
      <c r="C138" s="88">
        <f t="shared" ref="C138:Z138" si="49">B138+C136</f>
        <v>-1215236345.0880001</v>
      </c>
      <c r="D138" s="88">
        <f t="shared" si="49"/>
        <v>-1502453762.16576</v>
      </c>
      <c r="E138" s="88">
        <f t="shared" si="49"/>
        <v>-1761204727.1907072</v>
      </c>
      <c r="F138" s="88">
        <f t="shared" si="49"/>
        <v>-1990990737.247402</v>
      </c>
      <c r="G138" s="88">
        <f t="shared" si="49"/>
        <v>-2191260619.6840167</v>
      </c>
      <c r="H138" s="88">
        <f t="shared" si="49"/>
        <v>-2361408730.9632349</v>
      </c>
      <c r="I138" s="88">
        <f t="shared" si="49"/>
        <v>-2500773040.4855633</v>
      </c>
      <c r="J138" s="88">
        <f t="shared" si="49"/>
        <v>-2608633094.3827834</v>
      </c>
      <c r="K138" s="88">
        <f t="shared" si="49"/>
        <v>-2684207854.0066762</v>
      </c>
      <c r="L138" s="88">
        <f t="shared" si="49"/>
        <v>-2726653403.5526209</v>
      </c>
      <c r="M138" s="88">
        <f t="shared" si="49"/>
        <v>-2735060520.9584947</v>
      </c>
      <c r="N138" s="88">
        <f t="shared" si="49"/>
        <v>-2708452105.9058146</v>
      </c>
      <c r="O138" s="88">
        <f t="shared" si="49"/>
        <v>-2645780458.4215188</v>
      </c>
      <c r="P138" s="88">
        <f t="shared" si="49"/>
        <v>-2545924401.2343955</v>
      </c>
      <c r="Q138" s="88">
        <f t="shared" si="49"/>
        <v>-2407686238.679162</v>
      </c>
      <c r="R138" s="88">
        <f t="shared" si="49"/>
        <v>-2229788544.5626755</v>
      </c>
      <c r="S138" s="88">
        <f t="shared" si="49"/>
        <v>-2010870771.0098782</v>
      </c>
      <c r="T138" s="88">
        <f t="shared" si="49"/>
        <v>-1749485669.8908691</v>
      </c>
      <c r="U138" s="88">
        <f t="shared" si="49"/>
        <v>-1444095517.9939947</v>
      </c>
      <c r="V138" s="88">
        <f t="shared" si="49"/>
        <v>-1093068136.652019</v>
      </c>
      <c r="W138" s="88">
        <f t="shared" si="49"/>
        <v>-694672696.04819477</v>
      </c>
      <c r="X138" s="88">
        <f t="shared" si="49"/>
        <v>-247075293.92527211</v>
      </c>
      <c r="Y138" s="88">
        <f t="shared" si="49"/>
        <v>251665702.10803664</v>
      </c>
      <c r="Z138" s="88">
        <f t="shared" si="49"/>
        <v>803604560.03312361</v>
      </c>
    </row>
    <row r="139" spans="1:26" ht="15" hidden="1" customHeight="1" outlineLevel="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 hidden="1" customHeight="1" outlineLevel="1" x14ac:dyDescent="0.25">
      <c r="A140" s="87" t="s">
        <v>650</v>
      </c>
      <c r="B140" s="4"/>
      <c r="C140" s="89">
        <f>$D$88*(1+$E$88)^0</f>
        <v>12</v>
      </c>
      <c r="D140" s="89">
        <f>$D$88*(1+$E$88)^1</f>
        <v>12.600000000000001</v>
      </c>
      <c r="E140" s="89">
        <f>$D$88*(1+$E$88)^2</f>
        <v>13.23</v>
      </c>
      <c r="F140" s="89">
        <f>$D$88*(1+$E$88)^3</f>
        <v>13.891500000000001</v>
      </c>
      <c r="G140" s="89">
        <f>$D$88*(1+$E$88)^4</f>
        <v>14.586075000000001</v>
      </c>
      <c r="H140" s="89">
        <f>$D$88*(1+$E$88)^5</f>
        <v>15.315378750000001</v>
      </c>
      <c r="I140" s="89">
        <f>$D$88*(1+$E$88)^6</f>
        <v>16.0811476875</v>
      </c>
      <c r="J140" s="89">
        <f>$D$88*(1+$E$88)^7</f>
        <v>16.885205071875003</v>
      </c>
      <c r="K140" s="89">
        <f>$D$88*(1+$E$88)^8</f>
        <v>17.729465325468752</v>
      </c>
      <c r="L140" s="89">
        <f>$D$88*(1+$E$88)^9</f>
        <v>18.615938591742189</v>
      </c>
      <c r="M140" s="89">
        <f>$D$88*(1+$E$88)^10</f>
        <v>19.5467355213293</v>
      </c>
      <c r="N140" s="89">
        <f>$D$88*(1+$E$88)^11</f>
        <v>20.524072297395765</v>
      </c>
      <c r="O140" s="89">
        <f>$D$88*(1+$E$88)^12</f>
        <v>21.550275912265551</v>
      </c>
      <c r="P140" s="89">
        <f>$D$88*(1+$E$88)^13</f>
        <v>22.627789707878833</v>
      </c>
      <c r="Q140" s="89">
        <f>$D$88*(1+$E$88)^14</f>
        <v>23.759179193272768</v>
      </c>
      <c r="R140" s="89">
        <f>$D$88*(1+$E$88)^15</f>
        <v>24.947138152936414</v>
      </c>
      <c r="S140" s="89">
        <f>$D$88*(1+$E$88)^16</f>
        <v>26.194495060583233</v>
      </c>
      <c r="T140" s="89">
        <f>$D$88*(1+$E$88)^17</f>
        <v>27.504219813612398</v>
      </c>
      <c r="U140" s="89">
        <f>$D$88*(1+$E$88)^18</f>
        <v>28.879430804293015</v>
      </c>
      <c r="V140" s="89">
        <f>$D$88*(1+$E$88)^19</f>
        <v>30.32340234450767</v>
      </c>
      <c r="W140" s="89">
        <f>$D$88*(1+$E$88)^20</f>
        <v>31.839572461733049</v>
      </c>
      <c r="X140" s="89">
        <f>$D$88*(1+$E$88)^21</f>
        <v>33.431551084819702</v>
      </c>
      <c r="Y140" s="89">
        <f>$D$88*(1+$E$88)^22</f>
        <v>35.103128639060685</v>
      </c>
      <c r="Z140" s="89">
        <f>$D$88*(1+$E$88)^23</f>
        <v>36.858285071013725</v>
      </c>
    </row>
    <row r="141" spans="1:26" ht="15" hidden="1" customHeight="1" outlineLevel="1" x14ac:dyDescent="0.25">
      <c r="A141" s="87" t="s">
        <v>651</v>
      </c>
      <c r="B141" s="87">
        <v>0</v>
      </c>
      <c r="C141" s="89">
        <f t="shared" ref="C141:Z141" si="50">B141*(1-$F$88)+C140</f>
        <v>12</v>
      </c>
      <c r="D141" s="89">
        <f t="shared" si="50"/>
        <v>24.240000000000002</v>
      </c>
      <c r="E141" s="89">
        <f t="shared" si="50"/>
        <v>36.742800000000003</v>
      </c>
      <c r="F141" s="89">
        <f t="shared" si="50"/>
        <v>49.532015999999999</v>
      </c>
      <c r="G141" s="89">
        <f t="shared" si="50"/>
        <v>62.632130519999997</v>
      </c>
      <c r="H141" s="89">
        <f t="shared" si="50"/>
        <v>76.068545354399987</v>
      </c>
      <c r="I141" s="89">
        <f t="shared" si="50"/>
        <v>89.867636681267982</v>
      </c>
      <c r="J141" s="89">
        <f t="shared" si="50"/>
        <v>104.05681265270495</v>
      </c>
      <c r="K141" s="89">
        <f t="shared" si="50"/>
        <v>118.66457359859255</v>
      </c>
      <c r="L141" s="89">
        <f t="shared" si="50"/>
        <v>133.72057498237697</v>
      </c>
      <c r="M141" s="89">
        <f t="shared" si="50"/>
        <v>149.25569325423498</v>
      </c>
      <c r="N141" s="89">
        <f t="shared" si="50"/>
        <v>165.30209475400372</v>
      </c>
      <c r="O141" s="89">
        <f t="shared" si="50"/>
        <v>181.89330782364917</v>
      </c>
      <c r="P141" s="89">
        <f t="shared" si="50"/>
        <v>199.06429829681852</v>
      </c>
      <c r="Q141" s="89">
        <f t="shared" si="50"/>
        <v>216.85154854118673</v>
      </c>
      <c r="R141" s="89">
        <f t="shared" si="50"/>
        <v>235.29314023788754</v>
      </c>
      <c r="S141" s="89">
        <f t="shared" si="50"/>
        <v>254.42884109133414</v>
      </c>
      <c r="T141" s="89">
        <f t="shared" si="50"/>
        <v>274.30019567220648</v>
      </c>
      <c r="U141" s="89">
        <f t="shared" si="50"/>
        <v>294.9506206063333</v>
      </c>
      <c r="V141" s="89">
        <f t="shared" si="50"/>
        <v>316.42550433265097</v>
      </c>
      <c r="W141" s="89">
        <f t="shared" si="50"/>
        <v>338.77231166440447</v>
      </c>
      <c r="X141" s="89">
        <f t="shared" si="50"/>
        <v>362.04069339929202</v>
      </c>
      <c r="Y141" s="89">
        <f t="shared" si="50"/>
        <v>386.28260123637392</v>
      </c>
      <c r="Z141" s="89">
        <f t="shared" si="50"/>
        <v>411.55240827029638</v>
      </c>
    </row>
    <row r="142" spans="1:26" ht="15" hidden="1" customHeight="1" outlineLevel="1" x14ac:dyDescent="0.25">
      <c r="A142" s="87" t="s">
        <v>652</v>
      </c>
      <c r="B142" s="88">
        <f>-$I$88</f>
        <v>-900000000</v>
      </c>
      <c r="C142" s="88">
        <f t="shared" ref="C142:Z142" si="51">C141*($B$88-$C$88)-C140*$G$88-$H$88</f>
        <v>-290881975.03999996</v>
      </c>
      <c r="D142" s="88">
        <f t="shared" si="51"/>
        <v>-278821589.5808</v>
      </c>
      <c r="E142" s="88">
        <f t="shared" si="51"/>
        <v>-266656319.37497598</v>
      </c>
      <c r="F142" s="88">
        <f t="shared" si="51"/>
        <v>-254365976.14940673</v>
      </c>
      <c r="G142" s="88">
        <f t="shared" si="51"/>
        <v>-241929810.53838855</v>
      </c>
      <c r="H142" s="88">
        <f t="shared" si="51"/>
        <v>-229326470.57937407</v>
      </c>
      <c r="I142" s="88">
        <f t="shared" si="51"/>
        <v>-216533958.53698692</v>
      </c>
      <c r="J142" s="88">
        <f t="shared" si="51"/>
        <v>-203529585.9596211</v>
      </c>
      <c r="K142" s="88">
        <f t="shared" si="51"/>
        <v>-190289926.86851341</v>
      </c>
      <c r="L142" s="88">
        <f t="shared" si="51"/>
        <v>-176790768.97452298</v>
      </c>
      <c r="M142" s="88">
        <f t="shared" si="51"/>
        <v>-163007062.81295553</v>
      </c>
      <c r="N142" s="88">
        <f t="shared" si="51"/>
        <v>-148912868.68161848</v>
      </c>
      <c r="O142" s="88">
        <f t="shared" si="51"/>
        <v>-134481301.26187414</v>
      </c>
      <c r="P142" s="88">
        <f t="shared" si="51"/>
        <v>-119684471.79675737</v>
      </c>
      <c r="Q142" s="88">
        <f t="shared" si="51"/>
        <v>-104493427.69423109</v>
      </c>
      <c r="R142" s="88">
        <f t="shared" si="51"/>
        <v>-88878089.417349428</v>
      </c>
      <c r="S142" s="88">
        <f t="shared" si="51"/>
        <v>-72807184.516471446</v>
      </c>
      <c r="T142" s="88">
        <f t="shared" si="51"/>
        <v>-56248178.651702017</v>
      </c>
      <c r="U142" s="88">
        <f t="shared" si="51"/>
        <v>-39167203.446411788</v>
      </c>
      <c r="V142" s="88">
        <f t="shared" si="51"/>
        <v>-21528981.004993379</v>
      </c>
      <c r="W142" s="88">
        <f t="shared" si="51"/>
        <v>-3296744.9199162126</v>
      </c>
      <c r="X142" s="88">
        <f t="shared" si="51"/>
        <v>15567842.415355086</v>
      </c>
      <c r="Y142" s="88">
        <f t="shared" si="51"/>
        <v>35104776.379951835</v>
      </c>
      <c r="Z142" s="88">
        <f t="shared" si="51"/>
        <v>55355800.787463486</v>
      </c>
    </row>
    <row r="143" spans="1:26" ht="15" hidden="1" customHeight="1" outlineLevel="1" x14ac:dyDescent="0.25">
      <c r="A143" s="87" t="s">
        <v>653</v>
      </c>
      <c r="B143" s="88">
        <f>$J$88+B142</f>
        <v>1600000000</v>
      </c>
      <c r="C143" s="88">
        <f t="shared" ref="C143:Z143" si="52">B143+C142</f>
        <v>1309118024.96</v>
      </c>
      <c r="D143" s="88">
        <f t="shared" si="52"/>
        <v>1030296435.3792</v>
      </c>
      <c r="E143" s="88">
        <f t="shared" si="52"/>
        <v>763640116.00422406</v>
      </c>
      <c r="F143" s="88">
        <f t="shared" si="52"/>
        <v>509274139.85481733</v>
      </c>
      <c r="G143" s="88">
        <f t="shared" si="52"/>
        <v>267344329.31642878</v>
      </c>
      <c r="H143" s="88">
        <f t="shared" si="52"/>
        <v>38017858.737054706</v>
      </c>
      <c r="I143" s="88">
        <f t="shared" si="52"/>
        <v>-178516099.79993221</v>
      </c>
      <c r="J143" s="88">
        <f t="shared" si="52"/>
        <v>-382045685.75955331</v>
      </c>
      <c r="K143" s="88">
        <f t="shared" si="52"/>
        <v>-572335612.62806678</v>
      </c>
      <c r="L143" s="88">
        <f t="shared" si="52"/>
        <v>-749126381.60258973</v>
      </c>
      <c r="M143" s="88">
        <f t="shared" si="52"/>
        <v>-912133444.41554523</v>
      </c>
      <c r="N143" s="88">
        <f t="shared" si="52"/>
        <v>-1061046313.0971637</v>
      </c>
      <c r="O143" s="88">
        <f t="shared" si="52"/>
        <v>-1195527614.3590379</v>
      </c>
      <c r="P143" s="88">
        <f t="shared" si="52"/>
        <v>-1315212086.1557953</v>
      </c>
      <c r="Q143" s="88">
        <f t="shared" si="52"/>
        <v>-1419705513.8500264</v>
      </c>
      <c r="R143" s="88">
        <f t="shared" si="52"/>
        <v>-1508583603.2673757</v>
      </c>
      <c r="S143" s="88">
        <f t="shared" si="52"/>
        <v>-1581390787.7838471</v>
      </c>
      <c r="T143" s="88">
        <f t="shared" si="52"/>
        <v>-1637638966.435549</v>
      </c>
      <c r="U143" s="88">
        <f t="shared" si="52"/>
        <v>-1676806169.8819609</v>
      </c>
      <c r="V143" s="88">
        <f t="shared" si="52"/>
        <v>-1698335150.8869543</v>
      </c>
      <c r="W143" s="88">
        <f t="shared" si="52"/>
        <v>-1701631895.8068705</v>
      </c>
      <c r="X143" s="88">
        <f t="shared" si="52"/>
        <v>-1686064053.3915153</v>
      </c>
      <c r="Y143" s="88">
        <f t="shared" si="52"/>
        <v>-1650959277.0115633</v>
      </c>
      <c r="Z143" s="88">
        <f t="shared" si="52"/>
        <v>-1595603476.2240999</v>
      </c>
    </row>
    <row r="144" spans="1:26" ht="15" hidden="1" customHeight="1" outlineLevel="1" x14ac:dyDescent="0.25">
      <c r="A144" s="87" t="s">
        <v>654</v>
      </c>
      <c r="B144" s="88">
        <f>B142</f>
        <v>-900000000</v>
      </c>
      <c r="C144" s="88">
        <f t="shared" ref="C144:Z144" si="53">B144+C142</f>
        <v>-1190881975.04</v>
      </c>
      <c r="D144" s="88">
        <f t="shared" si="53"/>
        <v>-1469703564.6208</v>
      </c>
      <c r="E144" s="88">
        <f t="shared" si="53"/>
        <v>-1736359883.9957759</v>
      </c>
      <c r="F144" s="88">
        <f t="shared" si="53"/>
        <v>-1990725860.1451826</v>
      </c>
      <c r="G144" s="88">
        <f t="shared" si="53"/>
        <v>-2232655670.6835713</v>
      </c>
      <c r="H144" s="88">
        <f t="shared" si="53"/>
        <v>-2461982141.2629452</v>
      </c>
      <c r="I144" s="88">
        <f t="shared" si="53"/>
        <v>-2678516099.799932</v>
      </c>
      <c r="J144" s="88">
        <f t="shared" si="53"/>
        <v>-2882045685.759553</v>
      </c>
      <c r="K144" s="88">
        <f t="shared" si="53"/>
        <v>-3072335612.6280665</v>
      </c>
      <c r="L144" s="88">
        <f t="shared" si="53"/>
        <v>-3249126381.6025896</v>
      </c>
      <c r="M144" s="88">
        <f t="shared" si="53"/>
        <v>-3412133444.415545</v>
      </c>
      <c r="N144" s="88">
        <f t="shared" si="53"/>
        <v>-3561046313.0971637</v>
      </c>
      <c r="O144" s="88">
        <f t="shared" si="53"/>
        <v>-3695527614.3590379</v>
      </c>
      <c r="P144" s="88">
        <f t="shared" si="53"/>
        <v>-3815212086.1557951</v>
      </c>
      <c r="Q144" s="88">
        <f t="shared" si="53"/>
        <v>-3919705513.8500261</v>
      </c>
      <c r="R144" s="88">
        <f t="shared" si="53"/>
        <v>-4008583603.2673755</v>
      </c>
      <c r="S144" s="88">
        <f t="shared" si="53"/>
        <v>-4081390787.7838469</v>
      </c>
      <c r="T144" s="88">
        <f t="shared" si="53"/>
        <v>-4137638966.4355488</v>
      </c>
      <c r="U144" s="88">
        <f t="shared" si="53"/>
        <v>-4176806169.8819604</v>
      </c>
      <c r="V144" s="88">
        <f t="shared" si="53"/>
        <v>-4198335150.8869538</v>
      </c>
      <c r="W144" s="88">
        <f t="shared" si="53"/>
        <v>-4201631895.80687</v>
      </c>
      <c r="X144" s="88">
        <f t="shared" si="53"/>
        <v>-4186064053.3915148</v>
      </c>
      <c r="Y144" s="88">
        <f t="shared" si="53"/>
        <v>-4150959277.0115628</v>
      </c>
      <c r="Z144" s="88">
        <f t="shared" si="53"/>
        <v>-4095603476.2240992</v>
      </c>
    </row>
    <row r="145" spans="1:26" ht="15" hidden="1" customHeight="1" outlineLevel="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E76:H76"/>
    <mergeCell ref="E77:H77"/>
    <mergeCell ref="E71:H71"/>
    <mergeCell ref="E72:H72"/>
    <mergeCell ref="E73:H73"/>
    <mergeCell ref="E74:H74"/>
    <mergeCell ref="E75:H75"/>
  </mergeCells>
  <conditionalFormatting sqref="A58:H64">
    <cfRule type="expression" dxfId="0" priority="1">
      <formula>$H58=1</formula>
    </cfRule>
  </conditionalFormatting>
  <pageMargins left="0.75" right="0.75" top="1" bottom="1"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0"/>
  <sheetViews>
    <sheetView workbookViewId="0"/>
  </sheetViews>
  <sheetFormatPr defaultColWidth="14.42578125" defaultRowHeight="15" customHeight="1" x14ac:dyDescent="0.25"/>
  <cols>
    <col min="1" max="1" width="48" customWidth="1"/>
    <col min="2" max="4" width="18" customWidth="1"/>
    <col min="5" max="5" width="15" customWidth="1"/>
    <col min="6" max="6" width="40" customWidth="1"/>
    <col min="7" max="7" width="52" customWidth="1"/>
    <col min="8" max="26" width="8.7109375" customWidth="1"/>
  </cols>
  <sheetData>
    <row r="1" spans="1:7" ht="17.25" customHeight="1" x14ac:dyDescent="0.25">
      <c r="A1" s="1" t="s">
        <v>391</v>
      </c>
      <c r="B1" s="4"/>
      <c r="C1" s="4"/>
      <c r="D1" s="4"/>
      <c r="E1" s="4"/>
      <c r="F1" s="4"/>
      <c r="G1" s="4"/>
    </row>
    <row r="2" spans="1:7" ht="15" customHeight="1" x14ac:dyDescent="0.25">
      <c r="A2" s="5" t="s">
        <v>392</v>
      </c>
      <c r="B2" s="4"/>
      <c r="C2" s="4"/>
      <c r="D2" s="4"/>
      <c r="E2" s="4"/>
      <c r="F2" s="4"/>
      <c r="G2" s="4"/>
    </row>
    <row r="3" spans="1:7" ht="15" customHeight="1" x14ac:dyDescent="0.25">
      <c r="A3" s="65" t="s">
        <v>393</v>
      </c>
      <c r="B3" s="4"/>
      <c r="C3" s="4"/>
      <c r="D3" s="4"/>
      <c r="E3" s="4"/>
      <c r="F3" s="4"/>
      <c r="G3" s="4"/>
    </row>
    <row r="4" spans="1:7" ht="15" customHeight="1" x14ac:dyDescent="0.25">
      <c r="A4" s="14" t="s">
        <v>294</v>
      </c>
      <c r="B4" s="14" t="s">
        <v>295</v>
      </c>
      <c r="C4" s="14" t="s">
        <v>296</v>
      </c>
      <c r="D4" s="14" t="s">
        <v>297</v>
      </c>
      <c r="E4" s="14" t="s">
        <v>87</v>
      </c>
      <c r="F4" s="14" t="s">
        <v>88</v>
      </c>
      <c r="G4" s="14" t="s">
        <v>298</v>
      </c>
    </row>
    <row r="5" spans="1:7" ht="15.75" customHeight="1" x14ac:dyDescent="0.25">
      <c r="A5" s="16" t="s">
        <v>394</v>
      </c>
      <c r="B5" s="66"/>
      <c r="C5" s="66"/>
      <c r="D5" s="66"/>
      <c r="E5" s="27" t="s">
        <v>395</v>
      </c>
      <c r="F5" s="67" t="s">
        <v>675</v>
      </c>
      <c r="G5" s="28" t="s">
        <v>396</v>
      </c>
    </row>
    <row r="6" spans="1:7" ht="31.5" customHeight="1" x14ac:dyDescent="0.25">
      <c r="A6" s="18" t="s">
        <v>397</v>
      </c>
      <c r="B6" s="66"/>
      <c r="C6" s="66"/>
      <c r="D6" s="66"/>
      <c r="E6" s="27" t="s">
        <v>398</v>
      </c>
      <c r="F6" s="67"/>
      <c r="G6" s="28" t="s">
        <v>399</v>
      </c>
    </row>
    <row r="7" spans="1:7" ht="30" customHeight="1" x14ac:dyDescent="0.25">
      <c r="A7" s="16" t="s">
        <v>400</v>
      </c>
      <c r="B7" s="58"/>
      <c r="C7" s="58"/>
      <c r="D7" s="58"/>
      <c r="E7" s="27" t="s">
        <v>117</v>
      </c>
      <c r="F7" s="67"/>
      <c r="G7" s="28" t="s">
        <v>401</v>
      </c>
    </row>
    <row r="8" spans="1:7" ht="15.75" customHeight="1" x14ac:dyDescent="0.25">
      <c r="A8" s="16" t="s">
        <v>402</v>
      </c>
      <c r="B8" s="51"/>
      <c r="C8" s="51"/>
      <c r="D8" s="51"/>
      <c r="E8" s="27" t="s">
        <v>132</v>
      </c>
      <c r="F8" s="67"/>
      <c r="G8" s="28" t="s">
        <v>403</v>
      </c>
    </row>
    <row r="9" spans="1:7" ht="15.75" customHeight="1" x14ac:dyDescent="0.25">
      <c r="A9" s="16" t="s">
        <v>404</v>
      </c>
      <c r="B9" s="51"/>
      <c r="C9" s="51"/>
      <c r="D9" s="51"/>
      <c r="E9" s="27" t="s">
        <v>246</v>
      </c>
      <c r="F9" s="67"/>
      <c r="G9" s="28" t="s">
        <v>405</v>
      </c>
    </row>
    <row r="10" spans="1:7" ht="15.75" customHeight="1" x14ac:dyDescent="0.25">
      <c r="A10" s="16" t="s">
        <v>406</v>
      </c>
      <c r="B10" s="51"/>
      <c r="C10" s="51"/>
      <c r="D10" s="51"/>
      <c r="E10" s="27" t="s">
        <v>407</v>
      </c>
      <c r="F10" s="67"/>
      <c r="G10" s="28" t="s">
        <v>408</v>
      </c>
    </row>
    <row r="11" spans="1:7" ht="15.75" customHeight="1" x14ac:dyDescent="0.25">
      <c r="A11" s="16" t="s">
        <v>409</v>
      </c>
      <c r="B11" s="51"/>
      <c r="C11" s="51"/>
      <c r="D11" s="51"/>
      <c r="E11" s="27" t="s">
        <v>407</v>
      </c>
      <c r="F11" s="67"/>
      <c r="G11" s="28" t="s">
        <v>410</v>
      </c>
    </row>
    <row r="12" spans="1:7" ht="15.75" customHeight="1" x14ac:dyDescent="0.25">
      <c r="A12" s="16" t="s">
        <v>411</v>
      </c>
      <c r="B12" s="51"/>
      <c r="C12" s="51"/>
      <c r="D12" s="51"/>
      <c r="E12" s="27" t="s">
        <v>246</v>
      </c>
      <c r="F12" s="67"/>
      <c r="G12" s="28" t="s">
        <v>412</v>
      </c>
    </row>
    <row r="13" spans="1:7" ht="15" customHeight="1" x14ac:dyDescent="0.25">
      <c r="A13" s="16" t="s">
        <v>337</v>
      </c>
      <c r="B13" s="58">
        <v>0.15</v>
      </c>
      <c r="C13" s="58">
        <v>0.15</v>
      </c>
      <c r="D13" s="58">
        <v>0.15</v>
      </c>
      <c r="E13" s="27" t="s">
        <v>117</v>
      </c>
      <c r="F13" s="67" t="s">
        <v>413</v>
      </c>
      <c r="G13" s="27"/>
    </row>
    <row r="14" spans="1:7" x14ac:dyDescent="0.25">
      <c r="A14" s="4"/>
      <c r="B14" s="4"/>
      <c r="C14" s="4"/>
      <c r="D14" s="4"/>
      <c r="E14" s="4"/>
      <c r="F14" s="4"/>
      <c r="G14" s="4"/>
    </row>
    <row r="15" spans="1:7" ht="26.25" customHeight="1" x14ac:dyDescent="0.25">
      <c r="A15" s="14" t="s">
        <v>414</v>
      </c>
      <c r="B15" s="14" t="s">
        <v>295</v>
      </c>
      <c r="C15" s="14" t="s">
        <v>296</v>
      </c>
      <c r="D15" s="14" t="s">
        <v>297</v>
      </c>
      <c r="E15" s="14" t="s">
        <v>317</v>
      </c>
      <c r="F15" s="4"/>
      <c r="G15" s="4"/>
    </row>
    <row r="16" spans="1:7" ht="15" customHeight="1" x14ac:dyDescent="0.25">
      <c r="A16" s="22" t="s">
        <v>415</v>
      </c>
      <c r="B16" s="24">
        <f t="shared" ref="B16:D16" si="0">B5*B6*52/12*B7*B8+B9</f>
        <v>0</v>
      </c>
      <c r="C16" s="24">
        <f t="shared" si="0"/>
        <v>0</v>
      </c>
      <c r="D16" s="24">
        <f t="shared" si="0"/>
        <v>0</v>
      </c>
      <c r="E16" s="4"/>
      <c r="F16" s="4"/>
      <c r="G16" s="4"/>
    </row>
    <row r="17" spans="1:7" ht="15" customHeight="1" x14ac:dyDescent="0.25">
      <c r="A17" s="22" t="s">
        <v>418</v>
      </c>
      <c r="B17" s="24">
        <f t="shared" ref="B17:D17" si="1">B16-B12</f>
        <v>0</v>
      </c>
      <c r="C17" s="24">
        <f t="shared" si="1"/>
        <v>0</v>
      </c>
      <c r="D17" s="24">
        <f t="shared" si="1"/>
        <v>0</v>
      </c>
      <c r="E17" s="4" t="s">
        <v>419</v>
      </c>
      <c r="F17" s="4"/>
      <c r="G17" s="4"/>
    </row>
    <row r="18" spans="1:7" ht="15" customHeight="1" x14ac:dyDescent="0.25">
      <c r="A18" s="22" t="s">
        <v>420</v>
      </c>
      <c r="B18" s="24">
        <f t="shared" ref="B18:D18" si="2">B10+B11</f>
        <v>0</v>
      </c>
      <c r="C18" s="24">
        <f t="shared" si="2"/>
        <v>0</v>
      </c>
      <c r="D18" s="24">
        <f t="shared" si="2"/>
        <v>0</v>
      </c>
      <c r="E18" s="4"/>
      <c r="F18" s="4"/>
      <c r="G18" s="4"/>
    </row>
    <row r="19" spans="1:7" ht="15" customHeight="1" x14ac:dyDescent="0.25">
      <c r="A19" s="22" t="s">
        <v>421</v>
      </c>
      <c r="B19" s="68" t="str">
        <f t="shared" ref="B19:D19" si="3">IF(B5=0,"Chưa điền",IF(B17&gt;0,B18/B17,"Không hoàn vốn"))</f>
        <v>Chưa điền</v>
      </c>
      <c r="C19" s="68" t="str">
        <f t="shared" si="3"/>
        <v>Chưa điền</v>
      </c>
      <c r="D19" s="68" t="str">
        <f t="shared" si="3"/>
        <v>Chưa điền</v>
      </c>
      <c r="E19" s="4" t="s">
        <v>351</v>
      </c>
      <c r="F19" s="4"/>
      <c r="G19" s="4"/>
    </row>
    <row r="20" spans="1:7" ht="15" customHeight="1" x14ac:dyDescent="0.25">
      <c r="A20" s="22" t="s">
        <v>422</v>
      </c>
      <c r="B20" s="34">
        <f t="shared" ref="B20:D20" si="4">IFERROR((12*B17-B18)/B18,0)</f>
        <v>0</v>
      </c>
      <c r="C20" s="34">
        <f t="shared" si="4"/>
        <v>0</v>
      </c>
      <c r="D20" s="34">
        <f t="shared" si="4"/>
        <v>0</v>
      </c>
      <c r="E20" s="4" t="s">
        <v>419</v>
      </c>
      <c r="F20" s="4"/>
      <c r="G20" s="4"/>
    </row>
    <row r="21" spans="1:7" ht="15" customHeight="1" x14ac:dyDescent="0.25">
      <c r="A21" s="22" t="s">
        <v>423</v>
      </c>
      <c r="B21" s="33">
        <f t="shared" ref="B21:D21" si="5">PV(B13/12,24,-B17)-B18</f>
        <v>0</v>
      </c>
      <c r="C21" s="33">
        <f t="shared" si="5"/>
        <v>0</v>
      </c>
      <c r="D21" s="33">
        <f t="shared" si="5"/>
        <v>0</v>
      </c>
      <c r="E21" s="4" t="s">
        <v>419</v>
      </c>
      <c r="F21" s="4"/>
      <c r="G21" s="4"/>
    </row>
    <row r="22" spans="1:7" ht="15" customHeight="1" x14ac:dyDescent="0.25">
      <c r="A22" s="22" t="s">
        <v>424</v>
      </c>
      <c r="B22" s="61" t="str">
        <f t="shared" ref="B22:D22" si="6">IF(B5=0,"Chưa điền",IF(NOT(ISNUMBER(B19)),"Dừng",IF(B19&lt;12,"Làm","Thử nghiệm nhỏ")))</f>
        <v>Chưa điền</v>
      </c>
      <c r="C22" s="61" t="str">
        <f t="shared" si="6"/>
        <v>Chưa điền</v>
      </c>
      <c r="D22" s="61" t="str">
        <f t="shared" si="6"/>
        <v>Chưa điền</v>
      </c>
      <c r="E22" s="35" t="s">
        <v>429</v>
      </c>
      <c r="F22" s="4"/>
      <c r="G22" s="4"/>
    </row>
    <row r="23" spans="1:7" ht="15.75" customHeight="1" x14ac:dyDescent="0.25">
      <c r="A23" s="4"/>
      <c r="B23" s="4"/>
      <c r="C23" s="4"/>
      <c r="D23" s="4"/>
      <c r="E23" s="4"/>
      <c r="F23" s="4"/>
      <c r="G23" s="4"/>
    </row>
    <row r="24" spans="1:7" ht="15.75" customHeight="1" x14ac:dyDescent="0.25">
      <c r="A24" s="4"/>
      <c r="B24" s="4"/>
      <c r="C24" s="4"/>
      <c r="D24" s="4"/>
      <c r="E24" s="4"/>
      <c r="F24" s="4"/>
      <c r="G24" s="4"/>
    </row>
    <row r="25" spans="1:7" ht="15.75" customHeight="1" x14ac:dyDescent="0.25">
      <c r="A25" s="4"/>
      <c r="B25" s="4"/>
      <c r="C25" s="4"/>
      <c r="D25" s="4"/>
      <c r="E25" s="4"/>
      <c r="F25" s="4"/>
      <c r="G25" s="4"/>
    </row>
    <row r="26" spans="1:7" ht="15.75" customHeight="1" x14ac:dyDescent="0.25">
      <c r="A26" s="4"/>
      <c r="B26" s="4"/>
      <c r="C26" s="4"/>
      <c r="D26" s="4"/>
      <c r="E26" s="4"/>
      <c r="F26" s="4"/>
      <c r="G26" s="4"/>
    </row>
    <row r="27" spans="1:7" ht="15.75" customHeight="1" x14ac:dyDescent="0.25">
      <c r="A27" s="4"/>
      <c r="B27" s="4"/>
      <c r="C27" s="4"/>
      <c r="D27" s="4"/>
      <c r="E27" s="4"/>
      <c r="F27" s="4"/>
      <c r="G27" s="4"/>
    </row>
    <row r="28" spans="1:7" ht="15.75" customHeight="1" x14ac:dyDescent="0.25">
      <c r="A28" s="4"/>
      <c r="B28" s="4"/>
      <c r="C28" s="4"/>
      <c r="D28" s="4"/>
      <c r="E28" s="4"/>
      <c r="F28" s="4"/>
      <c r="G28" s="4"/>
    </row>
    <row r="29" spans="1:7" ht="15.75" customHeight="1" x14ac:dyDescent="0.25">
      <c r="A29" s="4"/>
      <c r="B29" s="4"/>
      <c r="C29" s="4"/>
      <c r="D29" s="4"/>
      <c r="E29" s="4"/>
      <c r="F29" s="4"/>
      <c r="G29" s="4"/>
    </row>
    <row r="30" spans="1:7" ht="15.75" customHeight="1" x14ac:dyDescent="0.25">
      <c r="A30" s="4"/>
      <c r="B30" s="4"/>
      <c r="C30" s="4"/>
      <c r="D30" s="4"/>
      <c r="E30" s="4"/>
      <c r="F30" s="4"/>
      <c r="G30" s="4"/>
    </row>
    <row r="31" spans="1:7" ht="15.75" customHeight="1" x14ac:dyDescent="0.25">
      <c r="A31" s="4"/>
      <c r="B31" s="4"/>
      <c r="C31" s="4"/>
      <c r="D31" s="4"/>
      <c r="E31" s="4"/>
      <c r="F31" s="4"/>
      <c r="G31" s="4"/>
    </row>
    <row r="32" spans="1:7" ht="15.75" customHeight="1" x14ac:dyDescent="0.25">
      <c r="A32" s="4"/>
      <c r="B32" s="4"/>
      <c r="C32" s="4"/>
      <c r="D32" s="4"/>
      <c r="E32" s="4"/>
      <c r="F32" s="4"/>
      <c r="G32" s="4"/>
    </row>
    <row r="33" spans="1:7" ht="15.75" customHeight="1" x14ac:dyDescent="0.25">
      <c r="A33" s="4"/>
      <c r="B33" s="4"/>
      <c r="C33" s="4"/>
      <c r="D33" s="4"/>
      <c r="E33" s="4"/>
      <c r="F33" s="4"/>
      <c r="G33" s="4"/>
    </row>
    <row r="34" spans="1:7" ht="15.75" customHeight="1" x14ac:dyDescent="0.25">
      <c r="A34" s="4"/>
      <c r="B34" s="4"/>
      <c r="C34" s="4"/>
      <c r="D34" s="4"/>
      <c r="E34" s="4"/>
      <c r="F34" s="4"/>
      <c r="G34" s="4"/>
    </row>
    <row r="35" spans="1:7" ht="15.75" customHeight="1" x14ac:dyDescent="0.25">
      <c r="A35" s="4"/>
      <c r="B35" s="4"/>
      <c r="C35" s="4"/>
      <c r="D35" s="4"/>
      <c r="E35" s="4"/>
      <c r="F35" s="4"/>
      <c r="G35" s="4"/>
    </row>
    <row r="36" spans="1:7" ht="15.75" customHeight="1" x14ac:dyDescent="0.25">
      <c r="A36" s="4"/>
      <c r="B36" s="4"/>
      <c r="C36" s="4"/>
      <c r="D36" s="4"/>
      <c r="E36" s="4"/>
      <c r="F36" s="4"/>
      <c r="G36" s="4"/>
    </row>
    <row r="37" spans="1:7" ht="15.75" customHeight="1" x14ac:dyDescent="0.25">
      <c r="A37" s="4"/>
      <c r="B37" s="4"/>
      <c r="C37" s="4"/>
      <c r="D37" s="4"/>
      <c r="E37" s="4"/>
      <c r="F37" s="4"/>
      <c r="G37" s="4"/>
    </row>
    <row r="38" spans="1:7" ht="15.75" customHeight="1" x14ac:dyDescent="0.25">
      <c r="A38" s="4"/>
      <c r="B38" s="4"/>
      <c r="C38" s="4"/>
      <c r="D38" s="4"/>
      <c r="E38" s="4"/>
      <c r="F38" s="4"/>
      <c r="G38" s="4"/>
    </row>
    <row r="39" spans="1:7" ht="15.75" customHeight="1" x14ac:dyDescent="0.25">
      <c r="A39" s="4"/>
      <c r="B39" s="4"/>
      <c r="C39" s="4"/>
      <c r="D39" s="4"/>
      <c r="E39" s="4"/>
      <c r="F39" s="4"/>
      <c r="G39" s="4"/>
    </row>
    <row r="40" spans="1:7" ht="15.75" customHeight="1" x14ac:dyDescent="0.25">
      <c r="A40" s="4"/>
      <c r="B40" s="4"/>
      <c r="C40" s="4"/>
      <c r="D40" s="4"/>
      <c r="E40" s="4"/>
      <c r="F40" s="4"/>
      <c r="G40" s="4"/>
    </row>
    <row r="41" spans="1:7" ht="15.75" customHeight="1" x14ac:dyDescent="0.25">
      <c r="A41" s="4"/>
      <c r="B41" s="4"/>
      <c r="C41" s="4"/>
      <c r="D41" s="4"/>
      <c r="E41" s="4"/>
      <c r="F41" s="4"/>
      <c r="G41" s="4"/>
    </row>
    <row r="42" spans="1:7" ht="15.75" customHeight="1" x14ac:dyDescent="0.25">
      <c r="A42" s="4"/>
      <c r="B42" s="4"/>
      <c r="C42" s="4"/>
      <c r="D42" s="4"/>
      <c r="E42" s="4"/>
      <c r="F42" s="4"/>
      <c r="G42" s="4"/>
    </row>
    <row r="43" spans="1:7" ht="15.75" customHeight="1" x14ac:dyDescent="0.25">
      <c r="A43" s="4"/>
      <c r="B43" s="4"/>
      <c r="C43" s="4"/>
      <c r="D43" s="4"/>
      <c r="E43" s="4"/>
      <c r="F43" s="4"/>
      <c r="G43" s="4"/>
    </row>
    <row r="44" spans="1:7" ht="15.75" customHeight="1" x14ac:dyDescent="0.25">
      <c r="A44" s="4"/>
      <c r="B44" s="4"/>
      <c r="C44" s="4"/>
      <c r="D44" s="4"/>
      <c r="E44" s="4"/>
      <c r="F44" s="4"/>
      <c r="G44" s="4"/>
    </row>
    <row r="45" spans="1:7" ht="15.75" customHeight="1" x14ac:dyDescent="0.25">
      <c r="A45" s="4"/>
      <c r="B45" s="4"/>
      <c r="C45" s="4"/>
      <c r="D45" s="4"/>
      <c r="E45" s="4"/>
      <c r="F45" s="4"/>
      <c r="G45" s="4"/>
    </row>
    <row r="46" spans="1:7" ht="15.75" customHeight="1" x14ac:dyDescent="0.25">
      <c r="A46" s="4"/>
      <c r="B46" s="4"/>
      <c r="C46" s="4"/>
      <c r="D46" s="4"/>
      <c r="E46" s="4"/>
      <c r="F46" s="4"/>
      <c r="G46" s="4"/>
    </row>
    <row r="47" spans="1:7" ht="15.75" customHeight="1" x14ac:dyDescent="0.25">
      <c r="A47" s="4"/>
      <c r="B47" s="4"/>
      <c r="C47" s="4"/>
      <c r="D47" s="4"/>
      <c r="E47" s="4"/>
      <c r="F47" s="4"/>
      <c r="G47" s="4"/>
    </row>
    <row r="48" spans="1:7" ht="15.75" customHeight="1" x14ac:dyDescent="0.25">
      <c r="A48" s="4"/>
      <c r="B48" s="4"/>
      <c r="C48" s="4"/>
      <c r="D48" s="4"/>
      <c r="E48" s="4"/>
      <c r="F48" s="4"/>
      <c r="G48" s="4"/>
    </row>
    <row r="49" spans="1:7" ht="15.75" customHeight="1" x14ac:dyDescent="0.25">
      <c r="A49" s="4"/>
      <c r="B49" s="4"/>
      <c r="C49" s="4"/>
      <c r="D49" s="4"/>
      <c r="E49" s="4"/>
      <c r="F49" s="4"/>
      <c r="G49" s="4"/>
    </row>
    <row r="50" spans="1:7" ht="15.75" customHeight="1" x14ac:dyDescent="0.25">
      <c r="A50" s="4"/>
      <c r="B50" s="4"/>
      <c r="C50" s="4"/>
      <c r="D50" s="4"/>
      <c r="E50" s="4"/>
      <c r="F50" s="4"/>
      <c r="G50" s="4"/>
    </row>
    <row r="51" spans="1:7" ht="15.75" customHeight="1" x14ac:dyDescent="0.25">
      <c r="A51" s="4"/>
      <c r="B51" s="4"/>
      <c r="C51" s="4"/>
      <c r="D51" s="4"/>
      <c r="E51" s="4"/>
      <c r="F51" s="4"/>
      <c r="G51" s="4"/>
    </row>
    <row r="52" spans="1:7" ht="15.75" customHeight="1" x14ac:dyDescent="0.25">
      <c r="A52" s="4"/>
      <c r="B52" s="4"/>
      <c r="C52" s="4"/>
      <c r="D52" s="4"/>
      <c r="E52" s="4"/>
      <c r="F52" s="4"/>
      <c r="G52" s="4"/>
    </row>
    <row r="53" spans="1:7" ht="15.75" customHeight="1" x14ac:dyDescent="0.25">
      <c r="A53" s="4"/>
      <c r="B53" s="4"/>
      <c r="C53" s="4"/>
      <c r="D53" s="4"/>
      <c r="E53" s="4"/>
      <c r="F53" s="4"/>
      <c r="G53" s="4"/>
    </row>
    <row r="54" spans="1:7" ht="15.75" customHeight="1" x14ac:dyDescent="0.25">
      <c r="A54" s="4"/>
      <c r="B54" s="4"/>
      <c r="C54" s="4"/>
      <c r="D54" s="4"/>
      <c r="E54" s="4"/>
      <c r="F54" s="4"/>
      <c r="G54" s="4"/>
    </row>
    <row r="55" spans="1:7" ht="15.75" customHeight="1" x14ac:dyDescent="0.25">
      <c r="A55" s="4"/>
      <c r="B55" s="4"/>
      <c r="C55" s="4"/>
      <c r="D55" s="4"/>
      <c r="E55" s="4"/>
      <c r="F55" s="4"/>
      <c r="G55" s="4"/>
    </row>
    <row r="56" spans="1:7" ht="15.75" customHeight="1" x14ac:dyDescent="0.25">
      <c r="A56" s="4"/>
      <c r="B56" s="4"/>
      <c r="C56" s="4"/>
      <c r="D56" s="4"/>
      <c r="E56" s="4"/>
      <c r="F56" s="4"/>
      <c r="G56" s="4"/>
    </row>
    <row r="57" spans="1:7" ht="15.75" customHeight="1" x14ac:dyDescent="0.25">
      <c r="A57" s="4"/>
      <c r="B57" s="4"/>
      <c r="C57" s="4"/>
      <c r="D57" s="4"/>
      <c r="E57" s="4"/>
      <c r="F57" s="4"/>
      <c r="G57" s="4"/>
    </row>
    <row r="58" spans="1:7" ht="15.75" customHeight="1" x14ac:dyDescent="0.25">
      <c r="A58" s="4"/>
      <c r="B58" s="4"/>
      <c r="C58" s="4"/>
      <c r="D58" s="4"/>
      <c r="E58" s="4"/>
      <c r="F58" s="4"/>
      <c r="G58" s="4"/>
    </row>
    <row r="59" spans="1:7" ht="15.75" customHeight="1" x14ac:dyDescent="0.25">
      <c r="A59" s="4"/>
      <c r="B59" s="4"/>
      <c r="C59" s="4"/>
      <c r="D59" s="4"/>
      <c r="E59" s="4"/>
      <c r="F59" s="4"/>
      <c r="G59" s="4"/>
    </row>
    <row r="60" spans="1:7" ht="15.75" customHeight="1" x14ac:dyDescent="0.25">
      <c r="A60" s="4"/>
      <c r="B60" s="4"/>
      <c r="C60" s="4"/>
      <c r="D60" s="4"/>
      <c r="E60" s="4"/>
      <c r="F60" s="4"/>
      <c r="G60" s="4"/>
    </row>
    <row r="61" spans="1:7" ht="15.75" customHeight="1" x14ac:dyDescent="0.25">
      <c r="A61" s="4"/>
      <c r="B61" s="4"/>
      <c r="C61" s="4"/>
      <c r="D61" s="4"/>
      <c r="E61" s="4"/>
      <c r="F61" s="4"/>
      <c r="G61" s="4"/>
    </row>
    <row r="62" spans="1:7" ht="15.75" customHeight="1" x14ac:dyDescent="0.25">
      <c r="A62" s="4"/>
      <c r="B62" s="4"/>
      <c r="C62" s="4"/>
      <c r="D62" s="4"/>
      <c r="E62" s="4"/>
      <c r="F62" s="4"/>
      <c r="G62" s="4"/>
    </row>
    <row r="63" spans="1:7" ht="15.75" customHeight="1" x14ac:dyDescent="0.25">
      <c r="A63" s="4"/>
      <c r="B63" s="4"/>
      <c r="C63" s="4"/>
      <c r="D63" s="4"/>
      <c r="E63" s="4"/>
      <c r="F63" s="4"/>
      <c r="G63" s="4"/>
    </row>
    <row r="64" spans="1:7" ht="15.75" customHeight="1" x14ac:dyDescent="0.25">
      <c r="A64" s="4"/>
      <c r="B64" s="4"/>
      <c r="C64" s="4"/>
      <c r="D64" s="4"/>
      <c r="E64" s="4"/>
      <c r="F64" s="4"/>
      <c r="G64" s="4"/>
    </row>
    <row r="65" spans="1:7" ht="15.75" customHeight="1" x14ac:dyDescent="0.25">
      <c r="A65" s="4"/>
      <c r="B65" s="4"/>
      <c r="C65" s="4"/>
      <c r="D65" s="4"/>
      <c r="E65" s="4"/>
      <c r="F65" s="4"/>
      <c r="G65" s="4"/>
    </row>
    <row r="66" spans="1:7" ht="15.75" customHeight="1" x14ac:dyDescent="0.25">
      <c r="A66" s="4"/>
      <c r="B66" s="4"/>
      <c r="C66" s="4"/>
      <c r="D66" s="4"/>
      <c r="E66" s="4"/>
      <c r="F66" s="4"/>
      <c r="G66" s="4"/>
    </row>
    <row r="67" spans="1:7" ht="15.75" customHeight="1" x14ac:dyDescent="0.25">
      <c r="A67" s="4"/>
      <c r="B67" s="4"/>
      <c r="C67" s="4"/>
      <c r="D67" s="4"/>
      <c r="E67" s="4"/>
      <c r="F67" s="4"/>
      <c r="G67" s="4"/>
    </row>
    <row r="68" spans="1:7" ht="15.75" customHeight="1" x14ac:dyDescent="0.25">
      <c r="A68" s="4"/>
      <c r="B68" s="4"/>
      <c r="C68" s="4"/>
      <c r="D68" s="4"/>
      <c r="E68" s="4"/>
      <c r="F68" s="4"/>
      <c r="G68" s="4"/>
    </row>
    <row r="69" spans="1:7" ht="15.75" customHeight="1" x14ac:dyDescent="0.25">
      <c r="A69" s="4"/>
      <c r="B69" s="4"/>
      <c r="C69" s="4"/>
      <c r="D69" s="4"/>
      <c r="E69" s="4"/>
      <c r="F69" s="4"/>
      <c r="G69" s="4"/>
    </row>
    <row r="70" spans="1:7" ht="15.75" customHeight="1" x14ac:dyDescent="0.25">
      <c r="A70" s="4"/>
      <c r="B70" s="4"/>
      <c r="C70" s="4"/>
      <c r="D70" s="4"/>
      <c r="E70" s="4"/>
      <c r="F70" s="4"/>
      <c r="G70" s="4"/>
    </row>
    <row r="71" spans="1:7" ht="15.75" customHeight="1" x14ac:dyDescent="0.25">
      <c r="A71" s="4"/>
      <c r="B71" s="4"/>
      <c r="C71" s="4"/>
      <c r="D71" s="4"/>
      <c r="E71" s="4"/>
      <c r="F71" s="4"/>
      <c r="G71" s="4"/>
    </row>
    <row r="72" spans="1:7" ht="15.75" customHeight="1" x14ac:dyDescent="0.25">
      <c r="A72" s="4"/>
      <c r="B72" s="4"/>
      <c r="C72" s="4"/>
      <c r="D72" s="4"/>
      <c r="E72" s="4"/>
      <c r="F72" s="4"/>
      <c r="G72" s="4"/>
    </row>
    <row r="73" spans="1:7" ht="15.75" customHeight="1" x14ac:dyDescent="0.25">
      <c r="A73" s="4"/>
      <c r="B73" s="4"/>
      <c r="C73" s="4"/>
      <c r="D73" s="4"/>
      <c r="E73" s="4"/>
      <c r="F73" s="4"/>
      <c r="G73" s="4"/>
    </row>
    <row r="74" spans="1:7" ht="15.75" customHeight="1" x14ac:dyDescent="0.25">
      <c r="A74" s="4"/>
      <c r="B74" s="4"/>
      <c r="C74" s="4"/>
      <c r="D74" s="4"/>
      <c r="E74" s="4"/>
      <c r="F74" s="4"/>
      <c r="G74" s="4"/>
    </row>
    <row r="75" spans="1:7" ht="15.75" customHeight="1" x14ac:dyDescent="0.25">
      <c r="A75" s="4"/>
      <c r="B75" s="4"/>
      <c r="C75" s="4"/>
      <c r="D75" s="4"/>
      <c r="E75" s="4"/>
      <c r="F75" s="4"/>
      <c r="G75" s="4"/>
    </row>
    <row r="76" spans="1:7" ht="15.75" customHeight="1" x14ac:dyDescent="0.25">
      <c r="A76" s="4"/>
      <c r="B76" s="4"/>
      <c r="C76" s="4"/>
      <c r="D76" s="4"/>
      <c r="E76" s="4"/>
      <c r="F76" s="4"/>
      <c r="G76" s="4"/>
    </row>
    <row r="77" spans="1:7" ht="15.75" customHeight="1" x14ac:dyDescent="0.25">
      <c r="A77" s="4"/>
      <c r="B77" s="4"/>
      <c r="C77" s="4"/>
      <c r="D77" s="4"/>
      <c r="E77" s="4"/>
      <c r="F77" s="4"/>
      <c r="G77" s="4"/>
    </row>
    <row r="78" spans="1:7" ht="15.75" customHeight="1" x14ac:dyDescent="0.25">
      <c r="A78" s="4"/>
      <c r="B78" s="4"/>
      <c r="C78" s="4"/>
      <c r="D78" s="4"/>
      <c r="E78" s="4"/>
      <c r="F78" s="4"/>
      <c r="G78" s="4"/>
    </row>
    <row r="79" spans="1:7" ht="15.75" customHeight="1" x14ac:dyDescent="0.25">
      <c r="A79" s="4"/>
      <c r="B79" s="4"/>
      <c r="C79" s="4"/>
      <c r="D79" s="4"/>
      <c r="E79" s="4"/>
      <c r="F79" s="4"/>
      <c r="G79" s="4"/>
    </row>
    <row r="80" spans="1:7" ht="15.75" customHeight="1" x14ac:dyDescent="0.25">
      <c r="A80" s="4"/>
      <c r="B80" s="4"/>
      <c r="C80" s="4"/>
      <c r="D80" s="4"/>
      <c r="E80" s="4"/>
      <c r="F80" s="4"/>
      <c r="G80" s="4"/>
    </row>
    <row r="81" spans="1:7" ht="15.75" customHeight="1" x14ac:dyDescent="0.25">
      <c r="A81" s="4"/>
      <c r="B81" s="4"/>
      <c r="C81" s="4"/>
      <c r="D81" s="4"/>
      <c r="E81" s="4"/>
      <c r="F81" s="4"/>
      <c r="G81" s="4"/>
    </row>
    <row r="82" spans="1:7" ht="15.75" customHeight="1" x14ac:dyDescent="0.25">
      <c r="A82" s="4"/>
      <c r="B82" s="4"/>
      <c r="C82" s="4"/>
      <c r="D82" s="4"/>
      <c r="E82" s="4"/>
      <c r="F82" s="4"/>
      <c r="G82" s="4"/>
    </row>
    <row r="83" spans="1:7" ht="15.75" customHeight="1" x14ac:dyDescent="0.25">
      <c r="A83" s="4"/>
      <c r="B83" s="4"/>
      <c r="C83" s="4"/>
      <c r="D83" s="4"/>
      <c r="E83" s="4"/>
      <c r="F83" s="4"/>
      <c r="G83" s="4"/>
    </row>
    <row r="84" spans="1:7" ht="15.75" customHeight="1" x14ac:dyDescent="0.25">
      <c r="A84" s="4"/>
      <c r="B84" s="4"/>
      <c r="C84" s="4"/>
      <c r="D84" s="4"/>
      <c r="E84" s="4"/>
      <c r="F84" s="4"/>
      <c r="G84" s="4"/>
    </row>
    <row r="85" spans="1:7" ht="15.75" customHeight="1" x14ac:dyDescent="0.25">
      <c r="A85" s="4"/>
      <c r="B85" s="4"/>
      <c r="C85" s="4"/>
      <c r="D85" s="4"/>
      <c r="E85" s="4"/>
      <c r="F85" s="4"/>
      <c r="G85" s="4"/>
    </row>
    <row r="86" spans="1:7" ht="15.75" customHeight="1" x14ac:dyDescent="0.25">
      <c r="A86" s="4"/>
      <c r="B86" s="4"/>
      <c r="C86" s="4"/>
      <c r="D86" s="4"/>
      <c r="E86" s="4"/>
      <c r="F86" s="4"/>
      <c r="G86" s="4"/>
    </row>
    <row r="87" spans="1:7" ht="15.75" customHeight="1" x14ac:dyDescent="0.25">
      <c r="A87" s="4"/>
      <c r="B87" s="4"/>
      <c r="C87" s="4"/>
      <c r="D87" s="4"/>
      <c r="E87" s="4"/>
      <c r="F87" s="4"/>
      <c r="G87" s="4"/>
    </row>
    <row r="88" spans="1:7" ht="15.75" customHeight="1" x14ac:dyDescent="0.25">
      <c r="A88" s="4"/>
      <c r="B88" s="4"/>
      <c r="C88" s="4"/>
      <c r="D88" s="4"/>
      <c r="E88" s="4"/>
      <c r="F88" s="4"/>
      <c r="G88" s="4"/>
    </row>
    <row r="89" spans="1:7" ht="15.75" customHeight="1" x14ac:dyDescent="0.25">
      <c r="A89" s="4"/>
      <c r="B89" s="4"/>
      <c r="C89" s="4"/>
      <c r="D89" s="4"/>
      <c r="E89" s="4"/>
      <c r="F89" s="4"/>
      <c r="G89" s="4"/>
    </row>
    <row r="90" spans="1:7" ht="15.75" customHeight="1" x14ac:dyDescent="0.25">
      <c r="A90" s="4"/>
      <c r="B90" s="4"/>
      <c r="C90" s="4"/>
      <c r="D90" s="4"/>
      <c r="E90" s="4"/>
      <c r="F90" s="4"/>
      <c r="G90" s="4"/>
    </row>
    <row r="91" spans="1:7" ht="15.75" customHeight="1" x14ac:dyDescent="0.25">
      <c r="A91" s="4"/>
      <c r="B91" s="4"/>
      <c r="C91" s="4"/>
      <c r="D91" s="4"/>
      <c r="E91" s="4"/>
      <c r="F91" s="4"/>
      <c r="G91" s="4"/>
    </row>
    <row r="92" spans="1:7" ht="15.75" customHeight="1" x14ac:dyDescent="0.25">
      <c r="A92" s="4"/>
      <c r="B92" s="4"/>
      <c r="C92" s="4"/>
      <c r="D92" s="4"/>
      <c r="E92" s="4"/>
      <c r="F92" s="4"/>
      <c r="G92" s="4"/>
    </row>
    <row r="93" spans="1:7" ht="15.75" customHeight="1" x14ac:dyDescent="0.25">
      <c r="A93" s="4"/>
      <c r="B93" s="4"/>
      <c r="C93" s="4"/>
      <c r="D93" s="4"/>
      <c r="E93" s="4"/>
      <c r="F93" s="4"/>
      <c r="G93" s="4"/>
    </row>
    <row r="94" spans="1:7" ht="15.75" customHeight="1" x14ac:dyDescent="0.25">
      <c r="A94" s="4"/>
      <c r="B94" s="4"/>
      <c r="C94" s="4"/>
      <c r="D94" s="4"/>
      <c r="E94" s="4"/>
      <c r="F94" s="4"/>
      <c r="G94" s="4"/>
    </row>
    <row r="95" spans="1:7" ht="15.75" customHeight="1" x14ac:dyDescent="0.25">
      <c r="A95" s="4"/>
      <c r="B95" s="4"/>
      <c r="C95" s="4"/>
      <c r="D95" s="4"/>
      <c r="E95" s="4"/>
      <c r="F95" s="4"/>
      <c r="G95" s="4"/>
    </row>
    <row r="96" spans="1:7" ht="15.75" customHeight="1" x14ac:dyDescent="0.25">
      <c r="A96" s="4"/>
      <c r="B96" s="4"/>
      <c r="C96" s="4"/>
      <c r="D96" s="4"/>
      <c r="E96" s="4"/>
      <c r="F96" s="4"/>
      <c r="G96" s="4"/>
    </row>
    <row r="97" spans="1:7" ht="15.75" customHeight="1" x14ac:dyDescent="0.25">
      <c r="A97" s="4"/>
      <c r="B97" s="4"/>
      <c r="C97" s="4"/>
      <c r="D97" s="4"/>
      <c r="E97" s="4"/>
      <c r="F97" s="4"/>
      <c r="G97" s="4"/>
    </row>
    <row r="98" spans="1:7" ht="15.75" customHeight="1" x14ac:dyDescent="0.25">
      <c r="A98" s="4"/>
      <c r="B98" s="4"/>
      <c r="C98" s="4"/>
      <c r="D98" s="4"/>
      <c r="E98" s="4"/>
      <c r="F98" s="4"/>
      <c r="G98" s="4"/>
    </row>
    <row r="99" spans="1:7" ht="15.75" customHeight="1" x14ac:dyDescent="0.25">
      <c r="A99" s="4"/>
      <c r="B99" s="4"/>
      <c r="C99" s="4"/>
      <c r="D99" s="4"/>
      <c r="E99" s="4"/>
      <c r="F99" s="4"/>
      <c r="G99" s="4"/>
    </row>
    <row r="100" spans="1:7" ht="15.75" customHeight="1" x14ac:dyDescent="0.25">
      <c r="A100" s="4"/>
      <c r="B100" s="4"/>
      <c r="C100" s="4"/>
      <c r="D100" s="4"/>
      <c r="E100" s="4"/>
      <c r="F100" s="4"/>
      <c r="G100" s="4"/>
    </row>
    <row r="101" spans="1:7" ht="15.75" customHeight="1" x14ac:dyDescent="0.25">
      <c r="A101" s="4"/>
      <c r="B101" s="4"/>
      <c r="C101" s="4"/>
      <c r="D101" s="4"/>
      <c r="E101" s="4"/>
      <c r="F101" s="4"/>
      <c r="G101" s="4"/>
    </row>
    <row r="102" spans="1:7" ht="15.75" customHeight="1" x14ac:dyDescent="0.25">
      <c r="A102" s="4"/>
      <c r="B102" s="4"/>
      <c r="C102" s="4"/>
      <c r="D102" s="4"/>
      <c r="E102" s="4"/>
      <c r="F102" s="4"/>
      <c r="G102" s="4"/>
    </row>
    <row r="103" spans="1:7" ht="15.75" customHeight="1" x14ac:dyDescent="0.25">
      <c r="A103" s="4"/>
      <c r="B103" s="4"/>
      <c r="C103" s="4"/>
      <c r="D103" s="4"/>
      <c r="E103" s="4"/>
      <c r="F103" s="4"/>
      <c r="G103" s="4"/>
    </row>
    <row r="104" spans="1:7" ht="15.75" customHeight="1" x14ac:dyDescent="0.25">
      <c r="A104" s="4"/>
      <c r="B104" s="4"/>
      <c r="C104" s="4"/>
      <c r="D104" s="4"/>
      <c r="E104" s="4"/>
      <c r="F104" s="4"/>
      <c r="G104" s="4"/>
    </row>
    <row r="105" spans="1:7" ht="15.75" customHeight="1" x14ac:dyDescent="0.25">
      <c r="A105" s="4"/>
      <c r="B105" s="4"/>
      <c r="C105" s="4"/>
      <c r="D105" s="4"/>
      <c r="E105" s="4"/>
      <c r="F105" s="4"/>
      <c r="G105" s="4"/>
    </row>
    <row r="106" spans="1:7" ht="15.75" customHeight="1" x14ac:dyDescent="0.25">
      <c r="A106" s="4"/>
      <c r="B106" s="4"/>
      <c r="C106" s="4"/>
      <c r="D106" s="4"/>
      <c r="E106" s="4"/>
      <c r="F106" s="4"/>
      <c r="G106" s="4"/>
    </row>
    <row r="107" spans="1:7" ht="15.75" customHeight="1" x14ac:dyDescent="0.25">
      <c r="A107" s="4"/>
      <c r="B107" s="4"/>
      <c r="C107" s="4"/>
      <c r="D107" s="4"/>
      <c r="E107" s="4"/>
      <c r="F107" s="4"/>
      <c r="G107" s="4"/>
    </row>
    <row r="108" spans="1:7" ht="15.75" customHeight="1" x14ac:dyDescent="0.25">
      <c r="A108" s="4"/>
      <c r="B108" s="4"/>
      <c r="C108" s="4"/>
      <c r="D108" s="4"/>
      <c r="E108" s="4"/>
      <c r="F108" s="4"/>
      <c r="G108" s="4"/>
    </row>
    <row r="109" spans="1:7" ht="15.75" customHeight="1" x14ac:dyDescent="0.25">
      <c r="A109" s="4"/>
      <c r="B109" s="4"/>
      <c r="C109" s="4"/>
      <c r="D109" s="4"/>
      <c r="E109" s="4"/>
      <c r="F109" s="4"/>
      <c r="G109" s="4"/>
    </row>
    <row r="110" spans="1:7" ht="15.75" customHeight="1" x14ac:dyDescent="0.25">
      <c r="A110" s="4"/>
      <c r="B110" s="4"/>
      <c r="C110" s="4"/>
      <c r="D110" s="4"/>
      <c r="E110" s="4"/>
      <c r="F110" s="4"/>
      <c r="G110" s="4"/>
    </row>
    <row r="111" spans="1:7" ht="15.75" customHeight="1" x14ac:dyDescent="0.25">
      <c r="A111" s="4"/>
      <c r="B111" s="4"/>
      <c r="C111" s="4"/>
      <c r="D111" s="4"/>
      <c r="E111" s="4"/>
      <c r="F111" s="4"/>
      <c r="G111" s="4"/>
    </row>
    <row r="112" spans="1:7" ht="15.75" customHeight="1" x14ac:dyDescent="0.25">
      <c r="A112" s="4"/>
      <c r="B112" s="4"/>
      <c r="C112" s="4"/>
      <c r="D112" s="4"/>
      <c r="E112" s="4"/>
      <c r="F112" s="4"/>
      <c r="G112" s="4"/>
    </row>
    <row r="113" spans="1:7" ht="15.75" customHeight="1" x14ac:dyDescent="0.25">
      <c r="A113" s="4"/>
      <c r="B113" s="4"/>
      <c r="C113" s="4"/>
      <c r="D113" s="4"/>
      <c r="E113" s="4"/>
      <c r="F113" s="4"/>
      <c r="G113" s="4"/>
    </row>
    <row r="114" spans="1:7" ht="15.75" customHeight="1" x14ac:dyDescent="0.25">
      <c r="A114" s="4"/>
      <c r="B114" s="4"/>
      <c r="C114" s="4"/>
      <c r="D114" s="4"/>
      <c r="E114" s="4"/>
      <c r="F114" s="4"/>
      <c r="G114" s="4"/>
    </row>
    <row r="115" spans="1:7" ht="15.75" customHeight="1" x14ac:dyDescent="0.25">
      <c r="A115" s="4"/>
      <c r="B115" s="4"/>
      <c r="C115" s="4"/>
      <c r="D115" s="4"/>
      <c r="E115" s="4"/>
      <c r="F115" s="4"/>
      <c r="G115" s="4"/>
    </row>
    <row r="116" spans="1:7" ht="15.75" customHeight="1" x14ac:dyDescent="0.25">
      <c r="A116" s="4"/>
      <c r="B116" s="4"/>
      <c r="C116" s="4"/>
      <c r="D116" s="4"/>
      <c r="E116" s="4"/>
      <c r="F116" s="4"/>
      <c r="G116" s="4"/>
    </row>
    <row r="117" spans="1:7" ht="15.75" customHeight="1" x14ac:dyDescent="0.25">
      <c r="A117" s="4"/>
      <c r="B117" s="4"/>
      <c r="C117" s="4"/>
      <c r="D117" s="4"/>
      <c r="E117" s="4"/>
      <c r="F117" s="4"/>
      <c r="G117" s="4"/>
    </row>
    <row r="118" spans="1:7" ht="15.75" customHeight="1" x14ac:dyDescent="0.25">
      <c r="A118" s="4"/>
      <c r="B118" s="4"/>
      <c r="C118" s="4"/>
      <c r="D118" s="4"/>
      <c r="E118" s="4"/>
      <c r="F118" s="4"/>
      <c r="G118" s="4"/>
    </row>
    <row r="119" spans="1:7" ht="15.75" customHeight="1" x14ac:dyDescent="0.25">
      <c r="A119" s="4"/>
      <c r="B119" s="4"/>
      <c r="C119" s="4"/>
      <c r="D119" s="4"/>
      <c r="E119" s="4"/>
      <c r="F119" s="4"/>
      <c r="G119" s="4"/>
    </row>
    <row r="120" spans="1:7" ht="15.75" customHeight="1" x14ac:dyDescent="0.25">
      <c r="A120" s="4"/>
      <c r="B120" s="4"/>
      <c r="C120" s="4"/>
      <c r="D120" s="4"/>
      <c r="E120" s="4"/>
      <c r="F120" s="4"/>
      <c r="G120" s="4"/>
    </row>
    <row r="121" spans="1:7" ht="15.75" customHeight="1" x14ac:dyDescent="0.25">
      <c r="A121" s="4"/>
      <c r="B121" s="4"/>
      <c r="C121" s="4"/>
      <c r="D121" s="4"/>
      <c r="E121" s="4"/>
      <c r="F121" s="4"/>
      <c r="G121" s="4"/>
    </row>
    <row r="122" spans="1:7" ht="15.75" customHeight="1" x14ac:dyDescent="0.25">
      <c r="A122" s="4"/>
      <c r="B122" s="4"/>
      <c r="C122" s="4"/>
      <c r="D122" s="4"/>
      <c r="E122" s="4"/>
      <c r="F122" s="4"/>
      <c r="G122" s="4"/>
    </row>
    <row r="123" spans="1:7" ht="15.75" customHeight="1" x14ac:dyDescent="0.25">
      <c r="A123" s="4"/>
      <c r="B123" s="4"/>
      <c r="C123" s="4"/>
      <c r="D123" s="4"/>
      <c r="E123" s="4"/>
      <c r="F123" s="4"/>
      <c r="G123" s="4"/>
    </row>
    <row r="124" spans="1:7" ht="15.75" customHeight="1" x14ac:dyDescent="0.25">
      <c r="A124" s="4"/>
      <c r="B124" s="4"/>
      <c r="C124" s="4"/>
      <c r="D124" s="4"/>
      <c r="E124" s="4"/>
      <c r="F124" s="4"/>
      <c r="G124" s="4"/>
    </row>
    <row r="125" spans="1:7" ht="15.75" customHeight="1" x14ac:dyDescent="0.25">
      <c r="A125" s="4"/>
      <c r="B125" s="4"/>
      <c r="C125" s="4"/>
      <c r="D125" s="4"/>
      <c r="E125" s="4"/>
      <c r="F125" s="4"/>
      <c r="G125" s="4"/>
    </row>
    <row r="126" spans="1:7" ht="15.75" customHeight="1" x14ac:dyDescent="0.25">
      <c r="A126" s="4"/>
      <c r="B126" s="4"/>
      <c r="C126" s="4"/>
      <c r="D126" s="4"/>
      <c r="E126" s="4"/>
      <c r="F126" s="4"/>
      <c r="G126" s="4"/>
    </row>
    <row r="127" spans="1:7" ht="15.75" customHeight="1" x14ac:dyDescent="0.25">
      <c r="A127" s="4"/>
      <c r="B127" s="4"/>
      <c r="C127" s="4"/>
      <c r="D127" s="4"/>
      <c r="E127" s="4"/>
      <c r="F127" s="4"/>
      <c r="G127" s="4"/>
    </row>
    <row r="128" spans="1:7" ht="15.75" customHeight="1" x14ac:dyDescent="0.25">
      <c r="A128" s="4"/>
      <c r="B128" s="4"/>
      <c r="C128" s="4"/>
      <c r="D128" s="4"/>
      <c r="E128" s="4"/>
      <c r="F128" s="4"/>
      <c r="G128" s="4"/>
    </row>
    <row r="129" spans="1:7" ht="15.75" customHeight="1" x14ac:dyDescent="0.25">
      <c r="A129" s="4"/>
      <c r="B129" s="4"/>
      <c r="C129" s="4"/>
      <c r="D129" s="4"/>
      <c r="E129" s="4"/>
      <c r="F129" s="4"/>
      <c r="G129" s="4"/>
    </row>
    <row r="130" spans="1:7" ht="15.75" customHeight="1" x14ac:dyDescent="0.25">
      <c r="A130" s="4"/>
      <c r="B130" s="4"/>
      <c r="C130" s="4"/>
      <c r="D130" s="4"/>
      <c r="E130" s="4"/>
      <c r="F130" s="4"/>
      <c r="G130" s="4"/>
    </row>
    <row r="131" spans="1:7" ht="15.75" customHeight="1" x14ac:dyDescent="0.25">
      <c r="A131" s="4"/>
      <c r="B131" s="4"/>
      <c r="C131" s="4"/>
      <c r="D131" s="4"/>
      <c r="E131" s="4"/>
      <c r="F131" s="4"/>
      <c r="G131" s="4"/>
    </row>
    <row r="132" spans="1:7" ht="15.75" customHeight="1" x14ac:dyDescent="0.25">
      <c r="A132" s="4"/>
      <c r="B132" s="4"/>
      <c r="C132" s="4"/>
      <c r="D132" s="4"/>
      <c r="E132" s="4"/>
      <c r="F132" s="4"/>
      <c r="G132" s="4"/>
    </row>
    <row r="133" spans="1:7" ht="15.75" customHeight="1" x14ac:dyDescent="0.25">
      <c r="A133" s="4"/>
      <c r="B133" s="4"/>
      <c r="C133" s="4"/>
      <c r="D133" s="4"/>
      <c r="E133" s="4"/>
      <c r="F133" s="4"/>
      <c r="G133" s="4"/>
    </row>
    <row r="134" spans="1:7" ht="15.75" customHeight="1" x14ac:dyDescent="0.25">
      <c r="A134" s="4"/>
      <c r="B134" s="4"/>
      <c r="C134" s="4"/>
      <c r="D134" s="4"/>
      <c r="E134" s="4"/>
      <c r="F134" s="4"/>
      <c r="G134" s="4"/>
    </row>
    <row r="135" spans="1:7" ht="15.75" customHeight="1" x14ac:dyDescent="0.25">
      <c r="A135" s="4"/>
      <c r="B135" s="4"/>
      <c r="C135" s="4"/>
      <c r="D135" s="4"/>
      <c r="E135" s="4"/>
      <c r="F135" s="4"/>
      <c r="G135" s="4"/>
    </row>
    <row r="136" spans="1:7" ht="15.75" customHeight="1" x14ac:dyDescent="0.25">
      <c r="A136" s="4"/>
      <c r="B136" s="4"/>
      <c r="C136" s="4"/>
      <c r="D136" s="4"/>
      <c r="E136" s="4"/>
      <c r="F136" s="4"/>
      <c r="G136" s="4"/>
    </row>
    <row r="137" spans="1:7" ht="15.75" customHeight="1" x14ac:dyDescent="0.25">
      <c r="A137" s="4"/>
      <c r="B137" s="4"/>
      <c r="C137" s="4"/>
      <c r="D137" s="4"/>
      <c r="E137" s="4"/>
      <c r="F137" s="4"/>
      <c r="G137" s="4"/>
    </row>
    <row r="138" spans="1:7" ht="15.75" customHeight="1" x14ac:dyDescent="0.25">
      <c r="A138" s="4"/>
      <c r="B138" s="4"/>
      <c r="C138" s="4"/>
      <c r="D138" s="4"/>
      <c r="E138" s="4"/>
      <c r="F138" s="4"/>
      <c r="G138" s="4"/>
    </row>
    <row r="139" spans="1:7" ht="15.75" customHeight="1" x14ac:dyDescent="0.25">
      <c r="A139" s="4"/>
      <c r="B139" s="4"/>
      <c r="C139" s="4"/>
      <c r="D139" s="4"/>
      <c r="E139" s="4"/>
      <c r="F139" s="4"/>
      <c r="G139" s="4"/>
    </row>
    <row r="140" spans="1:7" ht="15.75" customHeight="1" x14ac:dyDescent="0.25">
      <c r="A140" s="4"/>
      <c r="B140" s="4"/>
      <c r="C140" s="4"/>
      <c r="D140" s="4"/>
      <c r="E140" s="4"/>
      <c r="F140" s="4"/>
      <c r="G140" s="4"/>
    </row>
    <row r="141" spans="1:7" ht="15.75" customHeight="1" x14ac:dyDescent="0.25">
      <c r="A141" s="4"/>
      <c r="B141" s="4"/>
      <c r="C141" s="4"/>
      <c r="D141" s="4"/>
      <c r="E141" s="4"/>
      <c r="F141" s="4"/>
      <c r="G141" s="4"/>
    </row>
    <row r="142" spans="1:7" ht="15.75" customHeight="1" x14ac:dyDescent="0.25">
      <c r="A142" s="4"/>
      <c r="B142" s="4"/>
      <c r="C142" s="4"/>
      <c r="D142" s="4"/>
      <c r="E142" s="4"/>
      <c r="F142" s="4"/>
      <c r="G142" s="4"/>
    </row>
    <row r="143" spans="1:7" ht="15.75" customHeight="1" x14ac:dyDescent="0.25">
      <c r="A143" s="4"/>
      <c r="B143" s="4"/>
      <c r="C143" s="4"/>
      <c r="D143" s="4"/>
      <c r="E143" s="4"/>
      <c r="F143" s="4"/>
      <c r="G143" s="4"/>
    </row>
    <row r="144" spans="1:7" ht="15.75" customHeight="1" x14ac:dyDescent="0.25">
      <c r="A144" s="4"/>
      <c r="B144" s="4"/>
      <c r="C144" s="4"/>
      <c r="D144" s="4"/>
      <c r="E144" s="4"/>
      <c r="F144" s="4"/>
      <c r="G144" s="4"/>
    </row>
    <row r="145" spans="1:7" ht="15.75" customHeight="1" x14ac:dyDescent="0.25">
      <c r="A145" s="4"/>
      <c r="B145" s="4"/>
      <c r="C145" s="4"/>
      <c r="D145" s="4"/>
      <c r="E145" s="4"/>
      <c r="F145" s="4"/>
      <c r="G145" s="4"/>
    </row>
    <row r="146" spans="1:7" ht="15.75" customHeight="1" x14ac:dyDescent="0.25">
      <c r="A146" s="4"/>
      <c r="B146" s="4"/>
      <c r="C146" s="4"/>
      <c r="D146" s="4"/>
      <c r="E146" s="4"/>
      <c r="F146" s="4"/>
      <c r="G146" s="4"/>
    </row>
    <row r="147" spans="1:7" ht="15.75" customHeight="1" x14ac:dyDescent="0.25">
      <c r="A147" s="4"/>
      <c r="B147" s="4"/>
      <c r="C147" s="4"/>
      <c r="D147" s="4"/>
      <c r="E147" s="4"/>
      <c r="F147" s="4"/>
      <c r="G147" s="4"/>
    </row>
    <row r="148" spans="1:7" ht="15.75" customHeight="1" x14ac:dyDescent="0.25">
      <c r="A148" s="4"/>
      <c r="B148" s="4"/>
      <c r="C148" s="4"/>
      <c r="D148" s="4"/>
      <c r="E148" s="4"/>
      <c r="F148" s="4"/>
      <c r="G148" s="4"/>
    </row>
    <row r="149" spans="1:7" ht="15.75" customHeight="1" x14ac:dyDescent="0.25">
      <c r="A149" s="4"/>
      <c r="B149" s="4"/>
      <c r="C149" s="4"/>
      <c r="D149" s="4"/>
      <c r="E149" s="4"/>
      <c r="F149" s="4"/>
      <c r="G149" s="4"/>
    </row>
    <row r="150" spans="1:7" ht="15.75" customHeight="1" x14ac:dyDescent="0.25">
      <c r="A150" s="4"/>
      <c r="B150" s="4"/>
      <c r="C150" s="4"/>
      <c r="D150" s="4"/>
      <c r="E150" s="4"/>
      <c r="F150" s="4"/>
      <c r="G150" s="4"/>
    </row>
    <row r="151" spans="1:7" ht="15.75" customHeight="1" x14ac:dyDescent="0.25">
      <c r="A151" s="4"/>
      <c r="B151" s="4"/>
      <c r="C151" s="4"/>
      <c r="D151" s="4"/>
      <c r="E151" s="4"/>
      <c r="F151" s="4"/>
      <c r="G151" s="4"/>
    </row>
    <row r="152" spans="1:7" ht="15.75" customHeight="1" x14ac:dyDescent="0.25">
      <c r="A152" s="4"/>
      <c r="B152" s="4"/>
      <c r="C152" s="4"/>
      <c r="D152" s="4"/>
      <c r="E152" s="4"/>
      <c r="F152" s="4"/>
      <c r="G152" s="4"/>
    </row>
    <row r="153" spans="1:7" ht="15.75" customHeight="1" x14ac:dyDescent="0.25">
      <c r="A153" s="4"/>
      <c r="B153" s="4"/>
      <c r="C153" s="4"/>
      <c r="D153" s="4"/>
      <c r="E153" s="4"/>
      <c r="F153" s="4"/>
      <c r="G153" s="4"/>
    </row>
    <row r="154" spans="1:7" ht="15.75" customHeight="1" x14ac:dyDescent="0.25">
      <c r="A154" s="4"/>
      <c r="B154" s="4"/>
      <c r="C154" s="4"/>
      <c r="D154" s="4"/>
      <c r="E154" s="4"/>
      <c r="F154" s="4"/>
      <c r="G154" s="4"/>
    </row>
    <row r="155" spans="1:7" ht="15.75" customHeight="1" x14ac:dyDescent="0.25">
      <c r="A155" s="4"/>
      <c r="B155" s="4"/>
      <c r="C155" s="4"/>
      <c r="D155" s="4"/>
      <c r="E155" s="4"/>
      <c r="F155" s="4"/>
      <c r="G155" s="4"/>
    </row>
    <row r="156" spans="1:7" ht="15.75" customHeight="1" x14ac:dyDescent="0.25">
      <c r="A156" s="4"/>
      <c r="B156" s="4"/>
      <c r="C156" s="4"/>
      <c r="D156" s="4"/>
      <c r="E156" s="4"/>
      <c r="F156" s="4"/>
      <c r="G156" s="4"/>
    </row>
    <row r="157" spans="1:7" ht="15.75" customHeight="1" x14ac:dyDescent="0.25">
      <c r="A157" s="4"/>
      <c r="B157" s="4"/>
      <c r="C157" s="4"/>
      <c r="D157" s="4"/>
      <c r="E157" s="4"/>
      <c r="F157" s="4"/>
      <c r="G157" s="4"/>
    </row>
    <row r="158" spans="1:7" ht="15.75" customHeight="1" x14ac:dyDescent="0.25">
      <c r="A158" s="4"/>
      <c r="B158" s="4"/>
      <c r="C158" s="4"/>
      <c r="D158" s="4"/>
      <c r="E158" s="4"/>
      <c r="F158" s="4"/>
      <c r="G158" s="4"/>
    </row>
    <row r="159" spans="1:7" ht="15.75" customHeight="1" x14ac:dyDescent="0.25">
      <c r="A159" s="4"/>
      <c r="B159" s="4"/>
      <c r="C159" s="4"/>
      <c r="D159" s="4"/>
      <c r="E159" s="4"/>
      <c r="F159" s="4"/>
      <c r="G159" s="4"/>
    </row>
    <row r="160" spans="1:7" ht="15.75" customHeight="1" x14ac:dyDescent="0.25">
      <c r="A160" s="4"/>
      <c r="B160" s="4"/>
      <c r="C160" s="4"/>
      <c r="D160" s="4"/>
      <c r="E160" s="4"/>
      <c r="F160" s="4"/>
      <c r="G160" s="4"/>
    </row>
    <row r="161" spans="1:7" ht="15.75" customHeight="1" x14ac:dyDescent="0.25">
      <c r="A161" s="4"/>
      <c r="B161" s="4"/>
      <c r="C161" s="4"/>
      <c r="D161" s="4"/>
      <c r="E161" s="4"/>
      <c r="F161" s="4"/>
      <c r="G161" s="4"/>
    </row>
    <row r="162" spans="1:7" ht="15.75" customHeight="1" x14ac:dyDescent="0.25">
      <c r="A162" s="4"/>
      <c r="B162" s="4"/>
      <c r="C162" s="4"/>
      <c r="D162" s="4"/>
      <c r="E162" s="4"/>
      <c r="F162" s="4"/>
      <c r="G162" s="4"/>
    </row>
    <row r="163" spans="1:7" ht="15.75" customHeight="1" x14ac:dyDescent="0.25">
      <c r="A163" s="4"/>
      <c r="B163" s="4"/>
      <c r="C163" s="4"/>
      <c r="D163" s="4"/>
      <c r="E163" s="4"/>
      <c r="F163" s="4"/>
      <c r="G163" s="4"/>
    </row>
    <row r="164" spans="1:7" ht="15.75" customHeight="1" x14ac:dyDescent="0.25">
      <c r="A164" s="4"/>
      <c r="B164" s="4"/>
      <c r="C164" s="4"/>
      <c r="D164" s="4"/>
      <c r="E164" s="4"/>
      <c r="F164" s="4"/>
      <c r="G164" s="4"/>
    </row>
    <row r="165" spans="1:7" ht="15.75" customHeight="1" x14ac:dyDescent="0.25">
      <c r="A165" s="4"/>
      <c r="B165" s="4"/>
      <c r="C165" s="4"/>
      <c r="D165" s="4"/>
      <c r="E165" s="4"/>
      <c r="F165" s="4"/>
      <c r="G165" s="4"/>
    </row>
    <row r="166" spans="1:7" ht="15.75" customHeight="1" x14ac:dyDescent="0.25">
      <c r="A166" s="4"/>
      <c r="B166" s="4"/>
      <c r="C166" s="4"/>
      <c r="D166" s="4"/>
      <c r="E166" s="4"/>
      <c r="F166" s="4"/>
      <c r="G166" s="4"/>
    </row>
    <row r="167" spans="1:7" ht="15.75" customHeight="1" x14ac:dyDescent="0.25">
      <c r="A167" s="4"/>
      <c r="B167" s="4"/>
      <c r="C167" s="4"/>
      <c r="D167" s="4"/>
      <c r="E167" s="4"/>
      <c r="F167" s="4"/>
      <c r="G167" s="4"/>
    </row>
    <row r="168" spans="1:7" ht="15.75" customHeight="1" x14ac:dyDescent="0.25">
      <c r="A168" s="4"/>
      <c r="B168" s="4"/>
      <c r="C168" s="4"/>
      <c r="D168" s="4"/>
      <c r="E168" s="4"/>
      <c r="F168" s="4"/>
      <c r="G168" s="4"/>
    </row>
    <row r="169" spans="1:7" ht="15.75" customHeight="1" x14ac:dyDescent="0.25">
      <c r="A169" s="4"/>
      <c r="B169" s="4"/>
      <c r="C169" s="4"/>
      <c r="D169" s="4"/>
      <c r="E169" s="4"/>
      <c r="F169" s="4"/>
      <c r="G169" s="4"/>
    </row>
    <row r="170" spans="1:7" ht="15.75" customHeight="1" x14ac:dyDescent="0.25">
      <c r="A170" s="4"/>
      <c r="B170" s="4"/>
      <c r="C170" s="4"/>
      <c r="D170" s="4"/>
      <c r="E170" s="4"/>
      <c r="F170" s="4"/>
      <c r="G170" s="4"/>
    </row>
    <row r="171" spans="1:7" ht="15.75" customHeight="1" x14ac:dyDescent="0.25">
      <c r="A171" s="4"/>
      <c r="B171" s="4"/>
      <c r="C171" s="4"/>
      <c r="D171" s="4"/>
      <c r="E171" s="4"/>
      <c r="F171" s="4"/>
      <c r="G171" s="4"/>
    </row>
    <row r="172" spans="1:7" ht="15.75" customHeight="1" x14ac:dyDescent="0.25">
      <c r="A172" s="4"/>
      <c r="B172" s="4"/>
      <c r="C172" s="4"/>
      <c r="D172" s="4"/>
      <c r="E172" s="4"/>
      <c r="F172" s="4"/>
      <c r="G172" s="4"/>
    </row>
    <row r="173" spans="1:7" ht="15.75" customHeight="1" x14ac:dyDescent="0.25">
      <c r="A173" s="4"/>
      <c r="B173" s="4"/>
      <c r="C173" s="4"/>
      <c r="D173" s="4"/>
      <c r="E173" s="4"/>
      <c r="F173" s="4"/>
      <c r="G173" s="4"/>
    </row>
    <row r="174" spans="1:7" ht="15.75" customHeight="1" x14ac:dyDescent="0.25">
      <c r="A174" s="4"/>
      <c r="B174" s="4"/>
      <c r="C174" s="4"/>
      <c r="D174" s="4"/>
      <c r="E174" s="4"/>
      <c r="F174" s="4"/>
      <c r="G174" s="4"/>
    </row>
    <row r="175" spans="1:7" ht="15.75" customHeight="1" x14ac:dyDescent="0.25">
      <c r="A175" s="4"/>
      <c r="B175" s="4"/>
      <c r="C175" s="4"/>
      <c r="D175" s="4"/>
      <c r="E175" s="4"/>
      <c r="F175" s="4"/>
      <c r="G175" s="4"/>
    </row>
    <row r="176" spans="1:7" ht="15.75" customHeight="1" x14ac:dyDescent="0.25">
      <c r="A176" s="4"/>
      <c r="B176" s="4"/>
      <c r="C176" s="4"/>
      <c r="D176" s="4"/>
      <c r="E176" s="4"/>
      <c r="F176" s="4"/>
      <c r="G176" s="4"/>
    </row>
    <row r="177" spans="1:7" ht="15.75" customHeight="1" x14ac:dyDescent="0.25">
      <c r="A177" s="4"/>
      <c r="B177" s="4"/>
      <c r="C177" s="4"/>
      <c r="D177" s="4"/>
      <c r="E177" s="4"/>
      <c r="F177" s="4"/>
      <c r="G177" s="4"/>
    </row>
    <row r="178" spans="1:7" ht="15.75" customHeight="1" x14ac:dyDescent="0.25">
      <c r="A178" s="4"/>
      <c r="B178" s="4"/>
      <c r="C178" s="4"/>
      <c r="D178" s="4"/>
      <c r="E178" s="4"/>
      <c r="F178" s="4"/>
      <c r="G178" s="4"/>
    </row>
    <row r="179" spans="1:7" ht="15.75" customHeight="1" x14ac:dyDescent="0.25">
      <c r="A179" s="4"/>
      <c r="B179" s="4"/>
      <c r="C179" s="4"/>
      <c r="D179" s="4"/>
      <c r="E179" s="4"/>
      <c r="F179" s="4"/>
      <c r="G179" s="4"/>
    </row>
    <row r="180" spans="1:7" ht="15.75" customHeight="1" x14ac:dyDescent="0.25">
      <c r="A180" s="4"/>
      <c r="B180" s="4"/>
      <c r="C180" s="4"/>
      <c r="D180" s="4"/>
      <c r="E180" s="4"/>
      <c r="F180" s="4"/>
      <c r="G180" s="4"/>
    </row>
    <row r="181" spans="1:7" ht="15.75" customHeight="1" x14ac:dyDescent="0.25">
      <c r="A181" s="4"/>
      <c r="B181" s="4"/>
      <c r="C181" s="4"/>
      <c r="D181" s="4"/>
      <c r="E181" s="4"/>
      <c r="F181" s="4"/>
      <c r="G181" s="4"/>
    </row>
    <row r="182" spans="1:7" ht="15.75" customHeight="1" x14ac:dyDescent="0.25">
      <c r="A182" s="4"/>
      <c r="B182" s="4"/>
      <c r="C182" s="4"/>
      <c r="D182" s="4"/>
      <c r="E182" s="4"/>
      <c r="F182" s="4"/>
      <c r="G182" s="4"/>
    </row>
    <row r="183" spans="1:7" ht="15.75" customHeight="1" x14ac:dyDescent="0.25">
      <c r="A183" s="4"/>
      <c r="B183" s="4"/>
      <c r="C183" s="4"/>
      <c r="D183" s="4"/>
      <c r="E183" s="4"/>
      <c r="F183" s="4"/>
      <c r="G183" s="4"/>
    </row>
    <row r="184" spans="1:7" ht="15.75" customHeight="1" x14ac:dyDescent="0.25">
      <c r="A184" s="4"/>
      <c r="B184" s="4"/>
      <c r="C184" s="4"/>
      <c r="D184" s="4"/>
      <c r="E184" s="4"/>
      <c r="F184" s="4"/>
      <c r="G184" s="4"/>
    </row>
    <row r="185" spans="1:7" ht="15.75" customHeight="1" x14ac:dyDescent="0.25">
      <c r="A185" s="4"/>
      <c r="B185" s="4"/>
      <c r="C185" s="4"/>
      <c r="D185" s="4"/>
      <c r="E185" s="4"/>
      <c r="F185" s="4"/>
      <c r="G185" s="4"/>
    </row>
    <row r="186" spans="1:7" ht="15.75" customHeight="1" x14ac:dyDescent="0.25">
      <c r="A186" s="4"/>
      <c r="B186" s="4"/>
      <c r="C186" s="4"/>
      <c r="D186" s="4"/>
      <c r="E186" s="4"/>
      <c r="F186" s="4"/>
      <c r="G186" s="4"/>
    </row>
    <row r="187" spans="1:7" ht="15.75" customHeight="1" x14ac:dyDescent="0.25">
      <c r="A187" s="4"/>
      <c r="B187" s="4"/>
      <c r="C187" s="4"/>
      <c r="D187" s="4"/>
      <c r="E187" s="4"/>
      <c r="F187" s="4"/>
      <c r="G187" s="4"/>
    </row>
    <row r="188" spans="1:7" ht="15.75" customHeight="1" x14ac:dyDescent="0.25">
      <c r="A188" s="4"/>
      <c r="B188" s="4"/>
      <c r="C188" s="4"/>
      <c r="D188" s="4"/>
      <c r="E188" s="4"/>
      <c r="F188" s="4"/>
      <c r="G188" s="4"/>
    </row>
    <row r="189" spans="1:7" ht="15.75" customHeight="1" x14ac:dyDescent="0.25">
      <c r="A189" s="4"/>
      <c r="B189" s="4"/>
      <c r="C189" s="4"/>
      <c r="D189" s="4"/>
      <c r="E189" s="4"/>
      <c r="F189" s="4"/>
      <c r="G189" s="4"/>
    </row>
    <row r="190" spans="1:7" ht="15.75" customHeight="1" x14ac:dyDescent="0.25">
      <c r="A190" s="4"/>
      <c r="B190" s="4"/>
      <c r="C190" s="4"/>
      <c r="D190" s="4"/>
      <c r="E190" s="4"/>
      <c r="F190" s="4"/>
      <c r="G190" s="4"/>
    </row>
    <row r="191" spans="1:7" ht="15.75" customHeight="1" x14ac:dyDescent="0.25">
      <c r="A191" s="4"/>
      <c r="B191" s="4"/>
      <c r="C191" s="4"/>
      <c r="D191" s="4"/>
      <c r="E191" s="4"/>
      <c r="F191" s="4"/>
      <c r="G191" s="4"/>
    </row>
    <row r="192" spans="1:7" ht="15.75" customHeight="1" x14ac:dyDescent="0.25">
      <c r="A192" s="4"/>
      <c r="B192" s="4"/>
      <c r="C192" s="4"/>
      <c r="D192" s="4"/>
      <c r="E192" s="4"/>
      <c r="F192" s="4"/>
      <c r="G192" s="4"/>
    </row>
    <row r="193" spans="1:7" ht="15.75" customHeight="1" x14ac:dyDescent="0.25">
      <c r="A193" s="4"/>
      <c r="B193" s="4"/>
      <c r="C193" s="4"/>
      <c r="D193" s="4"/>
      <c r="E193" s="4"/>
      <c r="F193" s="4"/>
      <c r="G193" s="4"/>
    </row>
    <row r="194" spans="1:7" ht="15.75" customHeight="1" x14ac:dyDescent="0.25">
      <c r="A194" s="4"/>
      <c r="B194" s="4"/>
      <c r="C194" s="4"/>
      <c r="D194" s="4"/>
      <c r="E194" s="4"/>
      <c r="F194" s="4"/>
      <c r="G194" s="4"/>
    </row>
    <row r="195" spans="1:7" ht="15.75" customHeight="1" x14ac:dyDescent="0.25">
      <c r="A195" s="4"/>
      <c r="B195" s="4"/>
      <c r="C195" s="4"/>
      <c r="D195" s="4"/>
      <c r="E195" s="4"/>
      <c r="F195" s="4"/>
      <c r="G195" s="4"/>
    </row>
    <row r="196" spans="1:7" ht="15.75" customHeight="1" x14ac:dyDescent="0.25">
      <c r="A196" s="4"/>
      <c r="B196" s="4"/>
      <c r="C196" s="4"/>
      <c r="D196" s="4"/>
      <c r="E196" s="4"/>
      <c r="F196" s="4"/>
      <c r="G196" s="4"/>
    </row>
    <row r="197" spans="1:7" ht="15.75" customHeight="1" x14ac:dyDescent="0.25">
      <c r="A197" s="4"/>
      <c r="B197" s="4"/>
      <c r="C197" s="4"/>
      <c r="D197" s="4"/>
      <c r="E197" s="4"/>
      <c r="F197" s="4"/>
      <c r="G197" s="4"/>
    </row>
    <row r="198" spans="1:7" ht="15.75" customHeight="1" x14ac:dyDescent="0.25">
      <c r="A198" s="4"/>
      <c r="B198" s="4"/>
      <c r="C198" s="4"/>
      <c r="D198" s="4"/>
      <c r="E198" s="4"/>
      <c r="F198" s="4"/>
      <c r="G198" s="4"/>
    </row>
    <row r="199" spans="1:7" ht="15.75" customHeight="1" x14ac:dyDescent="0.25">
      <c r="A199" s="4"/>
      <c r="B199" s="4"/>
      <c r="C199" s="4"/>
      <c r="D199" s="4"/>
      <c r="E199" s="4"/>
      <c r="F199" s="4"/>
      <c r="G199" s="4"/>
    </row>
    <row r="200" spans="1:7" ht="15.75" customHeight="1" x14ac:dyDescent="0.25">
      <c r="A200" s="4"/>
      <c r="B200" s="4"/>
      <c r="C200" s="4"/>
      <c r="D200" s="4"/>
      <c r="E200" s="4"/>
      <c r="F200" s="4"/>
      <c r="G200" s="4"/>
    </row>
    <row r="201" spans="1:7" ht="15.75" customHeight="1" x14ac:dyDescent="0.25">
      <c r="A201" s="4"/>
      <c r="B201" s="4"/>
      <c r="C201" s="4"/>
      <c r="D201" s="4"/>
      <c r="E201" s="4"/>
      <c r="F201" s="4"/>
      <c r="G201" s="4"/>
    </row>
    <row r="202" spans="1:7" ht="15.75" customHeight="1" x14ac:dyDescent="0.25">
      <c r="A202" s="4"/>
      <c r="B202" s="4"/>
      <c r="C202" s="4"/>
      <c r="D202" s="4"/>
      <c r="E202" s="4"/>
      <c r="F202" s="4"/>
      <c r="G202" s="4"/>
    </row>
    <row r="203" spans="1:7" ht="15.75" customHeight="1" x14ac:dyDescent="0.25">
      <c r="A203" s="4"/>
      <c r="B203" s="4"/>
      <c r="C203" s="4"/>
      <c r="D203" s="4"/>
      <c r="E203" s="4"/>
      <c r="F203" s="4"/>
      <c r="G203" s="4"/>
    </row>
    <row r="204" spans="1:7" ht="15.75" customHeight="1" x14ac:dyDescent="0.25">
      <c r="A204" s="4"/>
      <c r="B204" s="4"/>
      <c r="C204" s="4"/>
      <c r="D204" s="4"/>
      <c r="E204" s="4"/>
      <c r="F204" s="4"/>
      <c r="G204" s="4"/>
    </row>
    <row r="205" spans="1:7" ht="15.75" customHeight="1" x14ac:dyDescent="0.25">
      <c r="A205" s="4"/>
      <c r="B205" s="4"/>
      <c r="C205" s="4"/>
      <c r="D205" s="4"/>
      <c r="E205" s="4"/>
      <c r="F205" s="4"/>
      <c r="G205" s="4"/>
    </row>
    <row r="206" spans="1:7" ht="15.75" customHeight="1" x14ac:dyDescent="0.25">
      <c r="A206" s="4"/>
      <c r="B206" s="4"/>
      <c r="C206" s="4"/>
      <c r="D206" s="4"/>
      <c r="E206" s="4"/>
      <c r="F206" s="4"/>
      <c r="G206" s="4"/>
    </row>
    <row r="207" spans="1:7" ht="15.75" customHeight="1" x14ac:dyDescent="0.25">
      <c r="A207" s="4"/>
      <c r="B207" s="4"/>
      <c r="C207" s="4"/>
      <c r="D207" s="4"/>
      <c r="E207" s="4"/>
      <c r="F207" s="4"/>
      <c r="G207" s="4"/>
    </row>
    <row r="208" spans="1:7" ht="15.75" customHeight="1" x14ac:dyDescent="0.25">
      <c r="A208" s="4"/>
      <c r="B208" s="4"/>
      <c r="C208" s="4"/>
      <c r="D208" s="4"/>
      <c r="E208" s="4"/>
      <c r="F208" s="4"/>
      <c r="G208" s="4"/>
    </row>
    <row r="209" spans="1:7" ht="15.75" customHeight="1" x14ac:dyDescent="0.25">
      <c r="A209" s="4"/>
      <c r="B209" s="4"/>
      <c r="C209" s="4"/>
      <c r="D209" s="4"/>
      <c r="E209" s="4"/>
      <c r="F209" s="4"/>
      <c r="G209" s="4"/>
    </row>
    <row r="210" spans="1:7" ht="15.75" customHeight="1" x14ac:dyDescent="0.25">
      <c r="A210" s="4"/>
      <c r="B210" s="4"/>
      <c r="C210" s="4"/>
      <c r="D210" s="4"/>
      <c r="E210" s="4"/>
      <c r="F210" s="4"/>
      <c r="G210" s="4"/>
    </row>
    <row r="211" spans="1:7" ht="15.75" customHeight="1" x14ac:dyDescent="0.25">
      <c r="A211" s="4"/>
      <c r="B211" s="4"/>
      <c r="C211" s="4"/>
      <c r="D211" s="4"/>
      <c r="E211" s="4"/>
      <c r="F211" s="4"/>
      <c r="G211" s="4"/>
    </row>
    <row r="212" spans="1:7" ht="15.75" customHeight="1" x14ac:dyDescent="0.25">
      <c r="A212" s="4"/>
      <c r="B212" s="4"/>
      <c r="C212" s="4"/>
      <c r="D212" s="4"/>
      <c r="E212" s="4"/>
      <c r="F212" s="4"/>
      <c r="G212" s="4"/>
    </row>
    <row r="213" spans="1:7" ht="15.75" customHeight="1" x14ac:dyDescent="0.25">
      <c r="A213" s="4"/>
      <c r="B213" s="4"/>
      <c r="C213" s="4"/>
      <c r="D213" s="4"/>
      <c r="E213" s="4"/>
      <c r="F213" s="4"/>
      <c r="G213" s="4"/>
    </row>
    <row r="214" spans="1:7" ht="15.75" customHeight="1" x14ac:dyDescent="0.25">
      <c r="A214" s="4"/>
      <c r="B214" s="4"/>
      <c r="C214" s="4"/>
      <c r="D214" s="4"/>
      <c r="E214" s="4"/>
      <c r="F214" s="4"/>
      <c r="G214" s="4"/>
    </row>
    <row r="215" spans="1:7" ht="15.75" customHeight="1" x14ac:dyDescent="0.25">
      <c r="A215" s="4"/>
      <c r="B215" s="4"/>
      <c r="C215" s="4"/>
      <c r="D215" s="4"/>
      <c r="E215" s="4"/>
      <c r="F215" s="4"/>
      <c r="G215" s="4"/>
    </row>
    <row r="216" spans="1:7" ht="15.75" customHeight="1" x14ac:dyDescent="0.25">
      <c r="A216" s="4"/>
      <c r="B216" s="4"/>
      <c r="C216" s="4"/>
      <c r="D216" s="4"/>
      <c r="E216" s="4"/>
      <c r="F216" s="4"/>
      <c r="G216" s="4"/>
    </row>
    <row r="217" spans="1:7" ht="15.75" customHeight="1" x14ac:dyDescent="0.25">
      <c r="A217" s="4"/>
      <c r="B217" s="4"/>
      <c r="C217" s="4"/>
      <c r="D217" s="4"/>
      <c r="E217" s="4"/>
      <c r="F217" s="4"/>
      <c r="G217" s="4"/>
    </row>
    <row r="218" spans="1:7" ht="15.75" customHeight="1" x14ac:dyDescent="0.25">
      <c r="A218" s="4"/>
      <c r="B218" s="4"/>
      <c r="C218" s="4"/>
      <c r="D218" s="4"/>
      <c r="E218" s="4"/>
      <c r="F218" s="4"/>
      <c r="G218" s="4"/>
    </row>
    <row r="219" spans="1:7" ht="15.75" customHeight="1" x14ac:dyDescent="0.25">
      <c r="A219" s="4"/>
      <c r="B219" s="4"/>
      <c r="C219" s="4"/>
      <c r="D219" s="4"/>
      <c r="E219" s="4"/>
      <c r="F219" s="4"/>
      <c r="G219" s="4"/>
    </row>
    <row r="220" spans="1:7" ht="15.75" customHeight="1" x14ac:dyDescent="0.25">
      <c r="A220" s="4"/>
      <c r="B220" s="4"/>
      <c r="C220" s="4"/>
      <c r="D220" s="4"/>
      <c r="E220" s="4"/>
      <c r="F220" s="4"/>
      <c r="G220" s="4"/>
    </row>
    <row r="221" spans="1:7" ht="15.75" customHeight="1" x14ac:dyDescent="0.25">
      <c r="A221" s="4"/>
      <c r="B221" s="4"/>
      <c r="C221" s="4"/>
      <c r="D221" s="4"/>
      <c r="E221" s="4"/>
      <c r="F221" s="4"/>
      <c r="G221" s="4"/>
    </row>
    <row r="222" spans="1:7" ht="15.75" customHeight="1" x14ac:dyDescent="0.25">
      <c r="A222" s="4"/>
      <c r="B222" s="4"/>
      <c r="C222" s="4"/>
      <c r="D222" s="4"/>
      <c r="E222" s="4"/>
      <c r="F222" s="4"/>
      <c r="G222" s="4"/>
    </row>
    <row r="223" spans="1:7" ht="15.75" customHeight="1" x14ac:dyDescent="0.25">
      <c r="A223" s="4"/>
      <c r="B223" s="4"/>
      <c r="C223" s="4"/>
      <c r="D223" s="4"/>
      <c r="E223" s="4"/>
      <c r="F223" s="4"/>
      <c r="G223" s="4"/>
    </row>
    <row r="224" spans="1:7" ht="15.75" customHeight="1" x14ac:dyDescent="0.25">
      <c r="A224" s="4"/>
      <c r="B224" s="4"/>
      <c r="C224" s="4"/>
      <c r="D224" s="4"/>
      <c r="E224" s="4"/>
      <c r="F224" s="4"/>
      <c r="G224" s="4"/>
    </row>
    <row r="225" spans="1:7" ht="15.75" customHeight="1" x14ac:dyDescent="0.25">
      <c r="A225" s="4"/>
      <c r="B225" s="4"/>
      <c r="C225" s="4"/>
      <c r="D225" s="4"/>
      <c r="E225" s="4"/>
      <c r="F225" s="4"/>
      <c r="G225" s="4"/>
    </row>
    <row r="226" spans="1:7" ht="15.75" customHeight="1" x14ac:dyDescent="0.25">
      <c r="A226" s="4"/>
      <c r="B226" s="4"/>
      <c r="C226" s="4"/>
      <c r="D226" s="4"/>
      <c r="E226" s="4"/>
      <c r="F226" s="4"/>
      <c r="G226" s="4"/>
    </row>
    <row r="227" spans="1:7" ht="15.75" customHeight="1" x14ac:dyDescent="0.25">
      <c r="A227" s="4"/>
      <c r="B227" s="4"/>
      <c r="C227" s="4"/>
      <c r="D227" s="4"/>
      <c r="E227" s="4"/>
      <c r="F227" s="4"/>
      <c r="G227" s="4"/>
    </row>
    <row r="228" spans="1:7" ht="15.75" customHeight="1" x14ac:dyDescent="0.25">
      <c r="A228" s="4"/>
      <c r="B228" s="4"/>
      <c r="C228" s="4"/>
      <c r="D228" s="4"/>
      <c r="E228" s="4"/>
      <c r="F228" s="4"/>
      <c r="G228" s="4"/>
    </row>
    <row r="229" spans="1:7" ht="15.75" customHeight="1" x14ac:dyDescent="0.25">
      <c r="A229" s="4"/>
      <c r="B229" s="4"/>
      <c r="C229" s="4"/>
      <c r="D229" s="4"/>
      <c r="E229" s="4"/>
      <c r="F229" s="4"/>
      <c r="G229" s="4"/>
    </row>
    <row r="230" spans="1:7" ht="15.75" customHeight="1" x14ac:dyDescent="0.25">
      <c r="A230" s="4"/>
      <c r="B230" s="4"/>
      <c r="C230" s="4"/>
      <c r="D230" s="4"/>
      <c r="E230" s="4"/>
      <c r="F230" s="4"/>
      <c r="G230" s="4"/>
    </row>
    <row r="231" spans="1:7" ht="15.75" customHeight="1" x14ac:dyDescent="0.25">
      <c r="A231" s="4"/>
      <c r="B231" s="4"/>
      <c r="C231" s="4"/>
      <c r="D231" s="4"/>
      <c r="E231" s="4"/>
      <c r="F231" s="4"/>
      <c r="G231" s="4"/>
    </row>
    <row r="232" spans="1:7" ht="15.75" customHeight="1" x14ac:dyDescent="0.25">
      <c r="A232" s="4"/>
      <c r="B232" s="4"/>
      <c r="C232" s="4"/>
      <c r="D232" s="4"/>
      <c r="E232" s="4"/>
      <c r="F232" s="4"/>
      <c r="G232" s="4"/>
    </row>
    <row r="233" spans="1:7" ht="15.75" customHeight="1" x14ac:dyDescent="0.25">
      <c r="A233" s="4"/>
      <c r="B233" s="4"/>
      <c r="C233" s="4"/>
      <c r="D233" s="4"/>
      <c r="E233" s="4"/>
      <c r="F233" s="4"/>
      <c r="G233" s="4"/>
    </row>
    <row r="234" spans="1:7" ht="15.75" customHeight="1" x14ac:dyDescent="0.25">
      <c r="A234" s="4"/>
      <c r="B234" s="4"/>
      <c r="C234" s="4"/>
      <c r="D234" s="4"/>
      <c r="E234" s="4"/>
      <c r="F234" s="4"/>
      <c r="G234" s="4"/>
    </row>
    <row r="235" spans="1:7" ht="15.75" customHeight="1" x14ac:dyDescent="0.25">
      <c r="A235" s="4"/>
      <c r="B235" s="4"/>
      <c r="C235" s="4"/>
      <c r="D235" s="4"/>
      <c r="E235" s="4"/>
      <c r="F235" s="4"/>
      <c r="G235" s="4"/>
    </row>
    <row r="236" spans="1:7" ht="15.75" customHeight="1" x14ac:dyDescent="0.25">
      <c r="A236" s="4"/>
      <c r="B236" s="4"/>
      <c r="C236" s="4"/>
      <c r="D236" s="4"/>
      <c r="E236" s="4"/>
      <c r="F236" s="4"/>
      <c r="G236" s="4"/>
    </row>
    <row r="237" spans="1:7" ht="15.75" customHeight="1" x14ac:dyDescent="0.25">
      <c r="A237" s="4"/>
      <c r="B237" s="4"/>
      <c r="C237" s="4"/>
      <c r="D237" s="4"/>
      <c r="E237" s="4"/>
      <c r="F237" s="4"/>
      <c r="G237" s="4"/>
    </row>
    <row r="238" spans="1:7" ht="15.75" customHeight="1" x14ac:dyDescent="0.25">
      <c r="A238" s="4"/>
      <c r="B238" s="4"/>
      <c r="C238" s="4"/>
      <c r="D238" s="4"/>
      <c r="E238" s="4"/>
      <c r="F238" s="4"/>
      <c r="G238" s="4"/>
    </row>
    <row r="239" spans="1:7" ht="15.75" customHeight="1" x14ac:dyDescent="0.25">
      <c r="A239" s="4"/>
      <c r="B239" s="4"/>
      <c r="C239" s="4"/>
      <c r="D239" s="4"/>
      <c r="E239" s="4"/>
      <c r="F239" s="4"/>
      <c r="G239" s="4"/>
    </row>
    <row r="240" spans="1:7" ht="15.75" customHeight="1" x14ac:dyDescent="0.25">
      <c r="A240" s="4"/>
      <c r="B240" s="4"/>
      <c r="C240" s="4"/>
      <c r="D240" s="4"/>
      <c r="E240" s="4"/>
      <c r="F240" s="4"/>
      <c r="G240" s="4"/>
    </row>
    <row r="241" spans="1:7" ht="15.75" customHeight="1" x14ac:dyDescent="0.25">
      <c r="A241" s="4"/>
      <c r="B241" s="4"/>
      <c r="C241" s="4"/>
      <c r="D241" s="4"/>
      <c r="E241" s="4"/>
      <c r="F241" s="4"/>
      <c r="G241" s="4"/>
    </row>
    <row r="242" spans="1:7" ht="15.75" customHeight="1" x14ac:dyDescent="0.25">
      <c r="A242" s="4"/>
      <c r="B242" s="4"/>
      <c r="C242" s="4"/>
      <c r="D242" s="4"/>
      <c r="E242" s="4"/>
      <c r="F242" s="4"/>
      <c r="G242" s="4"/>
    </row>
    <row r="243" spans="1:7" ht="15.75" customHeight="1" x14ac:dyDescent="0.25">
      <c r="A243" s="4"/>
      <c r="B243" s="4"/>
      <c r="C243" s="4"/>
      <c r="D243" s="4"/>
      <c r="E243" s="4"/>
      <c r="F243" s="4"/>
      <c r="G243" s="4"/>
    </row>
    <row r="244" spans="1:7" ht="15.75" customHeight="1" x14ac:dyDescent="0.25">
      <c r="A244" s="4"/>
      <c r="B244" s="4"/>
      <c r="C244" s="4"/>
      <c r="D244" s="4"/>
      <c r="E244" s="4"/>
      <c r="F244" s="4"/>
      <c r="G244" s="4"/>
    </row>
    <row r="245" spans="1:7" ht="15.75" customHeight="1" x14ac:dyDescent="0.25">
      <c r="A245" s="4"/>
      <c r="B245" s="4"/>
      <c r="C245" s="4"/>
      <c r="D245" s="4"/>
      <c r="E245" s="4"/>
      <c r="F245" s="4"/>
      <c r="G245" s="4"/>
    </row>
    <row r="246" spans="1:7" ht="15.75" customHeight="1" x14ac:dyDescent="0.25">
      <c r="A246" s="4"/>
      <c r="B246" s="4"/>
      <c r="C246" s="4"/>
      <c r="D246" s="4"/>
      <c r="E246" s="4"/>
      <c r="F246" s="4"/>
      <c r="G246" s="4"/>
    </row>
    <row r="247" spans="1:7" ht="15.75" customHeight="1" x14ac:dyDescent="0.25">
      <c r="A247" s="4"/>
      <c r="B247" s="4"/>
      <c r="C247" s="4"/>
      <c r="D247" s="4"/>
      <c r="E247" s="4"/>
      <c r="F247" s="4"/>
      <c r="G247" s="4"/>
    </row>
    <row r="248" spans="1:7" ht="15.75" customHeight="1" x14ac:dyDescent="0.25">
      <c r="A248" s="4"/>
      <c r="B248" s="4"/>
      <c r="C248" s="4"/>
      <c r="D248" s="4"/>
      <c r="E248" s="4"/>
      <c r="F248" s="4"/>
      <c r="G248" s="4"/>
    </row>
    <row r="249" spans="1:7" ht="15.75" customHeight="1" x14ac:dyDescent="0.25">
      <c r="A249" s="4"/>
      <c r="B249" s="4"/>
      <c r="C249" s="4"/>
      <c r="D249" s="4"/>
      <c r="E249" s="4"/>
      <c r="F249" s="4"/>
      <c r="G249" s="4"/>
    </row>
    <row r="250" spans="1:7" ht="15.75" customHeight="1" x14ac:dyDescent="0.25">
      <c r="A250" s="4"/>
      <c r="B250" s="4"/>
      <c r="C250" s="4"/>
      <c r="D250" s="4"/>
      <c r="E250" s="4"/>
      <c r="F250" s="4"/>
      <c r="G250" s="4"/>
    </row>
    <row r="251" spans="1:7" ht="15.75" customHeight="1" x14ac:dyDescent="0.25">
      <c r="A251" s="4"/>
      <c r="B251" s="4"/>
      <c r="C251" s="4"/>
      <c r="D251" s="4"/>
      <c r="E251" s="4"/>
      <c r="F251" s="4"/>
      <c r="G251" s="4"/>
    </row>
    <row r="252" spans="1:7" ht="15.75" customHeight="1" x14ac:dyDescent="0.25">
      <c r="A252" s="4"/>
      <c r="B252" s="4"/>
      <c r="C252" s="4"/>
      <c r="D252" s="4"/>
      <c r="E252" s="4"/>
      <c r="F252" s="4"/>
      <c r="G252" s="4"/>
    </row>
    <row r="253" spans="1:7" ht="15.75" customHeight="1" x14ac:dyDescent="0.25">
      <c r="A253" s="4"/>
      <c r="B253" s="4"/>
      <c r="C253" s="4"/>
      <c r="D253" s="4"/>
      <c r="E253" s="4"/>
      <c r="F253" s="4"/>
      <c r="G253" s="4"/>
    </row>
    <row r="254" spans="1:7" ht="15.75" customHeight="1" x14ac:dyDescent="0.25">
      <c r="A254" s="4"/>
      <c r="B254" s="4"/>
      <c r="C254" s="4"/>
      <c r="D254" s="4"/>
      <c r="E254" s="4"/>
      <c r="F254" s="4"/>
      <c r="G254" s="4"/>
    </row>
    <row r="255" spans="1:7" ht="15.75" customHeight="1" x14ac:dyDescent="0.25">
      <c r="A255" s="4"/>
      <c r="B255" s="4"/>
      <c r="C255" s="4"/>
      <c r="D255" s="4"/>
      <c r="E255" s="4"/>
      <c r="F255" s="4"/>
      <c r="G255" s="4"/>
    </row>
    <row r="256" spans="1:7" ht="15.75" customHeight="1" x14ac:dyDescent="0.25">
      <c r="A256" s="4"/>
      <c r="B256" s="4"/>
      <c r="C256" s="4"/>
      <c r="D256" s="4"/>
      <c r="E256" s="4"/>
      <c r="F256" s="4"/>
      <c r="G256" s="4"/>
    </row>
    <row r="257" spans="1:7" ht="15.75" customHeight="1" x14ac:dyDescent="0.25">
      <c r="A257" s="4"/>
      <c r="B257" s="4"/>
      <c r="C257" s="4"/>
      <c r="D257" s="4"/>
      <c r="E257" s="4"/>
      <c r="F257" s="4"/>
      <c r="G257" s="4"/>
    </row>
    <row r="258" spans="1:7" ht="15.75" customHeight="1" x14ac:dyDescent="0.25">
      <c r="A258" s="4"/>
      <c r="B258" s="4"/>
      <c r="C258" s="4"/>
      <c r="D258" s="4"/>
      <c r="E258" s="4"/>
      <c r="F258" s="4"/>
      <c r="G258" s="4"/>
    </row>
    <row r="259" spans="1:7" ht="15.75" customHeight="1" x14ac:dyDescent="0.25">
      <c r="A259" s="4"/>
      <c r="B259" s="4"/>
      <c r="C259" s="4"/>
      <c r="D259" s="4"/>
      <c r="E259" s="4"/>
      <c r="F259" s="4"/>
      <c r="G259" s="4"/>
    </row>
    <row r="260" spans="1:7" ht="15.75" customHeight="1" x14ac:dyDescent="0.25">
      <c r="A260" s="4"/>
      <c r="B260" s="4"/>
      <c r="C260" s="4"/>
      <c r="D260" s="4"/>
      <c r="E260" s="4"/>
      <c r="F260" s="4"/>
      <c r="G260" s="4"/>
    </row>
    <row r="261" spans="1:7" ht="15.75" customHeight="1" x14ac:dyDescent="0.25">
      <c r="A261" s="4"/>
      <c r="B261" s="4"/>
      <c r="C261" s="4"/>
      <c r="D261" s="4"/>
      <c r="E261" s="4"/>
      <c r="F261" s="4"/>
      <c r="G261" s="4"/>
    </row>
    <row r="262" spans="1:7" ht="15.75" customHeight="1" x14ac:dyDescent="0.25">
      <c r="A262" s="4"/>
      <c r="B262" s="4"/>
      <c r="C262" s="4"/>
      <c r="D262" s="4"/>
      <c r="E262" s="4"/>
      <c r="F262" s="4"/>
      <c r="G262" s="4"/>
    </row>
    <row r="263" spans="1:7" ht="15.75" customHeight="1" x14ac:dyDescent="0.25">
      <c r="A263" s="4"/>
      <c r="B263" s="4"/>
      <c r="C263" s="4"/>
      <c r="D263" s="4"/>
      <c r="E263" s="4"/>
      <c r="F263" s="4"/>
      <c r="G263" s="4"/>
    </row>
    <row r="264" spans="1:7" ht="15.75" customHeight="1" x14ac:dyDescent="0.25">
      <c r="A264" s="4"/>
      <c r="B264" s="4"/>
      <c r="C264" s="4"/>
      <c r="D264" s="4"/>
      <c r="E264" s="4"/>
      <c r="F264" s="4"/>
      <c r="G264" s="4"/>
    </row>
    <row r="265" spans="1:7" ht="15.75" customHeight="1" x14ac:dyDescent="0.25">
      <c r="A265" s="4"/>
      <c r="B265" s="4"/>
      <c r="C265" s="4"/>
      <c r="D265" s="4"/>
      <c r="E265" s="4"/>
      <c r="F265" s="4"/>
      <c r="G265" s="4"/>
    </row>
    <row r="266" spans="1:7" ht="15.75" customHeight="1" x14ac:dyDescent="0.25">
      <c r="A266" s="4"/>
      <c r="B266" s="4"/>
      <c r="C266" s="4"/>
      <c r="D266" s="4"/>
      <c r="E266" s="4"/>
      <c r="F266" s="4"/>
      <c r="G266" s="4"/>
    </row>
    <row r="267" spans="1:7" ht="15.75" customHeight="1" x14ac:dyDescent="0.25">
      <c r="A267" s="4"/>
      <c r="B267" s="4"/>
      <c r="C267" s="4"/>
      <c r="D267" s="4"/>
      <c r="E267" s="4"/>
      <c r="F267" s="4"/>
      <c r="G267" s="4"/>
    </row>
    <row r="268" spans="1:7" ht="15.75" customHeight="1" x14ac:dyDescent="0.25">
      <c r="A268" s="4"/>
      <c r="B268" s="4"/>
      <c r="C268" s="4"/>
      <c r="D268" s="4"/>
      <c r="E268" s="4"/>
      <c r="F268" s="4"/>
      <c r="G268" s="4"/>
    </row>
    <row r="269" spans="1:7" ht="15.75" customHeight="1" x14ac:dyDescent="0.25">
      <c r="A269" s="4"/>
      <c r="B269" s="4"/>
      <c r="C269" s="4"/>
      <c r="D269" s="4"/>
      <c r="E269" s="4"/>
      <c r="F269" s="4"/>
      <c r="G269" s="4"/>
    </row>
    <row r="270" spans="1:7" ht="15.75" customHeight="1" x14ac:dyDescent="0.25">
      <c r="A270" s="4"/>
      <c r="B270" s="4"/>
      <c r="C270" s="4"/>
      <c r="D270" s="4"/>
      <c r="E270" s="4"/>
      <c r="F270" s="4"/>
      <c r="G270" s="4"/>
    </row>
    <row r="271" spans="1:7" ht="15.75" customHeight="1" x14ac:dyDescent="0.25">
      <c r="A271" s="4"/>
      <c r="B271" s="4"/>
      <c r="C271" s="4"/>
      <c r="D271" s="4"/>
      <c r="E271" s="4"/>
      <c r="F271" s="4"/>
      <c r="G271" s="4"/>
    </row>
    <row r="272" spans="1:7" ht="15.75" customHeight="1" x14ac:dyDescent="0.25">
      <c r="A272" s="4"/>
      <c r="B272" s="4"/>
      <c r="C272" s="4"/>
      <c r="D272" s="4"/>
      <c r="E272" s="4"/>
      <c r="F272" s="4"/>
      <c r="G272" s="4"/>
    </row>
    <row r="273" spans="1:7" ht="15.75" customHeight="1" x14ac:dyDescent="0.25">
      <c r="A273" s="4"/>
      <c r="B273" s="4"/>
      <c r="C273" s="4"/>
      <c r="D273" s="4"/>
      <c r="E273" s="4"/>
      <c r="F273" s="4"/>
      <c r="G273" s="4"/>
    </row>
    <row r="274" spans="1:7" ht="15.75" customHeight="1" x14ac:dyDescent="0.25">
      <c r="A274" s="4"/>
      <c r="B274" s="4"/>
      <c r="C274" s="4"/>
      <c r="D274" s="4"/>
      <c r="E274" s="4"/>
      <c r="F274" s="4"/>
      <c r="G274" s="4"/>
    </row>
    <row r="275" spans="1:7" ht="15.75" customHeight="1" x14ac:dyDescent="0.25">
      <c r="A275" s="4"/>
      <c r="B275" s="4"/>
      <c r="C275" s="4"/>
      <c r="D275" s="4"/>
      <c r="E275" s="4"/>
      <c r="F275" s="4"/>
      <c r="G275" s="4"/>
    </row>
    <row r="276" spans="1:7" ht="15.75" customHeight="1" x14ac:dyDescent="0.25">
      <c r="A276" s="4"/>
      <c r="B276" s="4"/>
      <c r="C276" s="4"/>
      <c r="D276" s="4"/>
      <c r="E276" s="4"/>
      <c r="F276" s="4"/>
      <c r="G276" s="4"/>
    </row>
    <row r="277" spans="1:7" ht="15.75" customHeight="1" x14ac:dyDescent="0.25">
      <c r="A277" s="4"/>
      <c r="B277" s="4"/>
      <c r="C277" s="4"/>
      <c r="D277" s="4"/>
      <c r="E277" s="4"/>
      <c r="F277" s="4"/>
      <c r="G277" s="4"/>
    </row>
    <row r="278" spans="1:7" ht="15.75" customHeight="1" x14ac:dyDescent="0.25">
      <c r="A278" s="4"/>
      <c r="B278" s="4"/>
      <c r="C278" s="4"/>
      <c r="D278" s="4"/>
      <c r="E278" s="4"/>
      <c r="F278" s="4"/>
      <c r="G278" s="4"/>
    </row>
    <row r="279" spans="1:7" ht="15.75" customHeight="1" x14ac:dyDescent="0.25">
      <c r="A279" s="4"/>
      <c r="B279" s="4"/>
      <c r="C279" s="4"/>
      <c r="D279" s="4"/>
      <c r="E279" s="4"/>
      <c r="F279" s="4"/>
      <c r="G279" s="4"/>
    </row>
    <row r="280" spans="1:7" ht="15.75" customHeight="1" x14ac:dyDescent="0.25">
      <c r="A280" s="4"/>
      <c r="B280" s="4"/>
      <c r="C280" s="4"/>
      <c r="D280" s="4"/>
      <c r="E280" s="4"/>
      <c r="F280" s="4"/>
      <c r="G280" s="4"/>
    </row>
    <row r="281" spans="1:7" ht="15.75" customHeight="1" x14ac:dyDescent="0.25">
      <c r="A281" s="4"/>
      <c r="B281" s="4"/>
      <c r="C281" s="4"/>
      <c r="D281" s="4"/>
      <c r="E281" s="4"/>
      <c r="F281" s="4"/>
      <c r="G281" s="4"/>
    </row>
    <row r="282" spans="1:7" ht="15.75" customHeight="1" x14ac:dyDescent="0.25">
      <c r="A282" s="4"/>
      <c r="B282" s="4"/>
      <c r="C282" s="4"/>
      <c r="D282" s="4"/>
      <c r="E282" s="4"/>
      <c r="F282" s="4"/>
      <c r="G282" s="4"/>
    </row>
    <row r="283" spans="1:7" ht="15.75" customHeight="1" x14ac:dyDescent="0.25">
      <c r="A283" s="4"/>
      <c r="B283" s="4"/>
      <c r="C283" s="4"/>
      <c r="D283" s="4"/>
      <c r="E283" s="4"/>
      <c r="F283" s="4"/>
      <c r="G283" s="4"/>
    </row>
    <row r="284" spans="1:7" ht="15.75" customHeight="1" x14ac:dyDescent="0.25">
      <c r="A284" s="4"/>
      <c r="B284" s="4"/>
      <c r="C284" s="4"/>
      <c r="D284" s="4"/>
      <c r="E284" s="4"/>
      <c r="F284" s="4"/>
      <c r="G284" s="4"/>
    </row>
    <row r="285" spans="1:7" ht="15.75" customHeight="1" x14ac:dyDescent="0.25">
      <c r="A285" s="4"/>
      <c r="B285" s="4"/>
      <c r="C285" s="4"/>
      <c r="D285" s="4"/>
      <c r="E285" s="4"/>
      <c r="F285" s="4"/>
      <c r="G285" s="4"/>
    </row>
    <row r="286" spans="1:7" ht="15.75" customHeight="1" x14ac:dyDescent="0.25">
      <c r="A286" s="4"/>
      <c r="B286" s="4"/>
      <c r="C286" s="4"/>
      <c r="D286" s="4"/>
      <c r="E286" s="4"/>
      <c r="F286" s="4"/>
      <c r="G286" s="4"/>
    </row>
    <row r="287" spans="1:7" ht="15.75" customHeight="1" x14ac:dyDescent="0.25">
      <c r="A287" s="4"/>
      <c r="B287" s="4"/>
      <c r="C287" s="4"/>
      <c r="D287" s="4"/>
      <c r="E287" s="4"/>
      <c r="F287" s="4"/>
      <c r="G287" s="4"/>
    </row>
    <row r="288" spans="1:7" ht="15.75" customHeight="1" x14ac:dyDescent="0.25">
      <c r="A288" s="4"/>
      <c r="B288" s="4"/>
      <c r="C288" s="4"/>
      <c r="D288" s="4"/>
      <c r="E288" s="4"/>
      <c r="F288" s="4"/>
      <c r="G288" s="4"/>
    </row>
    <row r="289" spans="1:7" ht="15.75" customHeight="1" x14ac:dyDescent="0.25">
      <c r="A289" s="4"/>
      <c r="B289" s="4"/>
      <c r="C289" s="4"/>
      <c r="D289" s="4"/>
      <c r="E289" s="4"/>
      <c r="F289" s="4"/>
      <c r="G289" s="4"/>
    </row>
    <row r="290" spans="1:7" ht="15.75" customHeight="1" x14ac:dyDescent="0.25">
      <c r="A290" s="4"/>
      <c r="B290" s="4"/>
      <c r="C290" s="4"/>
      <c r="D290" s="4"/>
      <c r="E290" s="4"/>
      <c r="F290" s="4"/>
      <c r="G290" s="4"/>
    </row>
    <row r="291" spans="1:7" ht="15.75" customHeight="1" x14ac:dyDescent="0.25">
      <c r="A291" s="4"/>
      <c r="B291" s="4"/>
      <c r="C291" s="4"/>
      <c r="D291" s="4"/>
      <c r="E291" s="4"/>
      <c r="F291" s="4"/>
      <c r="G291" s="4"/>
    </row>
    <row r="292" spans="1:7" ht="15.75" customHeight="1" x14ac:dyDescent="0.25">
      <c r="A292" s="4"/>
      <c r="B292" s="4"/>
      <c r="C292" s="4"/>
      <c r="D292" s="4"/>
      <c r="E292" s="4"/>
      <c r="F292" s="4"/>
      <c r="G292" s="4"/>
    </row>
    <row r="293" spans="1:7" ht="15.75" customHeight="1" x14ac:dyDescent="0.25">
      <c r="A293" s="4"/>
      <c r="B293" s="4"/>
      <c r="C293" s="4"/>
      <c r="D293" s="4"/>
      <c r="E293" s="4"/>
      <c r="F293" s="4"/>
      <c r="G293" s="4"/>
    </row>
    <row r="294" spans="1:7" ht="15.75" customHeight="1" x14ac:dyDescent="0.25">
      <c r="A294" s="4"/>
      <c r="B294" s="4"/>
      <c r="C294" s="4"/>
      <c r="D294" s="4"/>
      <c r="E294" s="4"/>
      <c r="F294" s="4"/>
      <c r="G294" s="4"/>
    </row>
    <row r="295" spans="1:7" ht="15.75" customHeight="1" x14ac:dyDescent="0.25">
      <c r="A295" s="4"/>
      <c r="B295" s="4"/>
      <c r="C295" s="4"/>
      <c r="D295" s="4"/>
      <c r="E295" s="4"/>
      <c r="F295" s="4"/>
      <c r="G295" s="4"/>
    </row>
    <row r="296" spans="1:7" ht="15.75" customHeight="1" x14ac:dyDescent="0.25">
      <c r="A296" s="4"/>
      <c r="B296" s="4"/>
      <c r="C296" s="4"/>
      <c r="D296" s="4"/>
      <c r="E296" s="4"/>
      <c r="F296" s="4"/>
      <c r="G296" s="4"/>
    </row>
    <row r="297" spans="1:7" ht="15.75" customHeight="1" x14ac:dyDescent="0.25">
      <c r="A297" s="4"/>
      <c r="B297" s="4"/>
      <c r="C297" s="4"/>
      <c r="D297" s="4"/>
      <c r="E297" s="4"/>
      <c r="F297" s="4"/>
      <c r="G297" s="4"/>
    </row>
    <row r="298" spans="1:7" ht="15.75" customHeight="1" x14ac:dyDescent="0.25">
      <c r="A298" s="4"/>
      <c r="B298" s="4"/>
      <c r="C298" s="4"/>
      <c r="D298" s="4"/>
      <c r="E298" s="4"/>
      <c r="F298" s="4"/>
      <c r="G298" s="4"/>
    </row>
    <row r="299" spans="1:7" ht="15.75" customHeight="1" x14ac:dyDescent="0.25">
      <c r="A299" s="4"/>
      <c r="B299" s="4"/>
      <c r="C299" s="4"/>
      <c r="D299" s="4"/>
      <c r="E299" s="4"/>
      <c r="F299" s="4"/>
      <c r="G299" s="4"/>
    </row>
    <row r="300" spans="1:7" ht="15.75" customHeight="1" x14ac:dyDescent="0.25">
      <c r="A300" s="4"/>
      <c r="B300" s="4"/>
      <c r="C300" s="4"/>
      <c r="D300" s="4"/>
      <c r="E300" s="4"/>
      <c r="F300" s="4"/>
      <c r="G300" s="4"/>
    </row>
    <row r="301" spans="1:7" ht="15.75" customHeight="1" x14ac:dyDescent="0.25">
      <c r="A301" s="4"/>
      <c r="B301" s="4"/>
      <c r="C301" s="4"/>
      <c r="D301" s="4"/>
      <c r="E301" s="4"/>
      <c r="F301" s="4"/>
      <c r="G301" s="4"/>
    </row>
    <row r="302" spans="1:7" ht="15.75" customHeight="1" x14ac:dyDescent="0.25">
      <c r="A302" s="4"/>
      <c r="B302" s="4"/>
      <c r="C302" s="4"/>
      <c r="D302" s="4"/>
      <c r="E302" s="4"/>
      <c r="F302" s="4"/>
      <c r="G302" s="4"/>
    </row>
    <row r="303" spans="1:7" ht="15.75" customHeight="1" x14ac:dyDescent="0.25">
      <c r="A303" s="4"/>
      <c r="B303" s="4"/>
      <c r="C303" s="4"/>
      <c r="D303" s="4"/>
      <c r="E303" s="4"/>
      <c r="F303" s="4"/>
      <c r="G303" s="4"/>
    </row>
    <row r="304" spans="1:7" ht="15.75" customHeight="1" x14ac:dyDescent="0.25">
      <c r="A304" s="4"/>
      <c r="B304" s="4"/>
      <c r="C304" s="4"/>
      <c r="D304" s="4"/>
      <c r="E304" s="4"/>
      <c r="F304" s="4"/>
      <c r="G304" s="4"/>
    </row>
    <row r="305" spans="1:7" ht="15.75" customHeight="1" x14ac:dyDescent="0.25">
      <c r="A305" s="4"/>
      <c r="B305" s="4"/>
      <c r="C305" s="4"/>
      <c r="D305" s="4"/>
      <c r="E305" s="4"/>
      <c r="F305" s="4"/>
      <c r="G305" s="4"/>
    </row>
    <row r="306" spans="1:7" ht="15.75" customHeight="1" x14ac:dyDescent="0.25">
      <c r="A306" s="4"/>
      <c r="B306" s="4"/>
      <c r="C306" s="4"/>
      <c r="D306" s="4"/>
      <c r="E306" s="4"/>
      <c r="F306" s="4"/>
      <c r="G306" s="4"/>
    </row>
    <row r="307" spans="1:7" ht="15.75" customHeight="1" x14ac:dyDescent="0.25">
      <c r="A307" s="4"/>
      <c r="B307" s="4"/>
      <c r="C307" s="4"/>
      <c r="D307" s="4"/>
      <c r="E307" s="4"/>
      <c r="F307" s="4"/>
      <c r="G307" s="4"/>
    </row>
    <row r="308" spans="1:7" ht="15.75" customHeight="1" x14ac:dyDescent="0.25">
      <c r="A308" s="4"/>
      <c r="B308" s="4"/>
      <c r="C308" s="4"/>
      <c r="D308" s="4"/>
      <c r="E308" s="4"/>
      <c r="F308" s="4"/>
      <c r="G308" s="4"/>
    </row>
    <row r="309" spans="1:7" ht="15.75" customHeight="1" x14ac:dyDescent="0.25">
      <c r="A309" s="4"/>
      <c r="B309" s="4"/>
      <c r="C309" s="4"/>
      <c r="D309" s="4"/>
      <c r="E309" s="4"/>
      <c r="F309" s="4"/>
      <c r="G309" s="4"/>
    </row>
    <row r="310" spans="1:7" ht="15.75" customHeight="1" x14ac:dyDescent="0.25">
      <c r="A310" s="4"/>
      <c r="B310" s="4"/>
      <c r="C310" s="4"/>
      <c r="D310" s="4"/>
      <c r="E310" s="4"/>
      <c r="F310" s="4"/>
      <c r="G310" s="4"/>
    </row>
    <row r="311" spans="1:7" ht="15.75" customHeight="1" x14ac:dyDescent="0.25">
      <c r="A311" s="4"/>
      <c r="B311" s="4"/>
      <c r="C311" s="4"/>
      <c r="D311" s="4"/>
      <c r="E311" s="4"/>
      <c r="F311" s="4"/>
      <c r="G311" s="4"/>
    </row>
    <row r="312" spans="1:7" ht="15.75" customHeight="1" x14ac:dyDescent="0.25">
      <c r="A312" s="4"/>
      <c r="B312" s="4"/>
      <c r="C312" s="4"/>
      <c r="D312" s="4"/>
      <c r="E312" s="4"/>
      <c r="F312" s="4"/>
      <c r="G312" s="4"/>
    </row>
    <row r="313" spans="1:7" ht="15.75" customHeight="1" x14ac:dyDescent="0.25">
      <c r="A313" s="4"/>
      <c r="B313" s="4"/>
      <c r="C313" s="4"/>
      <c r="D313" s="4"/>
      <c r="E313" s="4"/>
      <c r="F313" s="4"/>
      <c r="G313" s="4"/>
    </row>
    <row r="314" spans="1:7" ht="15.75" customHeight="1" x14ac:dyDescent="0.25">
      <c r="A314" s="4"/>
      <c r="B314" s="4"/>
      <c r="C314" s="4"/>
      <c r="D314" s="4"/>
      <c r="E314" s="4"/>
      <c r="F314" s="4"/>
      <c r="G314" s="4"/>
    </row>
    <row r="315" spans="1:7" ht="15.75" customHeight="1" x14ac:dyDescent="0.25">
      <c r="A315" s="4"/>
      <c r="B315" s="4"/>
      <c r="C315" s="4"/>
      <c r="D315" s="4"/>
      <c r="E315" s="4"/>
      <c r="F315" s="4"/>
      <c r="G315" s="4"/>
    </row>
    <row r="316" spans="1:7" ht="15.75" customHeight="1" x14ac:dyDescent="0.25">
      <c r="A316" s="4"/>
      <c r="B316" s="4"/>
      <c r="C316" s="4"/>
      <c r="D316" s="4"/>
      <c r="E316" s="4"/>
      <c r="F316" s="4"/>
      <c r="G316" s="4"/>
    </row>
    <row r="317" spans="1:7" ht="15.75" customHeight="1" x14ac:dyDescent="0.25">
      <c r="A317" s="4"/>
      <c r="B317" s="4"/>
      <c r="C317" s="4"/>
      <c r="D317" s="4"/>
      <c r="E317" s="4"/>
      <c r="F317" s="4"/>
      <c r="G317" s="4"/>
    </row>
    <row r="318" spans="1:7" ht="15.75" customHeight="1" x14ac:dyDescent="0.25">
      <c r="A318" s="4"/>
      <c r="B318" s="4"/>
      <c r="C318" s="4"/>
      <c r="D318" s="4"/>
      <c r="E318" s="4"/>
      <c r="F318" s="4"/>
      <c r="G318" s="4"/>
    </row>
    <row r="319" spans="1:7" ht="15.75" customHeight="1" x14ac:dyDescent="0.25">
      <c r="A319" s="4"/>
      <c r="B319" s="4"/>
      <c r="C319" s="4"/>
      <c r="D319" s="4"/>
      <c r="E319" s="4"/>
      <c r="F319" s="4"/>
      <c r="G319" s="4"/>
    </row>
    <row r="320" spans="1:7" ht="15.75" customHeight="1" x14ac:dyDescent="0.25">
      <c r="A320" s="4"/>
      <c r="B320" s="4"/>
      <c r="C320" s="4"/>
      <c r="D320" s="4"/>
      <c r="E320" s="4"/>
      <c r="F320" s="4"/>
      <c r="G320" s="4"/>
    </row>
    <row r="321" spans="1:7" ht="15.75" customHeight="1" x14ac:dyDescent="0.25">
      <c r="A321" s="4"/>
      <c r="B321" s="4"/>
      <c r="C321" s="4"/>
      <c r="D321" s="4"/>
      <c r="E321" s="4"/>
      <c r="F321" s="4"/>
      <c r="G321" s="4"/>
    </row>
    <row r="322" spans="1:7" ht="15.75" customHeight="1" x14ac:dyDescent="0.25">
      <c r="A322" s="4"/>
      <c r="B322" s="4"/>
      <c r="C322" s="4"/>
      <c r="D322" s="4"/>
      <c r="E322" s="4"/>
      <c r="F322" s="4"/>
      <c r="G322" s="4"/>
    </row>
    <row r="323" spans="1:7" ht="15.75" customHeight="1" x14ac:dyDescent="0.25">
      <c r="A323" s="4"/>
      <c r="B323" s="4"/>
      <c r="C323" s="4"/>
      <c r="D323" s="4"/>
      <c r="E323" s="4"/>
      <c r="F323" s="4"/>
      <c r="G323" s="4"/>
    </row>
    <row r="324" spans="1:7" ht="15.75" customHeight="1" x14ac:dyDescent="0.25">
      <c r="A324" s="4"/>
      <c r="B324" s="4"/>
      <c r="C324" s="4"/>
      <c r="D324" s="4"/>
      <c r="E324" s="4"/>
      <c r="F324" s="4"/>
      <c r="G324" s="4"/>
    </row>
    <row r="325" spans="1:7" ht="15.75" customHeight="1" x14ac:dyDescent="0.25">
      <c r="A325" s="4"/>
      <c r="B325" s="4"/>
      <c r="C325" s="4"/>
      <c r="D325" s="4"/>
      <c r="E325" s="4"/>
      <c r="F325" s="4"/>
      <c r="G325" s="4"/>
    </row>
    <row r="326" spans="1:7" ht="15.75" customHeight="1" x14ac:dyDescent="0.25">
      <c r="A326" s="4"/>
      <c r="B326" s="4"/>
      <c r="C326" s="4"/>
      <c r="D326" s="4"/>
      <c r="E326" s="4"/>
      <c r="F326" s="4"/>
      <c r="G326" s="4"/>
    </row>
    <row r="327" spans="1:7" ht="15.75" customHeight="1" x14ac:dyDescent="0.25">
      <c r="A327" s="4"/>
      <c r="B327" s="4"/>
      <c r="C327" s="4"/>
      <c r="D327" s="4"/>
      <c r="E327" s="4"/>
      <c r="F327" s="4"/>
      <c r="G327" s="4"/>
    </row>
    <row r="328" spans="1:7" ht="15.75" customHeight="1" x14ac:dyDescent="0.25">
      <c r="A328" s="4"/>
      <c r="B328" s="4"/>
      <c r="C328" s="4"/>
      <c r="D328" s="4"/>
      <c r="E328" s="4"/>
      <c r="F328" s="4"/>
      <c r="G328" s="4"/>
    </row>
    <row r="329" spans="1:7" ht="15.75" customHeight="1" x14ac:dyDescent="0.25">
      <c r="A329" s="4"/>
      <c r="B329" s="4"/>
      <c r="C329" s="4"/>
      <c r="D329" s="4"/>
      <c r="E329" s="4"/>
      <c r="F329" s="4"/>
      <c r="G329" s="4"/>
    </row>
    <row r="330" spans="1:7" ht="15.75" customHeight="1" x14ac:dyDescent="0.25">
      <c r="A330" s="4"/>
      <c r="B330" s="4"/>
      <c r="C330" s="4"/>
      <c r="D330" s="4"/>
      <c r="E330" s="4"/>
      <c r="F330" s="4"/>
      <c r="G330" s="4"/>
    </row>
    <row r="331" spans="1:7" ht="15.75" customHeight="1" x14ac:dyDescent="0.25">
      <c r="A331" s="4"/>
      <c r="B331" s="4"/>
      <c r="C331" s="4"/>
      <c r="D331" s="4"/>
      <c r="E331" s="4"/>
      <c r="F331" s="4"/>
      <c r="G331" s="4"/>
    </row>
    <row r="332" spans="1:7" ht="15.75" customHeight="1" x14ac:dyDescent="0.25">
      <c r="A332" s="4"/>
      <c r="B332" s="4"/>
      <c r="C332" s="4"/>
      <c r="D332" s="4"/>
      <c r="E332" s="4"/>
      <c r="F332" s="4"/>
      <c r="G332" s="4"/>
    </row>
    <row r="333" spans="1:7" ht="15.75" customHeight="1" x14ac:dyDescent="0.25">
      <c r="A333" s="4"/>
      <c r="B333" s="4"/>
      <c r="C333" s="4"/>
      <c r="D333" s="4"/>
      <c r="E333" s="4"/>
      <c r="F333" s="4"/>
      <c r="G333" s="4"/>
    </row>
    <row r="334" spans="1:7" ht="15.75" customHeight="1" x14ac:dyDescent="0.25">
      <c r="A334" s="4"/>
      <c r="B334" s="4"/>
      <c r="C334" s="4"/>
      <c r="D334" s="4"/>
      <c r="E334" s="4"/>
      <c r="F334" s="4"/>
      <c r="G334" s="4"/>
    </row>
    <row r="335" spans="1:7" ht="15.75" customHeight="1" x14ac:dyDescent="0.25">
      <c r="A335" s="4"/>
      <c r="B335" s="4"/>
      <c r="C335" s="4"/>
      <c r="D335" s="4"/>
      <c r="E335" s="4"/>
      <c r="F335" s="4"/>
      <c r="G335" s="4"/>
    </row>
    <row r="336" spans="1:7" ht="15.75" customHeight="1" x14ac:dyDescent="0.25">
      <c r="A336" s="4"/>
      <c r="B336" s="4"/>
      <c r="C336" s="4"/>
      <c r="D336" s="4"/>
      <c r="E336" s="4"/>
      <c r="F336" s="4"/>
      <c r="G336" s="4"/>
    </row>
    <row r="337" spans="1:7" ht="15.75" customHeight="1" x14ac:dyDescent="0.25">
      <c r="A337" s="4"/>
      <c r="B337" s="4"/>
      <c r="C337" s="4"/>
      <c r="D337" s="4"/>
      <c r="E337" s="4"/>
      <c r="F337" s="4"/>
      <c r="G337" s="4"/>
    </row>
    <row r="338" spans="1:7" ht="15.75" customHeight="1" x14ac:dyDescent="0.25">
      <c r="A338" s="4"/>
      <c r="B338" s="4"/>
      <c r="C338" s="4"/>
      <c r="D338" s="4"/>
      <c r="E338" s="4"/>
      <c r="F338" s="4"/>
      <c r="G338" s="4"/>
    </row>
    <row r="339" spans="1:7" ht="15.75" customHeight="1" x14ac:dyDescent="0.25">
      <c r="A339" s="4"/>
      <c r="B339" s="4"/>
      <c r="C339" s="4"/>
      <c r="D339" s="4"/>
      <c r="E339" s="4"/>
      <c r="F339" s="4"/>
      <c r="G339" s="4"/>
    </row>
    <row r="340" spans="1:7" ht="15.75" customHeight="1" x14ac:dyDescent="0.25">
      <c r="A340" s="4"/>
      <c r="B340" s="4"/>
      <c r="C340" s="4"/>
      <c r="D340" s="4"/>
      <c r="E340" s="4"/>
      <c r="F340" s="4"/>
      <c r="G340" s="4"/>
    </row>
    <row r="341" spans="1:7" ht="15.75" customHeight="1" x14ac:dyDescent="0.25">
      <c r="A341" s="4"/>
      <c r="B341" s="4"/>
      <c r="C341" s="4"/>
      <c r="D341" s="4"/>
      <c r="E341" s="4"/>
      <c r="F341" s="4"/>
      <c r="G341" s="4"/>
    </row>
    <row r="342" spans="1:7" ht="15.75" customHeight="1" x14ac:dyDescent="0.25">
      <c r="A342" s="4"/>
      <c r="B342" s="4"/>
      <c r="C342" s="4"/>
      <c r="D342" s="4"/>
      <c r="E342" s="4"/>
      <c r="F342" s="4"/>
      <c r="G342" s="4"/>
    </row>
    <row r="343" spans="1:7" ht="15.75" customHeight="1" x14ac:dyDescent="0.25">
      <c r="A343" s="4"/>
      <c r="B343" s="4"/>
      <c r="C343" s="4"/>
      <c r="D343" s="4"/>
      <c r="E343" s="4"/>
      <c r="F343" s="4"/>
      <c r="G343" s="4"/>
    </row>
    <row r="344" spans="1:7" ht="15.75" customHeight="1" x14ac:dyDescent="0.25">
      <c r="A344" s="4"/>
      <c r="B344" s="4"/>
      <c r="C344" s="4"/>
      <c r="D344" s="4"/>
      <c r="E344" s="4"/>
      <c r="F344" s="4"/>
      <c r="G344" s="4"/>
    </row>
    <row r="345" spans="1:7" ht="15.75" customHeight="1" x14ac:dyDescent="0.25">
      <c r="A345" s="4"/>
      <c r="B345" s="4"/>
      <c r="C345" s="4"/>
      <c r="D345" s="4"/>
      <c r="E345" s="4"/>
      <c r="F345" s="4"/>
      <c r="G345" s="4"/>
    </row>
    <row r="346" spans="1:7" ht="15.75" customHeight="1" x14ac:dyDescent="0.25">
      <c r="A346" s="4"/>
      <c r="B346" s="4"/>
      <c r="C346" s="4"/>
      <c r="D346" s="4"/>
      <c r="E346" s="4"/>
      <c r="F346" s="4"/>
      <c r="G346" s="4"/>
    </row>
    <row r="347" spans="1:7" ht="15.75" customHeight="1" x14ac:dyDescent="0.25">
      <c r="A347" s="4"/>
      <c r="B347" s="4"/>
      <c r="C347" s="4"/>
      <c r="D347" s="4"/>
      <c r="E347" s="4"/>
      <c r="F347" s="4"/>
      <c r="G347" s="4"/>
    </row>
    <row r="348" spans="1:7" ht="15.75" customHeight="1" x14ac:dyDescent="0.25">
      <c r="A348" s="4"/>
      <c r="B348" s="4"/>
      <c r="C348" s="4"/>
      <c r="D348" s="4"/>
      <c r="E348" s="4"/>
      <c r="F348" s="4"/>
      <c r="G348" s="4"/>
    </row>
    <row r="349" spans="1:7" ht="15.75" customHeight="1" x14ac:dyDescent="0.25">
      <c r="A349" s="4"/>
      <c r="B349" s="4"/>
      <c r="C349" s="4"/>
      <c r="D349" s="4"/>
      <c r="E349" s="4"/>
      <c r="F349" s="4"/>
      <c r="G349" s="4"/>
    </row>
    <row r="350" spans="1:7" ht="15.75" customHeight="1" x14ac:dyDescent="0.25">
      <c r="A350" s="4"/>
      <c r="B350" s="4"/>
      <c r="C350" s="4"/>
      <c r="D350" s="4"/>
      <c r="E350" s="4"/>
      <c r="F350" s="4"/>
      <c r="G350" s="4"/>
    </row>
    <row r="351" spans="1:7" ht="15.75" customHeight="1" x14ac:dyDescent="0.25">
      <c r="A351" s="4"/>
      <c r="B351" s="4"/>
      <c r="C351" s="4"/>
      <c r="D351" s="4"/>
      <c r="E351" s="4"/>
      <c r="F351" s="4"/>
      <c r="G351" s="4"/>
    </row>
    <row r="352" spans="1:7" ht="15.75" customHeight="1" x14ac:dyDescent="0.25">
      <c r="A352" s="4"/>
      <c r="B352" s="4"/>
      <c r="C352" s="4"/>
      <c r="D352" s="4"/>
      <c r="E352" s="4"/>
      <c r="F352" s="4"/>
      <c r="G352" s="4"/>
    </row>
    <row r="353" spans="1:7" ht="15.75" customHeight="1" x14ac:dyDescent="0.25">
      <c r="A353" s="4"/>
      <c r="B353" s="4"/>
      <c r="C353" s="4"/>
      <c r="D353" s="4"/>
      <c r="E353" s="4"/>
      <c r="F353" s="4"/>
      <c r="G353" s="4"/>
    </row>
    <row r="354" spans="1:7" ht="15.75" customHeight="1" x14ac:dyDescent="0.25">
      <c r="A354" s="4"/>
      <c r="B354" s="4"/>
      <c r="C354" s="4"/>
      <c r="D354" s="4"/>
      <c r="E354" s="4"/>
      <c r="F354" s="4"/>
      <c r="G354" s="4"/>
    </row>
    <row r="355" spans="1:7" ht="15.75" customHeight="1" x14ac:dyDescent="0.25">
      <c r="A355" s="4"/>
      <c r="B355" s="4"/>
      <c r="C355" s="4"/>
      <c r="D355" s="4"/>
      <c r="E355" s="4"/>
      <c r="F355" s="4"/>
      <c r="G355" s="4"/>
    </row>
    <row r="356" spans="1:7" ht="15.75" customHeight="1" x14ac:dyDescent="0.25">
      <c r="A356" s="4"/>
      <c r="B356" s="4"/>
      <c r="C356" s="4"/>
      <c r="D356" s="4"/>
      <c r="E356" s="4"/>
      <c r="F356" s="4"/>
      <c r="G356" s="4"/>
    </row>
    <row r="357" spans="1:7" ht="15.75" customHeight="1" x14ac:dyDescent="0.25">
      <c r="A357" s="4"/>
      <c r="B357" s="4"/>
      <c r="C357" s="4"/>
      <c r="D357" s="4"/>
      <c r="E357" s="4"/>
      <c r="F357" s="4"/>
      <c r="G357" s="4"/>
    </row>
    <row r="358" spans="1:7" ht="15.75" customHeight="1" x14ac:dyDescent="0.25">
      <c r="A358" s="4"/>
      <c r="B358" s="4"/>
      <c r="C358" s="4"/>
      <c r="D358" s="4"/>
      <c r="E358" s="4"/>
      <c r="F358" s="4"/>
      <c r="G358" s="4"/>
    </row>
    <row r="359" spans="1:7" ht="15.75" customHeight="1" x14ac:dyDescent="0.25">
      <c r="A359" s="4"/>
      <c r="B359" s="4"/>
      <c r="C359" s="4"/>
      <c r="D359" s="4"/>
      <c r="E359" s="4"/>
      <c r="F359" s="4"/>
      <c r="G359" s="4"/>
    </row>
    <row r="360" spans="1:7" ht="15.75" customHeight="1" x14ac:dyDescent="0.25">
      <c r="A360" s="4"/>
      <c r="B360" s="4"/>
      <c r="C360" s="4"/>
      <c r="D360" s="4"/>
      <c r="E360" s="4"/>
      <c r="F360" s="4"/>
      <c r="G360" s="4"/>
    </row>
    <row r="361" spans="1:7" ht="15.75" customHeight="1" x14ac:dyDescent="0.25">
      <c r="A361" s="4"/>
      <c r="B361" s="4"/>
      <c r="C361" s="4"/>
      <c r="D361" s="4"/>
      <c r="E361" s="4"/>
      <c r="F361" s="4"/>
      <c r="G361" s="4"/>
    </row>
    <row r="362" spans="1:7" ht="15.75" customHeight="1" x14ac:dyDescent="0.25">
      <c r="A362" s="4"/>
      <c r="B362" s="4"/>
      <c r="C362" s="4"/>
      <c r="D362" s="4"/>
      <c r="E362" s="4"/>
      <c r="F362" s="4"/>
      <c r="G362" s="4"/>
    </row>
    <row r="363" spans="1:7" ht="15.75" customHeight="1" x14ac:dyDescent="0.25">
      <c r="A363" s="4"/>
      <c r="B363" s="4"/>
      <c r="C363" s="4"/>
      <c r="D363" s="4"/>
      <c r="E363" s="4"/>
      <c r="F363" s="4"/>
      <c r="G363" s="4"/>
    </row>
    <row r="364" spans="1:7" ht="15.75" customHeight="1" x14ac:dyDescent="0.25">
      <c r="A364" s="4"/>
      <c r="B364" s="4"/>
      <c r="C364" s="4"/>
      <c r="D364" s="4"/>
      <c r="E364" s="4"/>
      <c r="F364" s="4"/>
      <c r="G364" s="4"/>
    </row>
    <row r="365" spans="1:7" ht="15.75" customHeight="1" x14ac:dyDescent="0.25">
      <c r="A365" s="4"/>
      <c r="B365" s="4"/>
      <c r="C365" s="4"/>
      <c r="D365" s="4"/>
      <c r="E365" s="4"/>
      <c r="F365" s="4"/>
      <c r="G365" s="4"/>
    </row>
    <row r="366" spans="1:7" ht="15.75" customHeight="1" x14ac:dyDescent="0.25">
      <c r="A366" s="4"/>
      <c r="B366" s="4"/>
      <c r="C366" s="4"/>
      <c r="D366" s="4"/>
      <c r="E366" s="4"/>
      <c r="F366" s="4"/>
      <c r="G366" s="4"/>
    </row>
    <row r="367" spans="1:7" ht="15.75" customHeight="1" x14ac:dyDescent="0.25">
      <c r="A367" s="4"/>
      <c r="B367" s="4"/>
      <c r="C367" s="4"/>
      <c r="D367" s="4"/>
      <c r="E367" s="4"/>
      <c r="F367" s="4"/>
      <c r="G367" s="4"/>
    </row>
    <row r="368" spans="1:7" ht="15.75" customHeight="1" x14ac:dyDescent="0.25">
      <c r="A368" s="4"/>
      <c r="B368" s="4"/>
      <c r="C368" s="4"/>
      <c r="D368" s="4"/>
      <c r="E368" s="4"/>
      <c r="F368" s="4"/>
      <c r="G368" s="4"/>
    </row>
    <row r="369" spans="1:7" ht="15.75" customHeight="1" x14ac:dyDescent="0.25">
      <c r="A369" s="4"/>
      <c r="B369" s="4"/>
      <c r="C369" s="4"/>
      <c r="D369" s="4"/>
      <c r="E369" s="4"/>
      <c r="F369" s="4"/>
      <c r="G369" s="4"/>
    </row>
    <row r="370" spans="1:7" ht="15.75" customHeight="1" x14ac:dyDescent="0.25">
      <c r="A370" s="4"/>
      <c r="B370" s="4"/>
      <c r="C370" s="4"/>
      <c r="D370" s="4"/>
      <c r="E370" s="4"/>
      <c r="F370" s="4"/>
      <c r="G370" s="4"/>
    </row>
    <row r="371" spans="1:7" ht="15.75" customHeight="1" x14ac:dyDescent="0.25">
      <c r="A371" s="4"/>
      <c r="B371" s="4"/>
      <c r="C371" s="4"/>
      <c r="D371" s="4"/>
      <c r="E371" s="4"/>
      <c r="F371" s="4"/>
      <c r="G371" s="4"/>
    </row>
    <row r="372" spans="1:7" ht="15.75" customHeight="1" x14ac:dyDescent="0.25">
      <c r="A372" s="4"/>
      <c r="B372" s="4"/>
      <c r="C372" s="4"/>
      <c r="D372" s="4"/>
      <c r="E372" s="4"/>
      <c r="F372" s="4"/>
      <c r="G372" s="4"/>
    </row>
    <row r="373" spans="1:7" ht="15.75" customHeight="1" x14ac:dyDescent="0.25">
      <c r="A373" s="4"/>
      <c r="B373" s="4"/>
      <c r="C373" s="4"/>
      <c r="D373" s="4"/>
      <c r="E373" s="4"/>
      <c r="F373" s="4"/>
      <c r="G373" s="4"/>
    </row>
    <row r="374" spans="1:7" ht="15.75" customHeight="1" x14ac:dyDescent="0.25">
      <c r="A374" s="4"/>
      <c r="B374" s="4"/>
      <c r="C374" s="4"/>
      <c r="D374" s="4"/>
      <c r="E374" s="4"/>
      <c r="F374" s="4"/>
      <c r="G374" s="4"/>
    </row>
    <row r="375" spans="1:7" ht="15.75" customHeight="1" x14ac:dyDescent="0.25">
      <c r="A375" s="4"/>
      <c r="B375" s="4"/>
      <c r="C375" s="4"/>
      <c r="D375" s="4"/>
      <c r="E375" s="4"/>
      <c r="F375" s="4"/>
      <c r="G375" s="4"/>
    </row>
    <row r="376" spans="1:7" ht="15.75" customHeight="1" x14ac:dyDescent="0.25">
      <c r="A376" s="4"/>
      <c r="B376" s="4"/>
      <c r="C376" s="4"/>
      <c r="D376" s="4"/>
      <c r="E376" s="4"/>
      <c r="F376" s="4"/>
      <c r="G376" s="4"/>
    </row>
    <row r="377" spans="1:7" ht="15.75" customHeight="1" x14ac:dyDescent="0.25">
      <c r="A377" s="4"/>
      <c r="B377" s="4"/>
      <c r="C377" s="4"/>
      <c r="D377" s="4"/>
      <c r="E377" s="4"/>
      <c r="F377" s="4"/>
      <c r="G377" s="4"/>
    </row>
    <row r="378" spans="1:7" ht="15.75" customHeight="1" x14ac:dyDescent="0.25">
      <c r="A378" s="4"/>
      <c r="B378" s="4"/>
      <c r="C378" s="4"/>
      <c r="D378" s="4"/>
      <c r="E378" s="4"/>
      <c r="F378" s="4"/>
      <c r="G378" s="4"/>
    </row>
    <row r="379" spans="1:7" ht="15.75" customHeight="1" x14ac:dyDescent="0.25">
      <c r="A379" s="4"/>
      <c r="B379" s="4"/>
      <c r="C379" s="4"/>
      <c r="D379" s="4"/>
      <c r="E379" s="4"/>
      <c r="F379" s="4"/>
      <c r="G379" s="4"/>
    </row>
    <row r="380" spans="1:7" ht="15.75" customHeight="1" x14ac:dyDescent="0.25">
      <c r="A380" s="4"/>
      <c r="B380" s="4"/>
      <c r="C380" s="4"/>
      <c r="D380" s="4"/>
      <c r="E380" s="4"/>
      <c r="F380" s="4"/>
      <c r="G380" s="4"/>
    </row>
    <row r="381" spans="1:7" ht="15.75" customHeight="1" x14ac:dyDescent="0.25">
      <c r="A381" s="4"/>
      <c r="B381" s="4"/>
      <c r="C381" s="4"/>
      <c r="D381" s="4"/>
      <c r="E381" s="4"/>
      <c r="F381" s="4"/>
      <c r="G381" s="4"/>
    </row>
    <row r="382" spans="1:7" ht="15.75" customHeight="1" x14ac:dyDescent="0.25">
      <c r="A382" s="4"/>
      <c r="B382" s="4"/>
      <c r="C382" s="4"/>
      <c r="D382" s="4"/>
      <c r="E382" s="4"/>
      <c r="F382" s="4"/>
      <c r="G382" s="4"/>
    </row>
    <row r="383" spans="1:7" ht="15.75" customHeight="1" x14ac:dyDescent="0.25">
      <c r="A383" s="4"/>
      <c r="B383" s="4"/>
      <c r="C383" s="4"/>
      <c r="D383" s="4"/>
      <c r="E383" s="4"/>
      <c r="F383" s="4"/>
      <c r="G383" s="4"/>
    </row>
    <row r="384" spans="1:7" ht="15.75" customHeight="1" x14ac:dyDescent="0.25">
      <c r="A384" s="4"/>
      <c r="B384" s="4"/>
      <c r="C384" s="4"/>
      <c r="D384" s="4"/>
      <c r="E384" s="4"/>
      <c r="F384" s="4"/>
      <c r="G384" s="4"/>
    </row>
    <row r="385" spans="1:7" ht="15.75" customHeight="1" x14ac:dyDescent="0.25">
      <c r="A385" s="4"/>
      <c r="B385" s="4"/>
      <c r="C385" s="4"/>
      <c r="D385" s="4"/>
      <c r="E385" s="4"/>
      <c r="F385" s="4"/>
      <c r="G385" s="4"/>
    </row>
    <row r="386" spans="1:7" ht="15.75" customHeight="1" x14ac:dyDescent="0.25">
      <c r="A386" s="4"/>
      <c r="B386" s="4"/>
      <c r="C386" s="4"/>
      <c r="D386" s="4"/>
      <c r="E386" s="4"/>
      <c r="F386" s="4"/>
      <c r="G386" s="4"/>
    </row>
    <row r="387" spans="1:7" ht="15.75" customHeight="1" x14ac:dyDescent="0.25">
      <c r="A387" s="4"/>
      <c r="B387" s="4"/>
      <c r="C387" s="4"/>
      <c r="D387" s="4"/>
      <c r="E387" s="4"/>
      <c r="F387" s="4"/>
      <c r="G387" s="4"/>
    </row>
    <row r="388" spans="1:7" ht="15.75" customHeight="1" x14ac:dyDescent="0.25">
      <c r="A388" s="4"/>
      <c r="B388" s="4"/>
      <c r="C388" s="4"/>
      <c r="D388" s="4"/>
      <c r="E388" s="4"/>
      <c r="F388" s="4"/>
      <c r="G388" s="4"/>
    </row>
    <row r="389" spans="1:7" ht="15.75" customHeight="1" x14ac:dyDescent="0.25">
      <c r="A389" s="4"/>
      <c r="B389" s="4"/>
      <c r="C389" s="4"/>
      <c r="D389" s="4"/>
      <c r="E389" s="4"/>
      <c r="F389" s="4"/>
      <c r="G389" s="4"/>
    </row>
    <row r="390" spans="1:7" ht="15.75" customHeight="1" x14ac:dyDescent="0.25">
      <c r="A390" s="4"/>
      <c r="B390" s="4"/>
      <c r="C390" s="4"/>
      <c r="D390" s="4"/>
      <c r="E390" s="4"/>
      <c r="F390" s="4"/>
      <c r="G390" s="4"/>
    </row>
    <row r="391" spans="1:7" ht="15.75" customHeight="1" x14ac:dyDescent="0.25">
      <c r="A391" s="4"/>
      <c r="B391" s="4"/>
      <c r="C391" s="4"/>
      <c r="D391" s="4"/>
      <c r="E391" s="4"/>
      <c r="F391" s="4"/>
      <c r="G391" s="4"/>
    </row>
    <row r="392" spans="1:7" ht="15.75" customHeight="1" x14ac:dyDescent="0.25">
      <c r="A392" s="4"/>
      <c r="B392" s="4"/>
      <c r="C392" s="4"/>
      <c r="D392" s="4"/>
      <c r="E392" s="4"/>
      <c r="F392" s="4"/>
      <c r="G392" s="4"/>
    </row>
    <row r="393" spans="1:7" ht="15.75" customHeight="1" x14ac:dyDescent="0.25">
      <c r="A393" s="4"/>
      <c r="B393" s="4"/>
      <c r="C393" s="4"/>
      <c r="D393" s="4"/>
      <c r="E393" s="4"/>
      <c r="F393" s="4"/>
      <c r="G393" s="4"/>
    </row>
    <row r="394" spans="1:7" ht="15.75" customHeight="1" x14ac:dyDescent="0.25">
      <c r="A394" s="4"/>
      <c r="B394" s="4"/>
      <c r="C394" s="4"/>
      <c r="D394" s="4"/>
      <c r="E394" s="4"/>
      <c r="F394" s="4"/>
      <c r="G394" s="4"/>
    </row>
    <row r="395" spans="1:7" ht="15.75" customHeight="1" x14ac:dyDescent="0.25">
      <c r="A395" s="4"/>
      <c r="B395" s="4"/>
      <c r="C395" s="4"/>
      <c r="D395" s="4"/>
      <c r="E395" s="4"/>
      <c r="F395" s="4"/>
      <c r="G395" s="4"/>
    </row>
    <row r="396" spans="1:7" ht="15.75" customHeight="1" x14ac:dyDescent="0.25">
      <c r="A396" s="4"/>
      <c r="B396" s="4"/>
      <c r="C396" s="4"/>
      <c r="D396" s="4"/>
      <c r="E396" s="4"/>
      <c r="F396" s="4"/>
      <c r="G396" s="4"/>
    </row>
    <row r="397" spans="1:7" ht="15.75" customHeight="1" x14ac:dyDescent="0.25">
      <c r="A397" s="4"/>
      <c r="B397" s="4"/>
      <c r="C397" s="4"/>
      <c r="D397" s="4"/>
      <c r="E397" s="4"/>
      <c r="F397" s="4"/>
      <c r="G397" s="4"/>
    </row>
    <row r="398" spans="1:7" ht="15.75" customHeight="1" x14ac:dyDescent="0.25">
      <c r="A398" s="4"/>
      <c r="B398" s="4"/>
      <c r="C398" s="4"/>
      <c r="D398" s="4"/>
      <c r="E398" s="4"/>
      <c r="F398" s="4"/>
      <c r="G398" s="4"/>
    </row>
    <row r="399" spans="1:7" ht="15.75" customHeight="1" x14ac:dyDescent="0.25">
      <c r="A399" s="4"/>
      <c r="B399" s="4"/>
      <c r="C399" s="4"/>
      <c r="D399" s="4"/>
      <c r="E399" s="4"/>
      <c r="F399" s="4"/>
      <c r="G399" s="4"/>
    </row>
    <row r="400" spans="1:7" ht="15.75" customHeight="1" x14ac:dyDescent="0.25">
      <c r="A400" s="4"/>
      <c r="B400" s="4"/>
      <c r="C400" s="4"/>
      <c r="D400" s="4"/>
      <c r="E400" s="4"/>
      <c r="F400" s="4"/>
      <c r="G400" s="4"/>
    </row>
    <row r="401" spans="1:7" ht="15.75" customHeight="1" x14ac:dyDescent="0.25">
      <c r="A401" s="4"/>
      <c r="B401" s="4"/>
      <c r="C401" s="4"/>
      <c r="D401" s="4"/>
      <c r="E401" s="4"/>
      <c r="F401" s="4"/>
      <c r="G401" s="4"/>
    </row>
    <row r="402" spans="1:7" ht="15.75" customHeight="1" x14ac:dyDescent="0.25">
      <c r="A402" s="4"/>
      <c r="B402" s="4"/>
      <c r="C402" s="4"/>
      <c r="D402" s="4"/>
      <c r="E402" s="4"/>
      <c r="F402" s="4"/>
      <c r="G402" s="4"/>
    </row>
    <row r="403" spans="1:7" ht="15.75" customHeight="1" x14ac:dyDescent="0.25">
      <c r="A403" s="4"/>
      <c r="B403" s="4"/>
      <c r="C403" s="4"/>
      <c r="D403" s="4"/>
      <c r="E403" s="4"/>
      <c r="F403" s="4"/>
      <c r="G403" s="4"/>
    </row>
    <row r="404" spans="1:7" ht="15.75" customHeight="1" x14ac:dyDescent="0.25">
      <c r="A404" s="4"/>
      <c r="B404" s="4"/>
      <c r="C404" s="4"/>
      <c r="D404" s="4"/>
      <c r="E404" s="4"/>
      <c r="F404" s="4"/>
      <c r="G404" s="4"/>
    </row>
    <row r="405" spans="1:7" ht="15.75" customHeight="1" x14ac:dyDescent="0.25">
      <c r="A405" s="4"/>
      <c r="B405" s="4"/>
      <c r="C405" s="4"/>
      <c r="D405" s="4"/>
      <c r="E405" s="4"/>
      <c r="F405" s="4"/>
      <c r="G405" s="4"/>
    </row>
    <row r="406" spans="1:7" ht="15.75" customHeight="1" x14ac:dyDescent="0.25">
      <c r="A406" s="4"/>
      <c r="B406" s="4"/>
      <c r="C406" s="4"/>
      <c r="D406" s="4"/>
      <c r="E406" s="4"/>
      <c r="F406" s="4"/>
      <c r="G406" s="4"/>
    </row>
    <row r="407" spans="1:7" ht="15.75" customHeight="1" x14ac:dyDescent="0.25">
      <c r="A407" s="4"/>
      <c r="B407" s="4"/>
      <c r="C407" s="4"/>
      <c r="D407" s="4"/>
      <c r="E407" s="4"/>
      <c r="F407" s="4"/>
      <c r="G407" s="4"/>
    </row>
    <row r="408" spans="1:7" ht="15.75" customHeight="1" x14ac:dyDescent="0.25">
      <c r="A408" s="4"/>
      <c r="B408" s="4"/>
      <c r="C408" s="4"/>
      <c r="D408" s="4"/>
      <c r="E408" s="4"/>
      <c r="F408" s="4"/>
      <c r="G408" s="4"/>
    </row>
    <row r="409" spans="1:7" ht="15.75" customHeight="1" x14ac:dyDescent="0.25">
      <c r="A409" s="4"/>
      <c r="B409" s="4"/>
      <c r="C409" s="4"/>
      <c r="D409" s="4"/>
      <c r="E409" s="4"/>
      <c r="F409" s="4"/>
      <c r="G409" s="4"/>
    </row>
    <row r="410" spans="1:7" ht="15.75" customHeight="1" x14ac:dyDescent="0.25">
      <c r="A410" s="4"/>
      <c r="B410" s="4"/>
      <c r="C410" s="4"/>
      <c r="D410" s="4"/>
      <c r="E410" s="4"/>
      <c r="F410" s="4"/>
      <c r="G410" s="4"/>
    </row>
    <row r="411" spans="1:7" ht="15.75" customHeight="1" x14ac:dyDescent="0.25">
      <c r="A411" s="4"/>
      <c r="B411" s="4"/>
      <c r="C411" s="4"/>
      <c r="D411" s="4"/>
      <c r="E411" s="4"/>
      <c r="F411" s="4"/>
      <c r="G411" s="4"/>
    </row>
    <row r="412" spans="1:7" ht="15.75" customHeight="1" x14ac:dyDescent="0.25">
      <c r="A412" s="4"/>
      <c r="B412" s="4"/>
      <c r="C412" s="4"/>
      <c r="D412" s="4"/>
      <c r="E412" s="4"/>
      <c r="F412" s="4"/>
      <c r="G412" s="4"/>
    </row>
    <row r="413" spans="1:7" ht="15.75" customHeight="1" x14ac:dyDescent="0.25">
      <c r="A413" s="4"/>
      <c r="B413" s="4"/>
      <c r="C413" s="4"/>
      <c r="D413" s="4"/>
      <c r="E413" s="4"/>
      <c r="F413" s="4"/>
      <c r="G413" s="4"/>
    </row>
    <row r="414" spans="1:7" ht="15.75" customHeight="1" x14ac:dyDescent="0.25">
      <c r="A414" s="4"/>
      <c r="B414" s="4"/>
      <c r="C414" s="4"/>
      <c r="D414" s="4"/>
      <c r="E414" s="4"/>
      <c r="F414" s="4"/>
      <c r="G414" s="4"/>
    </row>
    <row r="415" spans="1:7" ht="15.75" customHeight="1" x14ac:dyDescent="0.25">
      <c r="A415" s="4"/>
      <c r="B415" s="4"/>
      <c r="C415" s="4"/>
      <c r="D415" s="4"/>
      <c r="E415" s="4"/>
      <c r="F415" s="4"/>
      <c r="G415" s="4"/>
    </row>
    <row r="416" spans="1:7" ht="15.75" customHeight="1" x14ac:dyDescent="0.25">
      <c r="A416" s="4"/>
      <c r="B416" s="4"/>
      <c r="C416" s="4"/>
      <c r="D416" s="4"/>
      <c r="E416" s="4"/>
      <c r="F416" s="4"/>
      <c r="G416" s="4"/>
    </row>
    <row r="417" spans="1:7" ht="15.75" customHeight="1" x14ac:dyDescent="0.25">
      <c r="A417" s="4"/>
      <c r="B417" s="4"/>
      <c r="C417" s="4"/>
      <c r="D417" s="4"/>
      <c r="E417" s="4"/>
      <c r="F417" s="4"/>
      <c r="G417" s="4"/>
    </row>
    <row r="418" spans="1:7" ht="15.75" customHeight="1" x14ac:dyDescent="0.25">
      <c r="A418" s="4"/>
      <c r="B418" s="4"/>
      <c r="C418" s="4"/>
      <c r="D418" s="4"/>
      <c r="E418" s="4"/>
      <c r="F418" s="4"/>
      <c r="G418" s="4"/>
    </row>
    <row r="419" spans="1:7" ht="15.75" customHeight="1" x14ac:dyDescent="0.25">
      <c r="A419" s="4"/>
      <c r="B419" s="4"/>
      <c r="C419" s="4"/>
      <c r="D419" s="4"/>
      <c r="E419" s="4"/>
      <c r="F419" s="4"/>
      <c r="G419" s="4"/>
    </row>
    <row r="420" spans="1:7" ht="15.75" customHeight="1" x14ac:dyDescent="0.25">
      <c r="A420" s="4"/>
      <c r="B420" s="4"/>
      <c r="C420" s="4"/>
      <c r="D420" s="4"/>
      <c r="E420" s="4"/>
      <c r="F420" s="4"/>
      <c r="G420" s="4"/>
    </row>
    <row r="421" spans="1:7" ht="15.75" customHeight="1" x14ac:dyDescent="0.25">
      <c r="A421" s="4"/>
      <c r="B421" s="4"/>
      <c r="C421" s="4"/>
      <c r="D421" s="4"/>
      <c r="E421" s="4"/>
      <c r="F421" s="4"/>
      <c r="G421" s="4"/>
    </row>
    <row r="422" spans="1:7" ht="15.75" customHeight="1" x14ac:dyDescent="0.25">
      <c r="A422" s="4"/>
      <c r="B422" s="4"/>
      <c r="C422" s="4"/>
      <c r="D422" s="4"/>
      <c r="E422" s="4"/>
      <c r="F422" s="4"/>
      <c r="G422" s="4"/>
    </row>
    <row r="423" spans="1:7" ht="15.75" customHeight="1" x14ac:dyDescent="0.25">
      <c r="A423" s="4"/>
      <c r="B423" s="4"/>
      <c r="C423" s="4"/>
      <c r="D423" s="4"/>
      <c r="E423" s="4"/>
      <c r="F423" s="4"/>
      <c r="G423" s="4"/>
    </row>
    <row r="424" spans="1:7" ht="15.75" customHeight="1" x14ac:dyDescent="0.25">
      <c r="A424" s="4"/>
      <c r="B424" s="4"/>
      <c r="C424" s="4"/>
      <c r="D424" s="4"/>
      <c r="E424" s="4"/>
      <c r="F424" s="4"/>
      <c r="G424" s="4"/>
    </row>
    <row r="425" spans="1:7" ht="15.75" customHeight="1" x14ac:dyDescent="0.25">
      <c r="A425" s="4"/>
      <c r="B425" s="4"/>
      <c r="C425" s="4"/>
      <c r="D425" s="4"/>
      <c r="E425" s="4"/>
      <c r="F425" s="4"/>
      <c r="G425" s="4"/>
    </row>
    <row r="426" spans="1:7" ht="15.75" customHeight="1" x14ac:dyDescent="0.25">
      <c r="A426" s="4"/>
      <c r="B426" s="4"/>
      <c r="C426" s="4"/>
      <c r="D426" s="4"/>
      <c r="E426" s="4"/>
      <c r="F426" s="4"/>
      <c r="G426" s="4"/>
    </row>
    <row r="427" spans="1:7" ht="15.75" customHeight="1" x14ac:dyDescent="0.25">
      <c r="A427" s="4"/>
      <c r="B427" s="4"/>
      <c r="C427" s="4"/>
      <c r="D427" s="4"/>
      <c r="E427" s="4"/>
      <c r="F427" s="4"/>
      <c r="G427" s="4"/>
    </row>
    <row r="428" spans="1:7" ht="15.75" customHeight="1" x14ac:dyDescent="0.25">
      <c r="A428" s="4"/>
      <c r="B428" s="4"/>
      <c r="C428" s="4"/>
      <c r="D428" s="4"/>
      <c r="E428" s="4"/>
      <c r="F428" s="4"/>
      <c r="G428" s="4"/>
    </row>
    <row r="429" spans="1:7" ht="15.75" customHeight="1" x14ac:dyDescent="0.25">
      <c r="A429" s="4"/>
      <c r="B429" s="4"/>
      <c r="C429" s="4"/>
      <c r="D429" s="4"/>
      <c r="E429" s="4"/>
      <c r="F429" s="4"/>
      <c r="G429" s="4"/>
    </row>
    <row r="430" spans="1:7" ht="15.75" customHeight="1" x14ac:dyDescent="0.25">
      <c r="A430" s="4"/>
      <c r="B430" s="4"/>
      <c r="C430" s="4"/>
      <c r="D430" s="4"/>
      <c r="E430" s="4"/>
      <c r="F430" s="4"/>
      <c r="G430" s="4"/>
    </row>
    <row r="431" spans="1:7" ht="15.75" customHeight="1" x14ac:dyDescent="0.25">
      <c r="A431" s="4"/>
      <c r="B431" s="4"/>
      <c r="C431" s="4"/>
      <c r="D431" s="4"/>
      <c r="E431" s="4"/>
      <c r="F431" s="4"/>
      <c r="G431" s="4"/>
    </row>
    <row r="432" spans="1:7" ht="15.75" customHeight="1" x14ac:dyDescent="0.25">
      <c r="A432" s="4"/>
      <c r="B432" s="4"/>
      <c r="C432" s="4"/>
      <c r="D432" s="4"/>
      <c r="E432" s="4"/>
      <c r="F432" s="4"/>
      <c r="G432" s="4"/>
    </row>
    <row r="433" spans="1:7" ht="15.75" customHeight="1" x14ac:dyDescent="0.25">
      <c r="A433" s="4"/>
      <c r="B433" s="4"/>
      <c r="C433" s="4"/>
      <c r="D433" s="4"/>
      <c r="E433" s="4"/>
      <c r="F433" s="4"/>
      <c r="G433" s="4"/>
    </row>
    <row r="434" spans="1:7" ht="15.75" customHeight="1" x14ac:dyDescent="0.25">
      <c r="A434" s="4"/>
      <c r="B434" s="4"/>
      <c r="C434" s="4"/>
      <c r="D434" s="4"/>
      <c r="E434" s="4"/>
      <c r="F434" s="4"/>
      <c r="G434" s="4"/>
    </row>
    <row r="435" spans="1:7" ht="15.75" customHeight="1" x14ac:dyDescent="0.25">
      <c r="A435" s="4"/>
      <c r="B435" s="4"/>
      <c r="C435" s="4"/>
      <c r="D435" s="4"/>
      <c r="E435" s="4"/>
      <c r="F435" s="4"/>
      <c r="G435" s="4"/>
    </row>
    <row r="436" spans="1:7" ht="15.75" customHeight="1" x14ac:dyDescent="0.25">
      <c r="A436" s="4"/>
      <c r="B436" s="4"/>
      <c r="C436" s="4"/>
      <c r="D436" s="4"/>
      <c r="E436" s="4"/>
      <c r="F436" s="4"/>
      <c r="G436" s="4"/>
    </row>
    <row r="437" spans="1:7" ht="15.75" customHeight="1" x14ac:dyDescent="0.25">
      <c r="A437" s="4"/>
      <c r="B437" s="4"/>
      <c r="C437" s="4"/>
      <c r="D437" s="4"/>
      <c r="E437" s="4"/>
      <c r="F437" s="4"/>
      <c r="G437" s="4"/>
    </row>
    <row r="438" spans="1:7" ht="15.75" customHeight="1" x14ac:dyDescent="0.25">
      <c r="A438" s="4"/>
      <c r="B438" s="4"/>
      <c r="C438" s="4"/>
      <c r="D438" s="4"/>
      <c r="E438" s="4"/>
      <c r="F438" s="4"/>
      <c r="G438" s="4"/>
    </row>
    <row r="439" spans="1:7" ht="15.75" customHeight="1" x14ac:dyDescent="0.25">
      <c r="A439" s="4"/>
      <c r="B439" s="4"/>
      <c r="C439" s="4"/>
      <c r="D439" s="4"/>
      <c r="E439" s="4"/>
      <c r="F439" s="4"/>
      <c r="G439" s="4"/>
    </row>
    <row r="440" spans="1:7" ht="15.75" customHeight="1" x14ac:dyDescent="0.25">
      <c r="A440" s="4"/>
      <c r="B440" s="4"/>
      <c r="C440" s="4"/>
      <c r="D440" s="4"/>
      <c r="E440" s="4"/>
      <c r="F440" s="4"/>
      <c r="G440" s="4"/>
    </row>
    <row r="441" spans="1:7" ht="15.75" customHeight="1" x14ac:dyDescent="0.25">
      <c r="A441" s="4"/>
      <c r="B441" s="4"/>
      <c r="C441" s="4"/>
      <c r="D441" s="4"/>
      <c r="E441" s="4"/>
      <c r="F441" s="4"/>
      <c r="G441" s="4"/>
    </row>
    <row r="442" spans="1:7" ht="15.75" customHeight="1" x14ac:dyDescent="0.25">
      <c r="A442" s="4"/>
      <c r="B442" s="4"/>
      <c r="C442" s="4"/>
      <c r="D442" s="4"/>
      <c r="E442" s="4"/>
      <c r="F442" s="4"/>
      <c r="G442" s="4"/>
    </row>
    <row r="443" spans="1:7" ht="15.75" customHeight="1" x14ac:dyDescent="0.25">
      <c r="A443" s="4"/>
      <c r="B443" s="4"/>
      <c r="C443" s="4"/>
      <c r="D443" s="4"/>
      <c r="E443" s="4"/>
      <c r="F443" s="4"/>
      <c r="G443" s="4"/>
    </row>
    <row r="444" spans="1:7" ht="15.75" customHeight="1" x14ac:dyDescent="0.25">
      <c r="A444" s="4"/>
      <c r="B444" s="4"/>
      <c r="C444" s="4"/>
      <c r="D444" s="4"/>
      <c r="E444" s="4"/>
      <c r="F444" s="4"/>
      <c r="G444" s="4"/>
    </row>
    <row r="445" spans="1:7" ht="15.75" customHeight="1" x14ac:dyDescent="0.25">
      <c r="A445" s="4"/>
      <c r="B445" s="4"/>
      <c r="C445" s="4"/>
      <c r="D445" s="4"/>
      <c r="E445" s="4"/>
      <c r="F445" s="4"/>
      <c r="G445" s="4"/>
    </row>
    <row r="446" spans="1:7" ht="15.75" customHeight="1" x14ac:dyDescent="0.25">
      <c r="A446" s="4"/>
      <c r="B446" s="4"/>
      <c r="C446" s="4"/>
      <c r="D446" s="4"/>
      <c r="E446" s="4"/>
      <c r="F446" s="4"/>
      <c r="G446" s="4"/>
    </row>
    <row r="447" spans="1:7" ht="15.75" customHeight="1" x14ac:dyDescent="0.25">
      <c r="A447" s="4"/>
      <c r="B447" s="4"/>
      <c r="C447" s="4"/>
      <c r="D447" s="4"/>
      <c r="E447" s="4"/>
      <c r="F447" s="4"/>
      <c r="G447" s="4"/>
    </row>
    <row r="448" spans="1:7" ht="15.75" customHeight="1" x14ac:dyDescent="0.25">
      <c r="A448" s="4"/>
      <c r="B448" s="4"/>
      <c r="C448" s="4"/>
      <c r="D448" s="4"/>
      <c r="E448" s="4"/>
      <c r="F448" s="4"/>
      <c r="G448" s="4"/>
    </row>
    <row r="449" spans="1:7" ht="15.75" customHeight="1" x14ac:dyDescent="0.25">
      <c r="A449" s="4"/>
      <c r="B449" s="4"/>
      <c r="C449" s="4"/>
      <c r="D449" s="4"/>
      <c r="E449" s="4"/>
      <c r="F449" s="4"/>
      <c r="G449" s="4"/>
    </row>
    <row r="450" spans="1:7" ht="15.75" customHeight="1" x14ac:dyDescent="0.25">
      <c r="A450" s="4"/>
      <c r="B450" s="4"/>
      <c r="C450" s="4"/>
      <c r="D450" s="4"/>
      <c r="E450" s="4"/>
      <c r="F450" s="4"/>
      <c r="G450" s="4"/>
    </row>
    <row r="451" spans="1:7" ht="15.75" customHeight="1" x14ac:dyDescent="0.25">
      <c r="A451" s="4"/>
      <c r="B451" s="4"/>
      <c r="C451" s="4"/>
      <c r="D451" s="4"/>
      <c r="E451" s="4"/>
      <c r="F451" s="4"/>
      <c r="G451" s="4"/>
    </row>
    <row r="452" spans="1:7" ht="15.75" customHeight="1" x14ac:dyDescent="0.25">
      <c r="A452" s="4"/>
      <c r="B452" s="4"/>
      <c r="C452" s="4"/>
      <c r="D452" s="4"/>
      <c r="E452" s="4"/>
      <c r="F452" s="4"/>
      <c r="G452" s="4"/>
    </row>
    <row r="453" spans="1:7" ht="15.75" customHeight="1" x14ac:dyDescent="0.25">
      <c r="A453" s="4"/>
      <c r="B453" s="4"/>
      <c r="C453" s="4"/>
      <c r="D453" s="4"/>
      <c r="E453" s="4"/>
      <c r="F453" s="4"/>
      <c r="G453" s="4"/>
    </row>
    <row r="454" spans="1:7" ht="15.75" customHeight="1" x14ac:dyDescent="0.25">
      <c r="A454" s="4"/>
      <c r="B454" s="4"/>
      <c r="C454" s="4"/>
      <c r="D454" s="4"/>
      <c r="E454" s="4"/>
      <c r="F454" s="4"/>
      <c r="G454" s="4"/>
    </row>
    <row r="455" spans="1:7" ht="15.75" customHeight="1" x14ac:dyDescent="0.25">
      <c r="A455" s="4"/>
      <c r="B455" s="4"/>
      <c r="C455" s="4"/>
      <c r="D455" s="4"/>
      <c r="E455" s="4"/>
      <c r="F455" s="4"/>
      <c r="G455" s="4"/>
    </row>
    <row r="456" spans="1:7" ht="15.75" customHeight="1" x14ac:dyDescent="0.25">
      <c r="A456" s="4"/>
      <c r="B456" s="4"/>
      <c r="C456" s="4"/>
      <c r="D456" s="4"/>
      <c r="E456" s="4"/>
      <c r="F456" s="4"/>
      <c r="G456" s="4"/>
    </row>
    <row r="457" spans="1:7" ht="15.75" customHeight="1" x14ac:dyDescent="0.25">
      <c r="A457" s="4"/>
      <c r="B457" s="4"/>
      <c r="C457" s="4"/>
      <c r="D457" s="4"/>
      <c r="E457" s="4"/>
      <c r="F457" s="4"/>
      <c r="G457" s="4"/>
    </row>
    <row r="458" spans="1:7" ht="15.75" customHeight="1" x14ac:dyDescent="0.25">
      <c r="A458" s="4"/>
      <c r="B458" s="4"/>
      <c r="C458" s="4"/>
      <c r="D458" s="4"/>
      <c r="E458" s="4"/>
      <c r="F458" s="4"/>
      <c r="G458" s="4"/>
    </row>
    <row r="459" spans="1:7" ht="15.75" customHeight="1" x14ac:dyDescent="0.25">
      <c r="A459" s="4"/>
      <c r="B459" s="4"/>
      <c r="C459" s="4"/>
      <c r="D459" s="4"/>
      <c r="E459" s="4"/>
      <c r="F459" s="4"/>
      <c r="G459" s="4"/>
    </row>
    <row r="460" spans="1:7" ht="15.75" customHeight="1" x14ac:dyDescent="0.25">
      <c r="A460" s="4"/>
      <c r="B460" s="4"/>
      <c r="C460" s="4"/>
      <c r="D460" s="4"/>
      <c r="E460" s="4"/>
      <c r="F460" s="4"/>
      <c r="G460" s="4"/>
    </row>
    <row r="461" spans="1:7" ht="15.75" customHeight="1" x14ac:dyDescent="0.25">
      <c r="A461" s="4"/>
      <c r="B461" s="4"/>
      <c r="C461" s="4"/>
      <c r="D461" s="4"/>
      <c r="E461" s="4"/>
      <c r="F461" s="4"/>
      <c r="G461" s="4"/>
    </row>
    <row r="462" spans="1:7" ht="15.75" customHeight="1" x14ac:dyDescent="0.25">
      <c r="A462" s="4"/>
      <c r="B462" s="4"/>
      <c r="C462" s="4"/>
      <c r="D462" s="4"/>
      <c r="E462" s="4"/>
      <c r="F462" s="4"/>
      <c r="G462" s="4"/>
    </row>
    <row r="463" spans="1:7" ht="15.75" customHeight="1" x14ac:dyDescent="0.25">
      <c r="A463" s="4"/>
      <c r="B463" s="4"/>
      <c r="C463" s="4"/>
      <c r="D463" s="4"/>
      <c r="E463" s="4"/>
      <c r="F463" s="4"/>
      <c r="G463" s="4"/>
    </row>
    <row r="464" spans="1:7" ht="15.75" customHeight="1" x14ac:dyDescent="0.25">
      <c r="A464" s="4"/>
      <c r="B464" s="4"/>
      <c r="C464" s="4"/>
      <c r="D464" s="4"/>
      <c r="E464" s="4"/>
      <c r="F464" s="4"/>
      <c r="G464" s="4"/>
    </row>
    <row r="465" spans="1:7" ht="15.75" customHeight="1" x14ac:dyDescent="0.25">
      <c r="A465" s="4"/>
      <c r="B465" s="4"/>
      <c r="C465" s="4"/>
      <c r="D465" s="4"/>
      <c r="E465" s="4"/>
      <c r="F465" s="4"/>
      <c r="G465" s="4"/>
    </row>
    <row r="466" spans="1:7" ht="15.75" customHeight="1" x14ac:dyDescent="0.25">
      <c r="A466" s="4"/>
      <c r="B466" s="4"/>
      <c r="C466" s="4"/>
      <c r="D466" s="4"/>
      <c r="E466" s="4"/>
      <c r="F466" s="4"/>
      <c r="G466" s="4"/>
    </row>
    <row r="467" spans="1:7" ht="15.75" customHeight="1" x14ac:dyDescent="0.25">
      <c r="A467" s="4"/>
      <c r="B467" s="4"/>
      <c r="C467" s="4"/>
      <c r="D467" s="4"/>
      <c r="E467" s="4"/>
      <c r="F467" s="4"/>
      <c r="G467" s="4"/>
    </row>
    <row r="468" spans="1:7" ht="15.75" customHeight="1" x14ac:dyDescent="0.25">
      <c r="A468" s="4"/>
      <c r="B468" s="4"/>
      <c r="C468" s="4"/>
      <c r="D468" s="4"/>
      <c r="E468" s="4"/>
      <c r="F468" s="4"/>
      <c r="G468" s="4"/>
    </row>
    <row r="469" spans="1:7" ht="15.75" customHeight="1" x14ac:dyDescent="0.25">
      <c r="A469" s="4"/>
      <c r="B469" s="4"/>
      <c r="C469" s="4"/>
      <c r="D469" s="4"/>
      <c r="E469" s="4"/>
      <c r="F469" s="4"/>
      <c r="G469" s="4"/>
    </row>
    <row r="470" spans="1:7" ht="15.75" customHeight="1" x14ac:dyDescent="0.25">
      <c r="A470" s="4"/>
      <c r="B470" s="4"/>
      <c r="C470" s="4"/>
      <c r="D470" s="4"/>
      <c r="E470" s="4"/>
      <c r="F470" s="4"/>
      <c r="G470" s="4"/>
    </row>
    <row r="471" spans="1:7" ht="15.75" customHeight="1" x14ac:dyDescent="0.25">
      <c r="A471" s="4"/>
      <c r="B471" s="4"/>
      <c r="C471" s="4"/>
      <c r="D471" s="4"/>
      <c r="E471" s="4"/>
      <c r="F471" s="4"/>
      <c r="G471" s="4"/>
    </row>
    <row r="472" spans="1:7" ht="15.75" customHeight="1" x14ac:dyDescent="0.25">
      <c r="A472" s="4"/>
      <c r="B472" s="4"/>
      <c r="C472" s="4"/>
      <c r="D472" s="4"/>
      <c r="E472" s="4"/>
      <c r="F472" s="4"/>
      <c r="G472" s="4"/>
    </row>
    <row r="473" spans="1:7" ht="15.75" customHeight="1" x14ac:dyDescent="0.25">
      <c r="A473" s="4"/>
      <c r="B473" s="4"/>
      <c r="C473" s="4"/>
      <c r="D473" s="4"/>
      <c r="E473" s="4"/>
      <c r="F473" s="4"/>
      <c r="G473" s="4"/>
    </row>
    <row r="474" spans="1:7" ht="15.75" customHeight="1" x14ac:dyDescent="0.25">
      <c r="A474" s="4"/>
      <c r="B474" s="4"/>
      <c r="C474" s="4"/>
      <c r="D474" s="4"/>
      <c r="E474" s="4"/>
      <c r="F474" s="4"/>
      <c r="G474" s="4"/>
    </row>
    <row r="475" spans="1:7" ht="15.75" customHeight="1" x14ac:dyDescent="0.25">
      <c r="A475" s="4"/>
      <c r="B475" s="4"/>
      <c r="C475" s="4"/>
      <c r="D475" s="4"/>
      <c r="E475" s="4"/>
      <c r="F475" s="4"/>
      <c r="G475" s="4"/>
    </row>
    <row r="476" spans="1:7" ht="15.75" customHeight="1" x14ac:dyDescent="0.25">
      <c r="A476" s="4"/>
      <c r="B476" s="4"/>
      <c r="C476" s="4"/>
      <c r="D476" s="4"/>
      <c r="E476" s="4"/>
      <c r="F476" s="4"/>
      <c r="G476" s="4"/>
    </row>
    <row r="477" spans="1:7" ht="15.75" customHeight="1" x14ac:dyDescent="0.25">
      <c r="A477" s="4"/>
      <c r="B477" s="4"/>
      <c r="C477" s="4"/>
      <c r="D477" s="4"/>
      <c r="E477" s="4"/>
      <c r="F477" s="4"/>
      <c r="G477" s="4"/>
    </row>
    <row r="478" spans="1:7" ht="15.75" customHeight="1" x14ac:dyDescent="0.25">
      <c r="A478" s="4"/>
      <c r="B478" s="4"/>
      <c r="C478" s="4"/>
      <c r="D478" s="4"/>
      <c r="E478" s="4"/>
      <c r="F478" s="4"/>
      <c r="G478" s="4"/>
    </row>
    <row r="479" spans="1:7" ht="15.75" customHeight="1" x14ac:dyDescent="0.25">
      <c r="A479" s="4"/>
      <c r="B479" s="4"/>
      <c r="C479" s="4"/>
      <c r="D479" s="4"/>
      <c r="E479" s="4"/>
      <c r="F479" s="4"/>
      <c r="G479" s="4"/>
    </row>
    <row r="480" spans="1:7" ht="15.75" customHeight="1" x14ac:dyDescent="0.25">
      <c r="A480" s="4"/>
      <c r="B480" s="4"/>
      <c r="C480" s="4"/>
      <c r="D480" s="4"/>
      <c r="E480" s="4"/>
      <c r="F480" s="4"/>
      <c r="G480" s="4"/>
    </row>
    <row r="481" spans="1:7" ht="15.75" customHeight="1" x14ac:dyDescent="0.25">
      <c r="A481" s="4"/>
      <c r="B481" s="4"/>
      <c r="C481" s="4"/>
      <c r="D481" s="4"/>
      <c r="E481" s="4"/>
      <c r="F481" s="4"/>
      <c r="G481" s="4"/>
    </row>
    <row r="482" spans="1:7" ht="15.75" customHeight="1" x14ac:dyDescent="0.25">
      <c r="A482" s="4"/>
      <c r="B482" s="4"/>
      <c r="C482" s="4"/>
      <c r="D482" s="4"/>
      <c r="E482" s="4"/>
      <c r="F482" s="4"/>
      <c r="G482" s="4"/>
    </row>
    <row r="483" spans="1:7" ht="15.75" customHeight="1" x14ac:dyDescent="0.25">
      <c r="A483" s="4"/>
      <c r="B483" s="4"/>
      <c r="C483" s="4"/>
      <c r="D483" s="4"/>
      <c r="E483" s="4"/>
      <c r="F483" s="4"/>
      <c r="G483" s="4"/>
    </row>
    <row r="484" spans="1:7" ht="15.75" customHeight="1" x14ac:dyDescent="0.25">
      <c r="A484" s="4"/>
      <c r="B484" s="4"/>
      <c r="C484" s="4"/>
      <c r="D484" s="4"/>
      <c r="E484" s="4"/>
      <c r="F484" s="4"/>
      <c r="G484" s="4"/>
    </row>
    <row r="485" spans="1:7" ht="15.75" customHeight="1" x14ac:dyDescent="0.25">
      <c r="A485" s="4"/>
      <c r="B485" s="4"/>
      <c r="C485" s="4"/>
      <c r="D485" s="4"/>
      <c r="E485" s="4"/>
      <c r="F485" s="4"/>
      <c r="G485" s="4"/>
    </row>
    <row r="486" spans="1:7" ht="15.75" customHeight="1" x14ac:dyDescent="0.25">
      <c r="A486" s="4"/>
      <c r="B486" s="4"/>
      <c r="C486" s="4"/>
      <c r="D486" s="4"/>
      <c r="E486" s="4"/>
      <c r="F486" s="4"/>
      <c r="G486" s="4"/>
    </row>
    <row r="487" spans="1:7" ht="15.75" customHeight="1" x14ac:dyDescent="0.25">
      <c r="A487" s="4"/>
      <c r="B487" s="4"/>
      <c r="C487" s="4"/>
      <c r="D487" s="4"/>
      <c r="E487" s="4"/>
      <c r="F487" s="4"/>
      <c r="G487" s="4"/>
    </row>
    <row r="488" spans="1:7" ht="15.75" customHeight="1" x14ac:dyDescent="0.25">
      <c r="A488" s="4"/>
      <c r="B488" s="4"/>
      <c r="C488" s="4"/>
      <c r="D488" s="4"/>
      <c r="E488" s="4"/>
      <c r="F488" s="4"/>
      <c r="G488" s="4"/>
    </row>
    <row r="489" spans="1:7" ht="15.75" customHeight="1" x14ac:dyDescent="0.25">
      <c r="A489" s="4"/>
      <c r="B489" s="4"/>
      <c r="C489" s="4"/>
      <c r="D489" s="4"/>
      <c r="E489" s="4"/>
      <c r="F489" s="4"/>
      <c r="G489" s="4"/>
    </row>
    <row r="490" spans="1:7" ht="15.75" customHeight="1" x14ac:dyDescent="0.25">
      <c r="A490" s="4"/>
      <c r="B490" s="4"/>
      <c r="C490" s="4"/>
      <c r="D490" s="4"/>
      <c r="E490" s="4"/>
      <c r="F490" s="4"/>
      <c r="G490" s="4"/>
    </row>
    <row r="491" spans="1:7" ht="15.75" customHeight="1" x14ac:dyDescent="0.25">
      <c r="A491" s="4"/>
      <c r="B491" s="4"/>
      <c r="C491" s="4"/>
      <c r="D491" s="4"/>
      <c r="E491" s="4"/>
      <c r="F491" s="4"/>
      <c r="G491" s="4"/>
    </row>
    <row r="492" spans="1:7" ht="15.75" customHeight="1" x14ac:dyDescent="0.25">
      <c r="A492" s="4"/>
      <c r="B492" s="4"/>
      <c r="C492" s="4"/>
      <c r="D492" s="4"/>
      <c r="E492" s="4"/>
      <c r="F492" s="4"/>
      <c r="G492" s="4"/>
    </row>
    <row r="493" spans="1:7" ht="15.75" customHeight="1" x14ac:dyDescent="0.25">
      <c r="A493" s="4"/>
      <c r="B493" s="4"/>
      <c r="C493" s="4"/>
      <c r="D493" s="4"/>
      <c r="E493" s="4"/>
      <c r="F493" s="4"/>
      <c r="G493" s="4"/>
    </row>
    <row r="494" spans="1:7" ht="15.75" customHeight="1" x14ac:dyDescent="0.25">
      <c r="A494" s="4"/>
      <c r="B494" s="4"/>
      <c r="C494" s="4"/>
      <c r="D494" s="4"/>
      <c r="E494" s="4"/>
      <c r="F494" s="4"/>
      <c r="G494" s="4"/>
    </row>
    <row r="495" spans="1:7" ht="15.75" customHeight="1" x14ac:dyDescent="0.25">
      <c r="A495" s="4"/>
      <c r="B495" s="4"/>
      <c r="C495" s="4"/>
      <c r="D495" s="4"/>
      <c r="E495" s="4"/>
      <c r="F495" s="4"/>
      <c r="G495" s="4"/>
    </row>
    <row r="496" spans="1:7" ht="15.75" customHeight="1" x14ac:dyDescent="0.25">
      <c r="A496" s="4"/>
      <c r="B496" s="4"/>
      <c r="C496" s="4"/>
      <c r="D496" s="4"/>
      <c r="E496" s="4"/>
      <c r="F496" s="4"/>
      <c r="G496" s="4"/>
    </row>
    <row r="497" spans="1:7" ht="15.75" customHeight="1" x14ac:dyDescent="0.25">
      <c r="A497" s="4"/>
      <c r="B497" s="4"/>
      <c r="C497" s="4"/>
      <c r="D497" s="4"/>
      <c r="E497" s="4"/>
      <c r="F497" s="4"/>
      <c r="G497" s="4"/>
    </row>
    <row r="498" spans="1:7" ht="15.75" customHeight="1" x14ac:dyDescent="0.25">
      <c r="A498" s="4"/>
      <c r="B498" s="4"/>
      <c r="C498" s="4"/>
      <c r="D498" s="4"/>
      <c r="E498" s="4"/>
      <c r="F498" s="4"/>
      <c r="G498" s="4"/>
    </row>
    <row r="499" spans="1:7" ht="15.75" customHeight="1" x14ac:dyDescent="0.25">
      <c r="A499" s="4"/>
      <c r="B499" s="4"/>
      <c r="C499" s="4"/>
      <c r="D499" s="4"/>
      <c r="E499" s="4"/>
      <c r="F499" s="4"/>
      <c r="G499" s="4"/>
    </row>
    <row r="500" spans="1:7" ht="15.75" customHeight="1" x14ac:dyDescent="0.25">
      <c r="A500" s="4"/>
      <c r="B500" s="4"/>
      <c r="C500" s="4"/>
      <c r="D500" s="4"/>
      <c r="E500" s="4"/>
      <c r="F500" s="4"/>
      <c r="G500" s="4"/>
    </row>
    <row r="501" spans="1:7" ht="15.75" customHeight="1" x14ac:dyDescent="0.25">
      <c r="A501" s="4"/>
      <c r="B501" s="4"/>
      <c r="C501" s="4"/>
      <c r="D501" s="4"/>
      <c r="E501" s="4"/>
      <c r="F501" s="4"/>
      <c r="G501" s="4"/>
    </row>
    <row r="502" spans="1:7" ht="15.75" customHeight="1" x14ac:dyDescent="0.25">
      <c r="A502" s="4"/>
      <c r="B502" s="4"/>
      <c r="C502" s="4"/>
      <c r="D502" s="4"/>
      <c r="E502" s="4"/>
      <c r="F502" s="4"/>
      <c r="G502" s="4"/>
    </row>
    <row r="503" spans="1:7" ht="15.75" customHeight="1" x14ac:dyDescent="0.25">
      <c r="A503" s="4"/>
      <c r="B503" s="4"/>
      <c r="C503" s="4"/>
      <c r="D503" s="4"/>
      <c r="E503" s="4"/>
      <c r="F503" s="4"/>
      <c r="G503" s="4"/>
    </row>
    <row r="504" spans="1:7" ht="15.75" customHeight="1" x14ac:dyDescent="0.25">
      <c r="A504" s="4"/>
      <c r="B504" s="4"/>
      <c r="C504" s="4"/>
      <c r="D504" s="4"/>
      <c r="E504" s="4"/>
      <c r="F504" s="4"/>
      <c r="G504" s="4"/>
    </row>
    <row r="505" spans="1:7" ht="15.75" customHeight="1" x14ac:dyDescent="0.25">
      <c r="A505" s="4"/>
      <c r="B505" s="4"/>
      <c r="C505" s="4"/>
      <c r="D505" s="4"/>
      <c r="E505" s="4"/>
      <c r="F505" s="4"/>
      <c r="G505" s="4"/>
    </row>
    <row r="506" spans="1:7" ht="15.75" customHeight="1" x14ac:dyDescent="0.25">
      <c r="A506" s="4"/>
      <c r="B506" s="4"/>
      <c r="C506" s="4"/>
      <c r="D506" s="4"/>
      <c r="E506" s="4"/>
      <c r="F506" s="4"/>
      <c r="G506" s="4"/>
    </row>
    <row r="507" spans="1:7" ht="15.75" customHeight="1" x14ac:dyDescent="0.25">
      <c r="A507" s="4"/>
      <c r="B507" s="4"/>
      <c r="C507" s="4"/>
      <c r="D507" s="4"/>
      <c r="E507" s="4"/>
      <c r="F507" s="4"/>
      <c r="G507" s="4"/>
    </row>
    <row r="508" spans="1:7" ht="15.75" customHeight="1" x14ac:dyDescent="0.25">
      <c r="A508" s="4"/>
      <c r="B508" s="4"/>
      <c r="C508" s="4"/>
      <c r="D508" s="4"/>
      <c r="E508" s="4"/>
      <c r="F508" s="4"/>
      <c r="G508" s="4"/>
    </row>
    <row r="509" spans="1:7" ht="15.75" customHeight="1" x14ac:dyDescent="0.25">
      <c r="A509" s="4"/>
      <c r="B509" s="4"/>
      <c r="C509" s="4"/>
      <c r="D509" s="4"/>
      <c r="E509" s="4"/>
      <c r="F509" s="4"/>
      <c r="G509" s="4"/>
    </row>
    <row r="510" spans="1:7" ht="15.75" customHeight="1" x14ac:dyDescent="0.25">
      <c r="A510" s="4"/>
      <c r="B510" s="4"/>
      <c r="C510" s="4"/>
      <c r="D510" s="4"/>
      <c r="E510" s="4"/>
      <c r="F510" s="4"/>
      <c r="G510" s="4"/>
    </row>
    <row r="511" spans="1:7" ht="15.75" customHeight="1" x14ac:dyDescent="0.25">
      <c r="A511" s="4"/>
      <c r="B511" s="4"/>
      <c r="C511" s="4"/>
      <c r="D511" s="4"/>
      <c r="E511" s="4"/>
      <c r="F511" s="4"/>
      <c r="G511" s="4"/>
    </row>
    <row r="512" spans="1:7" ht="15.75" customHeight="1" x14ac:dyDescent="0.25">
      <c r="A512" s="4"/>
      <c r="B512" s="4"/>
      <c r="C512" s="4"/>
      <c r="D512" s="4"/>
      <c r="E512" s="4"/>
      <c r="F512" s="4"/>
      <c r="G512" s="4"/>
    </row>
    <row r="513" spans="1:7" ht="15.75" customHeight="1" x14ac:dyDescent="0.25">
      <c r="A513" s="4"/>
      <c r="B513" s="4"/>
      <c r="C513" s="4"/>
      <c r="D513" s="4"/>
      <c r="E513" s="4"/>
      <c r="F513" s="4"/>
      <c r="G513" s="4"/>
    </row>
    <row r="514" spans="1:7" ht="15.75" customHeight="1" x14ac:dyDescent="0.25">
      <c r="A514" s="4"/>
      <c r="B514" s="4"/>
      <c r="C514" s="4"/>
      <c r="D514" s="4"/>
      <c r="E514" s="4"/>
      <c r="F514" s="4"/>
      <c r="G514" s="4"/>
    </row>
    <row r="515" spans="1:7" ht="15.75" customHeight="1" x14ac:dyDescent="0.25">
      <c r="A515" s="4"/>
      <c r="B515" s="4"/>
      <c r="C515" s="4"/>
      <c r="D515" s="4"/>
      <c r="E515" s="4"/>
      <c r="F515" s="4"/>
      <c r="G515" s="4"/>
    </row>
    <row r="516" spans="1:7" ht="15.75" customHeight="1" x14ac:dyDescent="0.25">
      <c r="A516" s="4"/>
      <c r="B516" s="4"/>
      <c r="C516" s="4"/>
      <c r="D516" s="4"/>
      <c r="E516" s="4"/>
      <c r="F516" s="4"/>
      <c r="G516" s="4"/>
    </row>
    <row r="517" spans="1:7" ht="15.75" customHeight="1" x14ac:dyDescent="0.25">
      <c r="A517" s="4"/>
      <c r="B517" s="4"/>
      <c r="C517" s="4"/>
      <c r="D517" s="4"/>
      <c r="E517" s="4"/>
      <c r="F517" s="4"/>
      <c r="G517" s="4"/>
    </row>
    <row r="518" spans="1:7" ht="15.75" customHeight="1" x14ac:dyDescent="0.25">
      <c r="A518" s="4"/>
      <c r="B518" s="4"/>
      <c r="C518" s="4"/>
      <c r="D518" s="4"/>
      <c r="E518" s="4"/>
      <c r="F518" s="4"/>
      <c r="G518" s="4"/>
    </row>
    <row r="519" spans="1:7" ht="15.75" customHeight="1" x14ac:dyDescent="0.25">
      <c r="A519" s="4"/>
      <c r="B519" s="4"/>
      <c r="C519" s="4"/>
      <c r="D519" s="4"/>
      <c r="E519" s="4"/>
      <c r="F519" s="4"/>
      <c r="G519" s="4"/>
    </row>
    <row r="520" spans="1:7" ht="15.75" customHeight="1" x14ac:dyDescent="0.25">
      <c r="A520" s="4"/>
      <c r="B520" s="4"/>
      <c r="C520" s="4"/>
      <c r="D520" s="4"/>
      <c r="E520" s="4"/>
      <c r="F520" s="4"/>
      <c r="G520" s="4"/>
    </row>
    <row r="521" spans="1:7" ht="15.75" customHeight="1" x14ac:dyDescent="0.25">
      <c r="A521" s="4"/>
      <c r="B521" s="4"/>
      <c r="C521" s="4"/>
      <c r="D521" s="4"/>
      <c r="E521" s="4"/>
      <c r="F521" s="4"/>
      <c r="G521" s="4"/>
    </row>
    <row r="522" spans="1:7" ht="15.75" customHeight="1" x14ac:dyDescent="0.25">
      <c r="A522" s="4"/>
      <c r="B522" s="4"/>
      <c r="C522" s="4"/>
      <c r="D522" s="4"/>
      <c r="E522" s="4"/>
      <c r="F522" s="4"/>
      <c r="G522" s="4"/>
    </row>
    <row r="523" spans="1:7" ht="15.75" customHeight="1" x14ac:dyDescent="0.25">
      <c r="A523" s="4"/>
      <c r="B523" s="4"/>
      <c r="C523" s="4"/>
      <c r="D523" s="4"/>
      <c r="E523" s="4"/>
      <c r="F523" s="4"/>
      <c r="G523" s="4"/>
    </row>
    <row r="524" spans="1:7" ht="15.75" customHeight="1" x14ac:dyDescent="0.25">
      <c r="A524" s="4"/>
      <c r="B524" s="4"/>
      <c r="C524" s="4"/>
      <c r="D524" s="4"/>
      <c r="E524" s="4"/>
      <c r="F524" s="4"/>
      <c r="G524" s="4"/>
    </row>
    <row r="525" spans="1:7" ht="15.75" customHeight="1" x14ac:dyDescent="0.25">
      <c r="A525" s="4"/>
      <c r="B525" s="4"/>
      <c r="C525" s="4"/>
      <c r="D525" s="4"/>
      <c r="E525" s="4"/>
      <c r="F525" s="4"/>
      <c r="G525" s="4"/>
    </row>
    <row r="526" spans="1:7" ht="15.75" customHeight="1" x14ac:dyDescent="0.25">
      <c r="A526" s="4"/>
      <c r="B526" s="4"/>
      <c r="C526" s="4"/>
      <c r="D526" s="4"/>
      <c r="E526" s="4"/>
      <c r="F526" s="4"/>
      <c r="G526" s="4"/>
    </row>
    <row r="527" spans="1:7" ht="15.75" customHeight="1" x14ac:dyDescent="0.25">
      <c r="A527" s="4"/>
      <c r="B527" s="4"/>
      <c r="C527" s="4"/>
      <c r="D527" s="4"/>
      <c r="E527" s="4"/>
      <c r="F527" s="4"/>
      <c r="G527" s="4"/>
    </row>
    <row r="528" spans="1:7" ht="15.75" customHeight="1" x14ac:dyDescent="0.25">
      <c r="A528" s="4"/>
      <c r="B528" s="4"/>
      <c r="C528" s="4"/>
      <c r="D528" s="4"/>
      <c r="E528" s="4"/>
      <c r="F528" s="4"/>
      <c r="G528" s="4"/>
    </row>
    <row r="529" spans="1:7" ht="15.75" customHeight="1" x14ac:dyDescent="0.25">
      <c r="A529" s="4"/>
      <c r="B529" s="4"/>
      <c r="C529" s="4"/>
      <c r="D529" s="4"/>
      <c r="E529" s="4"/>
      <c r="F529" s="4"/>
      <c r="G529" s="4"/>
    </row>
    <row r="530" spans="1:7" ht="15.75" customHeight="1" x14ac:dyDescent="0.25">
      <c r="A530" s="4"/>
      <c r="B530" s="4"/>
      <c r="C530" s="4"/>
      <c r="D530" s="4"/>
      <c r="E530" s="4"/>
      <c r="F530" s="4"/>
      <c r="G530" s="4"/>
    </row>
    <row r="531" spans="1:7" ht="15.75" customHeight="1" x14ac:dyDescent="0.25">
      <c r="A531" s="4"/>
      <c r="B531" s="4"/>
      <c r="C531" s="4"/>
      <c r="D531" s="4"/>
      <c r="E531" s="4"/>
      <c r="F531" s="4"/>
      <c r="G531" s="4"/>
    </row>
    <row r="532" spans="1:7" ht="15.75" customHeight="1" x14ac:dyDescent="0.25">
      <c r="A532" s="4"/>
      <c r="B532" s="4"/>
      <c r="C532" s="4"/>
      <c r="D532" s="4"/>
      <c r="E532" s="4"/>
      <c r="F532" s="4"/>
      <c r="G532" s="4"/>
    </row>
    <row r="533" spans="1:7" ht="15.75" customHeight="1" x14ac:dyDescent="0.25">
      <c r="A533" s="4"/>
      <c r="B533" s="4"/>
      <c r="C533" s="4"/>
      <c r="D533" s="4"/>
      <c r="E533" s="4"/>
      <c r="F533" s="4"/>
      <c r="G533" s="4"/>
    </row>
    <row r="534" spans="1:7" ht="15.75" customHeight="1" x14ac:dyDescent="0.25">
      <c r="A534" s="4"/>
      <c r="B534" s="4"/>
      <c r="C534" s="4"/>
      <c r="D534" s="4"/>
      <c r="E534" s="4"/>
      <c r="F534" s="4"/>
      <c r="G534" s="4"/>
    </row>
    <row r="535" spans="1:7" ht="15.75" customHeight="1" x14ac:dyDescent="0.25">
      <c r="A535" s="4"/>
      <c r="B535" s="4"/>
      <c r="C535" s="4"/>
      <c r="D535" s="4"/>
      <c r="E535" s="4"/>
      <c r="F535" s="4"/>
      <c r="G535" s="4"/>
    </row>
    <row r="536" spans="1:7" ht="15.75" customHeight="1" x14ac:dyDescent="0.25">
      <c r="A536" s="4"/>
      <c r="B536" s="4"/>
      <c r="C536" s="4"/>
      <c r="D536" s="4"/>
      <c r="E536" s="4"/>
      <c r="F536" s="4"/>
      <c r="G536" s="4"/>
    </row>
    <row r="537" spans="1:7" ht="15.75" customHeight="1" x14ac:dyDescent="0.25">
      <c r="A537" s="4"/>
      <c r="B537" s="4"/>
      <c r="C537" s="4"/>
      <c r="D537" s="4"/>
      <c r="E537" s="4"/>
      <c r="F537" s="4"/>
      <c r="G537" s="4"/>
    </row>
    <row r="538" spans="1:7" ht="15.75" customHeight="1" x14ac:dyDescent="0.25">
      <c r="A538" s="4"/>
      <c r="B538" s="4"/>
      <c r="C538" s="4"/>
      <c r="D538" s="4"/>
      <c r="E538" s="4"/>
      <c r="F538" s="4"/>
      <c r="G538" s="4"/>
    </row>
    <row r="539" spans="1:7" ht="15.75" customHeight="1" x14ac:dyDescent="0.25">
      <c r="A539" s="4"/>
      <c r="B539" s="4"/>
      <c r="C539" s="4"/>
      <c r="D539" s="4"/>
      <c r="E539" s="4"/>
      <c r="F539" s="4"/>
      <c r="G539" s="4"/>
    </row>
    <row r="540" spans="1:7" ht="15.75" customHeight="1" x14ac:dyDescent="0.25">
      <c r="A540" s="4"/>
      <c r="B540" s="4"/>
      <c r="C540" s="4"/>
      <c r="D540" s="4"/>
      <c r="E540" s="4"/>
      <c r="F540" s="4"/>
      <c r="G540" s="4"/>
    </row>
    <row r="541" spans="1:7" ht="15.75" customHeight="1" x14ac:dyDescent="0.25">
      <c r="A541" s="4"/>
      <c r="B541" s="4"/>
      <c r="C541" s="4"/>
      <c r="D541" s="4"/>
      <c r="E541" s="4"/>
      <c r="F541" s="4"/>
      <c r="G541" s="4"/>
    </row>
    <row r="542" spans="1:7" ht="15.75" customHeight="1" x14ac:dyDescent="0.25">
      <c r="A542" s="4"/>
      <c r="B542" s="4"/>
      <c r="C542" s="4"/>
      <c r="D542" s="4"/>
      <c r="E542" s="4"/>
      <c r="F542" s="4"/>
      <c r="G542" s="4"/>
    </row>
    <row r="543" spans="1:7" ht="15.75" customHeight="1" x14ac:dyDescent="0.25">
      <c r="A543" s="4"/>
      <c r="B543" s="4"/>
      <c r="C543" s="4"/>
      <c r="D543" s="4"/>
      <c r="E543" s="4"/>
      <c r="F543" s="4"/>
      <c r="G543" s="4"/>
    </row>
    <row r="544" spans="1:7" ht="15.75" customHeight="1" x14ac:dyDescent="0.25">
      <c r="A544" s="4"/>
      <c r="B544" s="4"/>
      <c r="C544" s="4"/>
      <c r="D544" s="4"/>
      <c r="E544" s="4"/>
      <c r="F544" s="4"/>
      <c r="G544" s="4"/>
    </row>
    <row r="545" spans="1:7" ht="15.75" customHeight="1" x14ac:dyDescent="0.25">
      <c r="A545" s="4"/>
      <c r="B545" s="4"/>
      <c r="C545" s="4"/>
      <c r="D545" s="4"/>
      <c r="E545" s="4"/>
      <c r="F545" s="4"/>
      <c r="G545" s="4"/>
    </row>
    <row r="546" spans="1:7" ht="15.75" customHeight="1" x14ac:dyDescent="0.25">
      <c r="A546" s="4"/>
      <c r="B546" s="4"/>
      <c r="C546" s="4"/>
      <c r="D546" s="4"/>
      <c r="E546" s="4"/>
      <c r="F546" s="4"/>
      <c r="G546" s="4"/>
    </row>
    <row r="547" spans="1:7" ht="15.75" customHeight="1" x14ac:dyDescent="0.25">
      <c r="A547" s="4"/>
      <c r="B547" s="4"/>
      <c r="C547" s="4"/>
      <c r="D547" s="4"/>
      <c r="E547" s="4"/>
      <c r="F547" s="4"/>
      <c r="G547" s="4"/>
    </row>
    <row r="548" spans="1:7" ht="15.75" customHeight="1" x14ac:dyDescent="0.25">
      <c r="A548" s="4"/>
      <c r="B548" s="4"/>
      <c r="C548" s="4"/>
      <c r="D548" s="4"/>
      <c r="E548" s="4"/>
      <c r="F548" s="4"/>
      <c r="G548" s="4"/>
    </row>
    <row r="549" spans="1:7" ht="15.75" customHeight="1" x14ac:dyDescent="0.25">
      <c r="A549" s="4"/>
      <c r="B549" s="4"/>
      <c r="C549" s="4"/>
      <c r="D549" s="4"/>
      <c r="E549" s="4"/>
      <c r="F549" s="4"/>
      <c r="G549" s="4"/>
    </row>
    <row r="550" spans="1:7" ht="15.75" customHeight="1" x14ac:dyDescent="0.25">
      <c r="A550" s="4"/>
      <c r="B550" s="4"/>
      <c r="C550" s="4"/>
      <c r="D550" s="4"/>
      <c r="E550" s="4"/>
      <c r="F550" s="4"/>
      <c r="G550" s="4"/>
    </row>
    <row r="551" spans="1:7" ht="15.75" customHeight="1" x14ac:dyDescent="0.25">
      <c r="A551" s="4"/>
      <c r="B551" s="4"/>
      <c r="C551" s="4"/>
      <c r="D551" s="4"/>
      <c r="E551" s="4"/>
      <c r="F551" s="4"/>
      <c r="G551" s="4"/>
    </row>
    <row r="552" spans="1:7" ht="15.75" customHeight="1" x14ac:dyDescent="0.25">
      <c r="A552" s="4"/>
      <c r="B552" s="4"/>
      <c r="C552" s="4"/>
      <c r="D552" s="4"/>
      <c r="E552" s="4"/>
      <c r="F552" s="4"/>
      <c r="G552" s="4"/>
    </row>
    <row r="553" spans="1:7" ht="15.75" customHeight="1" x14ac:dyDescent="0.25">
      <c r="A553" s="4"/>
      <c r="B553" s="4"/>
      <c r="C553" s="4"/>
      <c r="D553" s="4"/>
      <c r="E553" s="4"/>
      <c r="F553" s="4"/>
      <c r="G553" s="4"/>
    </row>
    <row r="554" spans="1:7" ht="15.75" customHeight="1" x14ac:dyDescent="0.25">
      <c r="A554" s="4"/>
      <c r="B554" s="4"/>
      <c r="C554" s="4"/>
      <c r="D554" s="4"/>
      <c r="E554" s="4"/>
      <c r="F554" s="4"/>
      <c r="G554" s="4"/>
    </row>
    <row r="555" spans="1:7" ht="15.75" customHeight="1" x14ac:dyDescent="0.25">
      <c r="A555" s="4"/>
      <c r="B555" s="4"/>
      <c r="C555" s="4"/>
      <c r="D555" s="4"/>
      <c r="E555" s="4"/>
      <c r="F555" s="4"/>
      <c r="G555" s="4"/>
    </row>
    <row r="556" spans="1:7" ht="15.75" customHeight="1" x14ac:dyDescent="0.25">
      <c r="A556" s="4"/>
      <c r="B556" s="4"/>
      <c r="C556" s="4"/>
      <c r="D556" s="4"/>
      <c r="E556" s="4"/>
      <c r="F556" s="4"/>
      <c r="G556" s="4"/>
    </row>
    <row r="557" spans="1:7" ht="15.75" customHeight="1" x14ac:dyDescent="0.25">
      <c r="A557" s="4"/>
      <c r="B557" s="4"/>
      <c r="C557" s="4"/>
      <c r="D557" s="4"/>
      <c r="E557" s="4"/>
      <c r="F557" s="4"/>
      <c r="G557" s="4"/>
    </row>
    <row r="558" spans="1:7" ht="15.75" customHeight="1" x14ac:dyDescent="0.25">
      <c r="A558" s="4"/>
      <c r="B558" s="4"/>
      <c r="C558" s="4"/>
      <c r="D558" s="4"/>
      <c r="E558" s="4"/>
      <c r="F558" s="4"/>
      <c r="G558" s="4"/>
    </row>
    <row r="559" spans="1:7" ht="15.75" customHeight="1" x14ac:dyDescent="0.25">
      <c r="A559" s="4"/>
      <c r="B559" s="4"/>
      <c r="C559" s="4"/>
      <c r="D559" s="4"/>
      <c r="E559" s="4"/>
      <c r="F559" s="4"/>
      <c r="G559" s="4"/>
    </row>
    <row r="560" spans="1:7" ht="15.75" customHeight="1" x14ac:dyDescent="0.25">
      <c r="A560" s="4"/>
      <c r="B560" s="4"/>
      <c r="C560" s="4"/>
      <c r="D560" s="4"/>
      <c r="E560" s="4"/>
      <c r="F560" s="4"/>
      <c r="G560" s="4"/>
    </row>
    <row r="561" spans="1:7" ht="15.75" customHeight="1" x14ac:dyDescent="0.25">
      <c r="A561" s="4"/>
      <c r="B561" s="4"/>
      <c r="C561" s="4"/>
      <c r="D561" s="4"/>
      <c r="E561" s="4"/>
      <c r="F561" s="4"/>
      <c r="G561" s="4"/>
    </row>
    <row r="562" spans="1:7" ht="15.75" customHeight="1" x14ac:dyDescent="0.25">
      <c r="A562" s="4"/>
      <c r="B562" s="4"/>
      <c r="C562" s="4"/>
      <c r="D562" s="4"/>
      <c r="E562" s="4"/>
      <c r="F562" s="4"/>
      <c r="G562" s="4"/>
    </row>
    <row r="563" spans="1:7" ht="15.75" customHeight="1" x14ac:dyDescent="0.25">
      <c r="A563" s="4"/>
      <c r="B563" s="4"/>
      <c r="C563" s="4"/>
      <c r="D563" s="4"/>
      <c r="E563" s="4"/>
      <c r="F563" s="4"/>
      <c r="G563" s="4"/>
    </row>
    <row r="564" spans="1:7" ht="15.75" customHeight="1" x14ac:dyDescent="0.25">
      <c r="A564" s="4"/>
      <c r="B564" s="4"/>
      <c r="C564" s="4"/>
      <c r="D564" s="4"/>
      <c r="E564" s="4"/>
      <c r="F564" s="4"/>
      <c r="G564" s="4"/>
    </row>
    <row r="565" spans="1:7" ht="15.75" customHeight="1" x14ac:dyDescent="0.25">
      <c r="A565" s="4"/>
      <c r="B565" s="4"/>
      <c r="C565" s="4"/>
      <c r="D565" s="4"/>
      <c r="E565" s="4"/>
      <c r="F565" s="4"/>
      <c r="G565" s="4"/>
    </row>
    <row r="566" spans="1:7" ht="15.75" customHeight="1" x14ac:dyDescent="0.25">
      <c r="A566" s="4"/>
      <c r="B566" s="4"/>
      <c r="C566" s="4"/>
      <c r="D566" s="4"/>
      <c r="E566" s="4"/>
      <c r="F566" s="4"/>
      <c r="G566" s="4"/>
    </row>
    <row r="567" spans="1:7" ht="15.75" customHeight="1" x14ac:dyDescent="0.25">
      <c r="A567" s="4"/>
      <c r="B567" s="4"/>
      <c r="C567" s="4"/>
      <c r="D567" s="4"/>
      <c r="E567" s="4"/>
      <c r="F567" s="4"/>
      <c r="G567" s="4"/>
    </row>
    <row r="568" spans="1:7" ht="15.75" customHeight="1" x14ac:dyDescent="0.25">
      <c r="A568" s="4"/>
      <c r="B568" s="4"/>
      <c r="C568" s="4"/>
      <c r="D568" s="4"/>
      <c r="E568" s="4"/>
      <c r="F568" s="4"/>
      <c r="G568" s="4"/>
    </row>
    <row r="569" spans="1:7" ht="15.75" customHeight="1" x14ac:dyDescent="0.25">
      <c r="A569" s="4"/>
      <c r="B569" s="4"/>
      <c r="C569" s="4"/>
      <c r="D569" s="4"/>
      <c r="E569" s="4"/>
      <c r="F569" s="4"/>
      <c r="G569" s="4"/>
    </row>
    <row r="570" spans="1:7" ht="15.75" customHeight="1" x14ac:dyDescent="0.25">
      <c r="A570" s="4"/>
      <c r="B570" s="4"/>
      <c r="C570" s="4"/>
      <c r="D570" s="4"/>
      <c r="E570" s="4"/>
      <c r="F570" s="4"/>
      <c r="G570" s="4"/>
    </row>
    <row r="571" spans="1:7" ht="15.75" customHeight="1" x14ac:dyDescent="0.25">
      <c r="A571" s="4"/>
      <c r="B571" s="4"/>
      <c r="C571" s="4"/>
      <c r="D571" s="4"/>
      <c r="E571" s="4"/>
      <c r="F571" s="4"/>
      <c r="G571" s="4"/>
    </row>
    <row r="572" spans="1:7" ht="15.75" customHeight="1" x14ac:dyDescent="0.25">
      <c r="A572" s="4"/>
      <c r="B572" s="4"/>
      <c r="C572" s="4"/>
      <c r="D572" s="4"/>
      <c r="E572" s="4"/>
      <c r="F572" s="4"/>
      <c r="G572" s="4"/>
    </row>
    <row r="573" spans="1:7" ht="15.75" customHeight="1" x14ac:dyDescent="0.25">
      <c r="A573" s="4"/>
      <c r="B573" s="4"/>
      <c r="C573" s="4"/>
      <c r="D573" s="4"/>
      <c r="E573" s="4"/>
      <c r="F573" s="4"/>
      <c r="G573" s="4"/>
    </row>
    <row r="574" spans="1:7" ht="15.75" customHeight="1" x14ac:dyDescent="0.25">
      <c r="A574" s="4"/>
      <c r="B574" s="4"/>
      <c r="C574" s="4"/>
      <c r="D574" s="4"/>
      <c r="E574" s="4"/>
      <c r="F574" s="4"/>
      <c r="G574" s="4"/>
    </row>
    <row r="575" spans="1:7" ht="15.75" customHeight="1" x14ac:dyDescent="0.25">
      <c r="A575" s="4"/>
      <c r="B575" s="4"/>
      <c r="C575" s="4"/>
      <c r="D575" s="4"/>
      <c r="E575" s="4"/>
      <c r="F575" s="4"/>
      <c r="G575" s="4"/>
    </row>
    <row r="576" spans="1:7" ht="15.75" customHeight="1" x14ac:dyDescent="0.25">
      <c r="A576" s="4"/>
      <c r="B576" s="4"/>
      <c r="C576" s="4"/>
      <c r="D576" s="4"/>
      <c r="E576" s="4"/>
      <c r="F576" s="4"/>
      <c r="G576" s="4"/>
    </row>
    <row r="577" spans="1:7" ht="15.75" customHeight="1" x14ac:dyDescent="0.25">
      <c r="A577" s="4"/>
      <c r="B577" s="4"/>
      <c r="C577" s="4"/>
      <c r="D577" s="4"/>
      <c r="E577" s="4"/>
      <c r="F577" s="4"/>
      <c r="G577" s="4"/>
    </row>
    <row r="578" spans="1:7" ht="15.75" customHeight="1" x14ac:dyDescent="0.25">
      <c r="A578" s="4"/>
      <c r="B578" s="4"/>
      <c r="C578" s="4"/>
      <c r="D578" s="4"/>
      <c r="E578" s="4"/>
      <c r="F578" s="4"/>
      <c r="G578" s="4"/>
    </row>
    <row r="579" spans="1:7" ht="15.75" customHeight="1" x14ac:dyDescent="0.25">
      <c r="A579" s="4"/>
      <c r="B579" s="4"/>
      <c r="C579" s="4"/>
      <c r="D579" s="4"/>
      <c r="E579" s="4"/>
      <c r="F579" s="4"/>
      <c r="G579" s="4"/>
    </row>
    <row r="580" spans="1:7" ht="15.75" customHeight="1" x14ac:dyDescent="0.25">
      <c r="A580" s="4"/>
      <c r="B580" s="4"/>
      <c r="C580" s="4"/>
      <c r="D580" s="4"/>
      <c r="E580" s="4"/>
      <c r="F580" s="4"/>
      <c r="G580" s="4"/>
    </row>
    <row r="581" spans="1:7" ht="15.75" customHeight="1" x14ac:dyDescent="0.25">
      <c r="A581" s="4"/>
      <c r="B581" s="4"/>
      <c r="C581" s="4"/>
      <c r="D581" s="4"/>
      <c r="E581" s="4"/>
      <c r="F581" s="4"/>
      <c r="G581" s="4"/>
    </row>
    <row r="582" spans="1:7" ht="15.75" customHeight="1" x14ac:dyDescent="0.25">
      <c r="A582" s="4"/>
      <c r="B582" s="4"/>
      <c r="C582" s="4"/>
      <c r="D582" s="4"/>
      <c r="E582" s="4"/>
      <c r="F582" s="4"/>
      <c r="G582" s="4"/>
    </row>
    <row r="583" spans="1:7" ht="15.75" customHeight="1" x14ac:dyDescent="0.25">
      <c r="A583" s="4"/>
      <c r="B583" s="4"/>
      <c r="C583" s="4"/>
      <c r="D583" s="4"/>
      <c r="E583" s="4"/>
      <c r="F583" s="4"/>
      <c r="G583" s="4"/>
    </row>
    <row r="584" spans="1:7" ht="15.75" customHeight="1" x14ac:dyDescent="0.25">
      <c r="A584" s="4"/>
      <c r="B584" s="4"/>
      <c r="C584" s="4"/>
      <c r="D584" s="4"/>
      <c r="E584" s="4"/>
      <c r="F584" s="4"/>
      <c r="G584" s="4"/>
    </row>
    <row r="585" spans="1:7" ht="15.75" customHeight="1" x14ac:dyDescent="0.25">
      <c r="A585" s="4"/>
      <c r="B585" s="4"/>
      <c r="C585" s="4"/>
      <c r="D585" s="4"/>
      <c r="E585" s="4"/>
      <c r="F585" s="4"/>
      <c r="G585" s="4"/>
    </row>
    <row r="586" spans="1:7" ht="15.75" customHeight="1" x14ac:dyDescent="0.25">
      <c r="A586" s="4"/>
      <c r="B586" s="4"/>
      <c r="C586" s="4"/>
      <c r="D586" s="4"/>
      <c r="E586" s="4"/>
      <c r="F586" s="4"/>
      <c r="G586" s="4"/>
    </row>
    <row r="587" spans="1:7" ht="15.75" customHeight="1" x14ac:dyDescent="0.25">
      <c r="A587" s="4"/>
      <c r="B587" s="4"/>
      <c r="C587" s="4"/>
      <c r="D587" s="4"/>
      <c r="E587" s="4"/>
      <c r="F587" s="4"/>
      <c r="G587" s="4"/>
    </row>
    <row r="588" spans="1:7" ht="15.75" customHeight="1" x14ac:dyDescent="0.25">
      <c r="A588" s="4"/>
      <c r="B588" s="4"/>
      <c r="C588" s="4"/>
      <c r="D588" s="4"/>
      <c r="E588" s="4"/>
      <c r="F588" s="4"/>
      <c r="G588" s="4"/>
    </row>
    <row r="589" spans="1:7" ht="15.75" customHeight="1" x14ac:dyDescent="0.25">
      <c r="A589" s="4"/>
      <c r="B589" s="4"/>
      <c r="C589" s="4"/>
      <c r="D589" s="4"/>
      <c r="E589" s="4"/>
      <c r="F589" s="4"/>
      <c r="G589" s="4"/>
    </row>
    <row r="590" spans="1:7" ht="15.75" customHeight="1" x14ac:dyDescent="0.25">
      <c r="A590" s="4"/>
      <c r="B590" s="4"/>
      <c r="C590" s="4"/>
      <c r="D590" s="4"/>
      <c r="E590" s="4"/>
      <c r="F590" s="4"/>
      <c r="G590" s="4"/>
    </row>
    <row r="591" spans="1:7" ht="15.75" customHeight="1" x14ac:dyDescent="0.25">
      <c r="A591" s="4"/>
      <c r="B591" s="4"/>
      <c r="C591" s="4"/>
      <c r="D591" s="4"/>
      <c r="E591" s="4"/>
      <c r="F591" s="4"/>
      <c r="G591" s="4"/>
    </row>
    <row r="592" spans="1:7" ht="15.75" customHeight="1" x14ac:dyDescent="0.25">
      <c r="A592" s="4"/>
      <c r="B592" s="4"/>
      <c r="C592" s="4"/>
      <c r="D592" s="4"/>
      <c r="E592" s="4"/>
      <c r="F592" s="4"/>
      <c r="G592" s="4"/>
    </row>
    <row r="593" spans="1:7" ht="15.75" customHeight="1" x14ac:dyDescent="0.25">
      <c r="A593" s="4"/>
      <c r="B593" s="4"/>
      <c r="C593" s="4"/>
      <c r="D593" s="4"/>
      <c r="E593" s="4"/>
      <c r="F593" s="4"/>
      <c r="G593" s="4"/>
    </row>
    <row r="594" spans="1:7" ht="15.75" customHeight="1" x14ac:dyDescent="0.25">
      <c r="A594" s="4"/>
      <c r="B594" s="4"/>
      <c r="C594" s="4"/>
      <c r="D594" s="4"/>
      <c r="E594" s="4"/>
      <c r="F594" s="4"/>
      <c r="G594" s="4"/>
    </row>
    <row r="595" spans="1:7" ht="15.75" customHeight="1" x14ac:dyDescent="0.25">
      <c r="A595" s="4"/>
      <c r="B595" s="4"/>
      <c r="C595" s="4"/>
      <c r="D595" s="4"/>
      <c r="E595" s="4"/>
      <c r="F595" s="4"/>
      <c r="G595" s="4"/>
    </row>
    <row r="596" spans="1:7" ht="15.75" customHeight="1" x14ac:dyDescent="0.25">
      <c r="A596" s="4"/>
      <c r="B596" s="4"/>
      <c r="C596" s="4"/>
      <c r="D596" s="4"/>
      <c r="E596" s="4"/>
      <c r="F596" s="4"/>
      <c r="G596" s="4"/>
    </row>
    <row r="597" spans="1:7" ht="15.75" customHeight="1" x14ac:dyDescent="0.25">
      <c r="A597" s="4"/>
      <c r="B597" s="4"/>
      <c r="C597" s="4"/>
      <c r="D597" s="4"/>
      <c r="E597" s="4"/>
      <c r="F597" s="4"/>
      <c r="G597" s="4"/>
    </row>
    <row r="598" spans="1:7" ht="15.75" customHeight="1" x14ac:dyDescent="0.25">
      <c r="A598" s="4"/>
      <c r="B598" s="4"/>
      <c r="C598" s="4"/>
      <c r="D598" s="4"/>
      <c r="E598" s="4"/>
      <c r="F598" s="4"/>
      <c r="G598" s="4"/>
    </row>
    <row r="599" spans="1:7" ht="15.75" customHeight="1" x14ac:dyDescent="0.25">
      <c r="A599" s="4"/>
      <c r="B599" s="4"/>
      <c r="C599" s="4"/>
      <c r="D599" s="4"/>
      <c r="E599" s="4"/>
      <c r="F599" s="4"/>
      <c r="G599" s="4"/>
    </row>
    <row r="600" spans="1:7" ht="15.75" customHeight="1" x14ac:dyDescent="0.25">
      <c r="A600" s="4"/>
      <c r="B600" s="4"/>
      <c r="C600" s="4"/>
      <c r="D600" s="4"/>
      <c r="E600" s="4"/>
      <c r="F600" s="4"/>
      <c r="G600" s="4"/>
    </row>
    <row r="601" spans="1:7" ht="15.75" customHeight="1" x14ac:dyDescent="0.25">
      <c r="A601" s="4"/>
      <c r="B601" s="4"/>
      <c r="C601" s="4"/>
      <c r="D601" s="4"/>
      <c r="E601" s="4"/>
      <c r="F601" s="4"/>
      <c r="G601" s="4"/>
    </row>
    <row r="602" spans="1:7" ht="15.75" customHeight="1" x14ac:dyDescent="0.25">
      <c r="A602" s="4"/>
      <c r="B602" s="4"/>
      <c r="C602" s="4"/>
      <c r="D602" s="4"/>
      <c r="E602" s="4"/>
      <c r="F602" s="4"/>
      <c r="G602" s="4"/>
    </row>
    <row r="603" spans="1:7" ht="15.75" customHeight="1" x14ac:dyDescent="0.25">
      <c r="A603" s="4"/>
      <c r="B603" s="4"/>
      <c r="C603" s="4"/>
      <c r="D603" s="4"/>
      <c r="E603" s="4"/>
      <c r="F603" s="4"/>
      <c r="G603" s="4"/>
    </row>
    <row r="604" spans="1:7" ht="15.75" customHeight="1" x14ac:dyDescent="0.25">
      <c r="A604" s="4"/>
      <c r="B604" s="4"/>
      <c r="C604" s="4"/>
      <c r="D604" s="4"/>
      <c r="E604" s="4"/>
      <c r="F604" s="4"/>
      <c r="G604" s="4"/>
    </row>
    <row r="605" spans="1:7" ht="15.75" customHeight="1" x14ac:dyDescent="0.25">
      <c r="A605" s="4"/>
      <c r="B605" s="4"/>
      <c r="C605" s="4"/>
      <c r="D605" s="4"/>
      <c r="E605" s="4"/>
      <c r="F605" s="4"/>
      <c r="G605" s="4"/>
    </row>
    <row r="606" spans="1:7" ht="15.75" customHeight="1" x14ac:dyDescent="0.25">
      <c r="A606" s="4"/>
      <c r="B606" s="4"/>
      <c r="C606" s="4"/>
      <c r="D606" s="4"/>
      <c r="E606" s="4"/>
      <c r="F606" s="4"/>
      <c r="G606" s="4"/>
    </row>
    <row r="607" spans="1:7" ht="15.75" customHeight="1" x14ac:dyDescent="0.25">
      <c r="A607" s="4"/>
      <c r="B607" s="4"/>
      <c r="C607" s="4"/>
      <c r="D607" s="4"/>
      <c r="E607" s="4"/>
      <c r="F607" s="4"/>
      <c r="G607" s="4"/>
    </row>
    <row r="608" spans="1:7" ht="15.75" customHeight="1" x14ac:dyDescent="0.25">
      <c r="A608" s="4"/>
      <c r="B608" s="4"/>
      <c r="C608" s="4"/>
      <c r="D608" s="4"/>
      <c r="E608" s="4"/>
      <c r="F608" s="4"/>
      <c r="G608" s="4"/>
    </row>
    <row r="609" spans="1:7" ht="15.75" customHeight="1" x14ac:dyDescent="0.25">
      <c r="A609" s="4"/>
      <c r="B609" s="4"/>
      <c r="C609" s="4"/>
      <c r="D609" s="4"/>
      <c r="E609" s="4"/>
      <c r="F609" s="4"/>
      <c r="G609" s="4"/>
    </row>
    <row r="610" spans="1:7" ht="15.75" customHeight="1" x14ac:dyDescent="0.25">
      <c r="A610" s="4"/>
      <c r="B610" s="4"/>
      <c r="C610" s="4"/>
      <c r="D610" s="4"/>
      <c r="E610" s="4"/>
      <c r="F610" s="4"/>
      <c r="G610" s="4"/>
    </row>
    <row r="611" spans="1:7" ht="15.75" customHeight="1" x14ac:dyDescent="0.25">
      <c r="A611" s="4"/>
      <c r="B611" s="4"/>
      <c r="C611" s="4"/>
      <c r="D611" s="4"/>
      <c r="E611" s="4"/>
      <c r="F611" s="4"/>
      <c r="G611" s="4"/>
    </row>
    <row r="612" spans="1:7" ht="15.75" customHeight="1" x14ac:dyDescent="0.25">
      <c r="A612" s="4"/>
      <c r="B612" s="4"/>
      <c r="C612" s="4"/>
      <c r="D612" s="4"/>
      <c r="E612" s="4"/>
      <c r="F612" s="4"/>
      <c r="G612" s="4"/>
    </row>
    <row r="613" spans="1:7" ht="15.75" customHeight="1" x14ac:dyDescent="0.25">
      <c r="A613" s="4"/>
      <c r="B613" s="4"/>
      <c r="C613" s="4"/>
      <c r="D613" s="4"/>
      <c r="E613" s="4"/>
      <c r="F613" s="4"/>
      <c r="G613" s="4"/>
    </row>
    <row r="614" spans="1:7" ht="15.75" customHeight="1" x14ac:dyDescent="0.25">
      <c r="A614" s="4"/>
      <c r="B614" s="4"/>
      <c r="C614" s="4"/>
      <c r="D614" s="4"/>
      <c r="E614" s="4"/>
      <c r="F614" s="4"/>
      <c r="G614" s="4"/>
    </row>
    <row r="615" spans="1:7" ht="15.75" customHeight="1" x14ac:dyDescent="0.25">
      <c r="A615" s="4"/>
      <c r="B615" s="4"/>
      <c r="C615" s="4"/>
      <c r="D615" s="4"/>
      <c r="E615" s="4"/>
      <c r="F615" s="4"/>
      <c r="G615" s="4"/>
    </row>
    <row r="616" spans="1:7" ht="15.75" customHeight="1" x14ac:dyDescent="0.25">
      <c r="A616" s="4"/>
      <c r="B616" s="4"/>
      <c r="C616" s="4"/>
      <c r="D616" s="4"/>
      <c r="E616" s="4"/>
      <c r="F616" s="4"/>
      <c r="G616" s="4"/>
    </row>
    <row r="617" spans="1:7" ht="15.75" customHeight="1" x14ac:dyDescent="0.25">
      <c r="A617" s="4"/>
      <c r="B617" s="4"/>
      <c r="C617" s="4"/>
      <c r="D617" s="4"/>
      <c r="E617" s="4"/>
      <c r="F617" s="4"/>
      <c r="G617" s="4"/>
    </row>
    <row r="618" spans="1:7" ht="15.75" customHeight="1" x14ac:dyDescent="0.25">
      <c r="A618" s="4"/>
      <c r="B618" s="4"/>
      <c r="C618" s="4"/>
      <c r="D618" s="4"/>
      <c r="E618" s="4"/>
      <c r="F618" s="4"/>
      <c r="G618" s="4"/>
    </row>
    <row r="619" spans="1:7" ht="15.75" customHeight="1" x14ac:dyDescent="0.25">
      <c r="A619" s="4"/>
      <c r="B619" s="4"/>
      <c r="C619" s="4"/>
      <c r="D619" s="4"/>
      <c r="E619" s="4"/>
      <c r="F619" s="4"/>
      <c r="G619" s="4"/>
    </row>
    <row r="620" spans="1:7" ht="15.75" customHeight="1" x14ac:dyDescent="0.25">
      <c r="A620" s="4"/>
      <c r="B620" s="4"/>
      <c r="C620" s="4"/>
      <c r="D620" s="4"/>
      <c r="E620" s="4"/>
      <c r="F620" s="4"/>
      <c r="G620" s="4"/>
    </row>
    <row r="621" spans="1:7" ht="15.75" customHeight="1" x14ac:dyDescent="0.25">
      <c r="A621" s="4"/>
      <c r="B621" s="4"/>
      <c r="C621" s="4"/>
      <c r="D621" s="4"/>
      <c r="E621" s="4"/>
      <c r="F621" s="4"/>
      <c r="G621" s="4"/>
    </row>
    <row r="622" spans="1:7" ht="15.75" customHeight="1" x14ac:dyDescent="0.25">
      <c r="A622" s="4"/>
      <c r="B622" s="4"/>
      <c r="C622" s="4"/>
      <c r="D622" s="4"/>
      <c r="E622" s="4"/>
      <c r="F622" s="4"/>
      <c r="G622" s="4"/>
    </row>
    <row r="623" spans="1:7" ht="15.75" customHeight="1" x14ac:dyDescent="0.25">
      <c r="A623" s="4"/>
      <c r="B623" s="4"/>
      <c r="C623" s="4"/>
      <c r="D623" s="4"/>
      <c r="E623" s="4"/>
      <c r="F623" s="4"/>
      <c r="G623" s="4"/>
    </row>
    <row r="624" spans="1:7" ht="15.75" customHeight="1" x14ac:dyDescent="0.25">
      <c r="A624" s="4"/>
      <c r="B624" s="4"/>
      <c r="C624" s="4"/>
      <c r="D624" s="4"/>
      <c r="E624" s="4"/>
      <c r="F624" s="4"/>
      <c r="G624" s="4"/>
    </row>
    <row r="625" spans="1:7" ht="15.75" customHeight="1" x14ac:dyDescent="0.25">
      <c r="A625" s="4"/>
      <c r="B625" s="4"/>
      <c r="C625" s="4"/>
      <c r="D625" s="4"/>
      <c r="E625" s="4"/>
      <c r="F625" s="4"/>
      <c r="G625" s="4"/>
    </row>
    <row r="626" spans="1:7" ht="15.75" customHeight="1" x14ac:dyDescent="0.25">
      <c r="A626" s="4"/>
      <c r="B626" s="4"/>
      <c r="C626" s="4"/>
      <c r="D626" s="4"/>
      <c r="E626" s="4"/>
      <c r="F626" s="4"/>
      <c r="G626" s="4"/>
    </row>
    <row r="627" spans="1:7" ht="15.75" customHeight="1" x14ac:dyDescent="0.25">
      <c r="A627" s="4"/>
      <c r="B627" s="4"/>
      <c r="C627" s="4"/>
      <c r="D627" s="4"/>
      <c r="E627" s="4"/>
      <c r="F627" s="4"/>
      <c r="G627" s="4"/>
    </row>
    <row r="628" spans="1:7" ht="15.75" customHeight="1" x14ac:dyDescent="0.25">
      <c r="A628" s="4"/>
      <c r="B628" s="4"/>
      <c r="C628" s="4"/>
      <c r="D628" s="4"/>
      <c r="E628" s="4"/>
      <c r="F628" s="4"/>
      <c r="G628" s="4"/>
    </row>
    <row r="629" spans="1:7" ht="15.75" customHeight="1" x14ac:dyDescent="0.25">
      <c r="A629" s="4"/>
      <c r="B629" s="4"/>
      <c r="C629" s="4"/>
      <c r="D629" s="4"/>
      <c r="E629" s="4"/>
      <c r="F629" s="4"/>
      <c r="G629" s="4"/>
    </row>
    <row r="630" spans="1:7" ht="15.75" customHeight="1" x14ac:dyDescent="0.25">
      <c r="A630" s="4"/>
      <c r="B630" s="4"/>
      <c r="C630" s="4"/>
      <c r="D630" s="4"/>
      <c r="E630" s="4"/>
      <c r="F630" s="4"/>
      <c r="G630" s="4"/>
    </row>
    <row r="631" spans="1:7" ht="15.75" customHeight="1" x14ac:dyDescent="0.25">
      <c r="A631" s="4"/>
      <c r="B631" s="4"/>
      <c r="C631" s="4"/>
      <c r="D631" s="4"/>
      <c r="E631" s="4"/>
      <c r="F631" s="4"/>
      <c r="G631" s="4"/>
    </row>
    <row r="632" spans="1:7" ht="15.75" customHeight="1" x14ac:dyDescent="0.25">
      <c r="A632" s="4"/>
      <c r="B632" s="4"/>
      <c r="C632" s="4"/>
      <c r="D632" s="4"/>
      <c r="E632" s="4"/>
      <c r="F632" s="4"/>
      <c r="G632" s="4"/>
    </row>
    <row r="633" spans="1:7" ht="15.75" customHeight="1" x14ac:dyDescent="0.25">
      <c r="A633" s="4"/>
      <c r="B633" s="4"/>
      <c r="C633" s="4"/>
      <c r="D633" s="4"/>
      <c r="E633" s="4"/>
      <c r="F633" s="4"/>
      <c r="G633" s="4"/>
    </row>
    <row r="634" spans="1:7" ht="15.75" customHeight="1" x14ac:dyDescent="0.25">
      <c r="A634" s="4"/>
      <c r="B634" s="4"/>
      <c r="C634" s="4"/>
      <c r="D634" s="4"/>
      <c r="E634" s="4"/>
      <c r="F634" s="4"/>
      <c r="G634" s="4"/>
    </row>
    <row r="635" spans="1:7" ht="15.75" customHeight="1" x14ac:dyDescent="0.25">
      <c r="A635" s="4"/>
      <c r="B635" s="4"/>
      <c r="C635" s="4"/>
      <c r="D635" s="4"/>
      <c r="E635" s="4"/>
      <c r="F635" s="4"/>
      <c r="G635" s="4"/>
    </row>
    <row r="636" spans="1:7" ht="15.75" customHeight="1" x14ac:dyDescent="0.25">
      <c r="A636" s="4"/>
      <c r="B636" s="4"/>
      <c r="C636" s="4"/>
      <c r="D636" s="4"/>
      <c r="E636" s="4"/>
      <c r="F636" s="4"/>
      <c r="G636" s="4"/>
    </row>
    <row r="637" spans="1:7" ht="15.75" customHeight="1" x14ac:dyDescent="0.25">
      <c r="A637" s="4"/>
      <c r="B637" s="4"/>
      <c r="C637" s="4"/>
      <c r="D637" s="4"/>
      <c r="E637" s="4"/>
      <c r="F637" s="4"/>
      <c r="G637" s="4"/>
    </row>
    <row r="638" spans="1:7" ht="15.75" customHeight="1" x14ac:dyDescent="0.25">
      <c r="A638" s="4"/>
      <c r="B638" s="4"/>
      <c r="C638" s="4"/>
      <c r="D638" s="4"/>
      <c r="E638" s="4"/>
      <c r="F638" s="4"/>
      <c r="G638" s="4"/>
    </row>
    <row r="639" spans="1:7" ht="15.75" customHeight="1" x14ac:dyDescent="0.25">
      <c r="A639" s="4"/>
      <c r="B639" s="4"/>
      <c r="C639" s="4"/>
      <c r="D639" s="4"/>
      <c r="E639" s="4"/>
      <c r="F639" s="4"/>
      <c r="G639" s="4"/>
    </row>
    <row r="640" spans="1:7" ht="15.75" customHeight="1" x14ac:dyDescent="0.25">
      <c r="A640" s="4"/>
      <c r="B640" s="4"/>
      <c r="C640" s="4"/>
      <c r="D640" s="4"/>
      <c r="E640" s="4"/>
      <c r="F640" s="4"/>
      <c r="G640" s="4"/>
    </row>
    <row r="641" spans="1:7" ht="15.75" customHeight="1" x14ac:dyDescent="0.25">
      <c r="A641" s="4"/>
      <c r="B641" s="4"/>
      <c r="C641" s="4"/>
      <c r="D641" s="4"/>
      <c r="E641" s="4"/>
      <c r="F641" s="4"/>
      <c r="G641" s="4"/>
    </row>
    <row r="642" spans="1:7" ht="15.75" customHeight="1" x14ac:dyDescent="0.25">
      <c r="A642" s="4"/>
      <c r="B642" s="4"/>
      <c r="C642" s="4"/>
      <c r="D642" s="4"/>
      <c r="E642" s="4"/>
      <c r="F642" s="4"/>
      <c r="G642" s="4"/>
    </row>
    <row r="643" spans="1:7" ht="15.75" customHeight="1" x14ac:dyDescent="0.25">
      <c r="A643" s="4"/>
      <c r="B643" s="4"/>
      <c r="C643" s="4"/>
      <c r="D643" s="4"/>
      <c r="E643" s="4"/>
      <c r="F643" s="4"/>
      <c r="G643" s="4"/>
    </row>
    <row r="644" spans="1:7" ht="15.75" customHeight="1" x14ac:dyDescent="0.25">
      <c r="A644" s="4"/>
      <c r="B644" s="4"/>
      <c r="C644" s="4"/>
      <c r="D644" s="4"/>
      <c r="E644" s="4"/>
      <c r="F644" s="4"/>
      <c r="G644" s="4"/>
    </row>
    <row r="645" spans="1:7" ht="15.75" customHeight="1" x14ac:dyDescent="0.25">
      <c r="A645" s="4"/>
      <c r="B645" s="4"/>
      <c r="C645" s="4"/>
      <c r="D645" s="4"/>
      <c r="E645" s="4"/>
      <c r="F645" s="4"/>
      <c r="G645" s="4"/>
    </row>
    <row r="646" spans="1:7" ht="15.75" customHeight="1" x14ac:dyDescent="0.25">
      <c r="A646" s="4"/>
      <c r="B646" s="4"/>
      <c r="C646" s="4"/>
      <c r="D646" s="4"/>
      <c r="E646" s="4"/>
      <c r="F646" s="4"/>
      <c r="G646" s="4"/>
    </row>
    <row r="647" spans="1:7" ht="15.75" customHeight="1" x14ac:dyDescent="0.25">
      <c r="A647" s="4"/>
      <c r="B647" s="4"/>
      <c r="C647" s="4"/>
      <c r="D647" s="4"/>
      <c r="E647" s="4"/>
      <c r="F647" s="4"/>
      <c r="G647" s="4"/>
    </row>
    <row r="648" spans="1:7" ht="15.75" customHeight="1" x14ac:dyDescent="0.25">
      <c r="A648" s="4"/>
      <c r="B648" s="4"/>
      <c r="C648" s="4"/>
      <c r="D648" s="4"/>
      <c r="E648" s="4"/>
      <c r="F648" s="4"/>
      <c r="G648" s="4"/>
    </row>
    <row r="649" spans="1:7" ht="15.75" customHeight="1" x14ac:dyDescent="0.25">
      <c r="A649" s="4"/>
      <c r="B649" s="4"/>
      <c r="C649" s="4"/>
      <c r="D649" s="4"/>
      <c r="E649" s="4"/>
      <c r="F649" s="4"/>
      <c r="G649" s="4"/>
    </row>
    <row r="650" spans="1:7" ht="15.75" customHeight="1" x14ac:dyDescent="0.25">
      <c r="A650" s="4"/>
      <c r="B650" s="4"/>
      <c r="C650" s="4"/>
      <c r="D650" s="4"/>
      <c r="E650" s="4"/>
      <c r="F650" s="4"/>
      <c r="G650" s="4"/>
    </row>
    <row r="651" spans="1:7" ht="15.75" customHeight="1" x14ac:dyDescent="0.25">
      <c r="A651" s="4"/>
      <c r="B651" s="4"/>
      <c r="C651" s="4"/>
      <c r="D651" s="4"/>
      <c r="E651" s="4"/>
      <c r="F651" s="4"/>
      <c r="G651" s="4"/>
    </row>
    <row r="652" spans="1:7" ht="15.75" customHeight="1" x14ac:dyDescent="0.25">
      <c r="A652" s="4"/>
      <c r="B652" s="4"/>
      <c r="C652" s="4"/>
      <c r="D652" s="4"/>
      <c r="E652" s="4"/>
      <c r="F652" s="4"/>
      <c r="G652" s="4"/>
    </row>
    <row r="653" spans="1:7" ht="15.75" customHeight="1" x14ac:dyDescent="0.25">
      <c r="A653" s="4"/>
      <c r="B653" s="4"/>
      <c r="C653" s="4"/>
      <c r="D653" s="4"/>
      <c r="E653" s="4"/>
      <c r="F653" s="4"/>
      <c r="G653" s="4"/>
    </row>
    <row r="654" spans="1:7" ht="15.75" customHeight="1" x14ac:dyDescent="0.25">
      <c r="A654" s="4"/>
      <c r="B654" s="4"/>
      <c r="C654" s="4"/>
      <c r="D654" s="4"/>
      <c r="E654" s="4"/>
      <c r="F654" s="4"/>
      <c r="G654" s="4"/>
    </row>
    <row r="655" spans="1:7" ht="15.75" customHeight="1" x14ac:dyDescent="0.25">
      <c r="A655" s="4"/>
      <c r="B655" s="4"/>
      <c r="C655" s="4"/>
      <c r="D655" s="4"/>
      <c r="E655" s="4"/>
      <c r="F655" s="4"/>
      <c r="G655" s="4"/>
    </row>
    <row r="656" spans="1:7" ht="15.75" customHeight="1" x14ac:dyDescent="0.25">
      <c r="A656" s="4"/>
      <c r="B656" s="4"/>
      <c r="C656" s="4"/>
      <c r="D656" s="4"/>
      <c r="E656" s="4"/>
      <c r="F656" s="4"/>
      <c r="G656" s="4"/>
    </row>
    <row r="657" spans="1:7" ht="15.75" customHeight="1" x14ac:dyDescent="0.25">
      <c r="A657" s="4"/>
      <c r="B657" s="4"/>
      <c r="C657" s="4"/>
      <c r="D657" s="4"/>
      <c r="E657" s="4"/>
      <c r="F657" s="4"/>
      <c r="G657" s="4"/>
    </row>
    <row r="658" spans="1:7" ht="15.75" customHeight="1" x14ac:dyDescent="0.25">
      <c r="A658" s="4"/>
      <c r="B658" s="4"/>
      <c r="C658" s="4"/>
      <c r="D658" s="4"/>
      <c r="E658" s="4"/>
      <c r="F658" s="4"/>
      <c r="G658" s="4"/>
    </row>
    <row r="659" spans="1:7" ht="15.75" customHeight="1" x14ac:dyDescent="0.25">
      <c r="A659" s="4"/>
      <c r="B659" s="4"/>
      <c r="C659" s="4"/>
      <c r="D659" s="4"/>
      <c r="E659" s="4"/>
      <c r="F659" s="4"/>
      <c r="G659" s="4"/>
    </row>
    <row r="660" spans="1:7" ht="15.75" customHeight="1" x14ac:dyDescent="0.25">
      <c r="A660" s="4"/>
      <c r="B660" s="4"/>
      <c r="C660" s="4"/>
      <c r="D660" s="4"/>
      <c r="E660" s="4"/>
      <c r="F660" s="4"/>
      <c r="G660" s="4"/>
    </row>
    <row r="661" spans="1:7" ht="15.75" customHeight="1" x14ac:dyDescent="0.25">
      <c r="A661" s="4"/>
      <c r="B661" s="4"/>
      <c r="C661" s="4"/>
      <c r="D661" s="4"/>
      <c r="E661" s="4"/>
      <c r="F661" s="4"/>
      <c r="G661" s="4"/>
    </row>
    <row r="662" spans="1:7" ht="15.75" customHeight="1" x14ac:dyDescent="0.25">
      <c r="A662" s="4"/>
      <c r="B662" s="4"/>
      <c r="C662" s="4"/>
      <c r="D662" s="4"/>
      <c r="E662" s="4"/>
      <c r="F662" s="4"/>
      <c r="G662" s="4"/>
    </row>
    <row r="663" spans="1:7" ht="15.75" customHeight="1" x14ac:dyDescent="0.25">
      <c r="A663" s="4"/>
      <c r="B663" s="4"/>
      <c r="C663" s="4"/>
      <c r="D663" s="4"/>
      <c r="E663" s="4"/>
      <c r="F663" s="4"/>
      <c r="G663" s="4"/>
    </row>
    <row r="664" spans="1:7" ht="15.75" customHeight="1" x14ac:dyDescent="0.25">
      <c r="A664" s="4"/>
      <c r="B664" s="4"/>
      <c r="C664" s="4"/>
      <c r="D664" s="4"/>
      <c r="E664" s="4"/>
      <c r="F664" s="4"/>
      <c r="G664" s="4"/>
    </row>
    <row r="665" spans="1:7" ht="15.75" customHeight="1" x14ac:dyDescent="0.25">
      <c r="A665" s="4"/>
      <c r="B665" s="4"/>
      <c r="C665" s="4"/>
      <c r="D665" s="4"/>
      <c r="E665" s="4"/>
      <c r="F665" s="4"/>
      <c r="G665" s="4"/>
    </row>
    <row r="666" spans="1:7" ht="15.75" customHeight="1" x14ac:dyDescent="0.25">
      <c r="A666" s="4"/>
      <c r="B666" s="4"/>
      <c r="C666" s="4"/>
      <c r="D666" s="4"/>
      <c r="E666" s="4"/>
      <c r="F666" s="4"/>
      <c r="G666" s="4"/>
    </row>
    <row r="667" spans="1:7" ht="15.75" customHeight="1" x14ac:dyDescent="0.25">
      <c r="A667" s="4"/>
      <c r="B667" s="4"/>
      <c r="C667" s="4"/>
      <c r="D667" s="4"/>
      <c r="E667" s="4"/>
      <c r="F667" s="4"/>
      <c r="G667" s="4"/>
    </row>
    <row r="668" spans="1:7" ht="15.75" customHeight="1" x14ac:dyDescent="0.25">
      <c r="A668" s="4"/>
      <c r="B668" s="4"/>
      <c r="C668" s="4"/>
      <c r="D668" s="4"/>
      <c r="E668" s="4"/>
      <c r="F668" s="4"/>
      <c r="G668" s="4"/>
    </row>
    <row r="669" spans="1:7" ht="15.75" customHeight="1" x14ac:dyDescent="0.25">
      <c r="A669" s="4"/>
      <c r="B669" s="4"/>
      <c r="C669" s="4"/>
      <c r="D669" s="4"/>
      <c r="E669" s="4"/>
      <c r="F669" s="4"/>
      <c r="G669" s="4"/>
    </row>
    <row r="670" spans="1:7" ht="15.75" customHeight="1" x14ac:dyDescent="0.25">
      <c r="A670" s="4"/>
      <c r="B670" s="4"/>
      <c r="C670" s="4"/>
      <c r="D670" s="4"/>
      <c r="E670" s="4"/>
      <c r="F670" s="4"/>
      <c r="G670" s="4"/>
    </row>
    <row r="671" spans="1:7" ht="15.75" customHeight="1" x14ac:dyDescent="0.25">
      <c r="A671" s="4"/>
      <c r="B671" s="4"/>
      <c r="C671" s="4"/>
      <c r="D671" s="4"/>
      <c r="E671" s="4"/>
      <c r="F671" s="4"/>
      <c r="G671" s="4"/>
    </row>
    <row r="672" spans="1:7" ht="15.75" customHeight="1" x14ac:dyDescent="0.25">
      <c r="A672" s="4"/>
      <c r="B672" s="4"/>
      <c r="C672" s="4"/>
      <c r="D672" s="4"/>
      <c r="E672" s="4"/>
      <c r="F672" s="4"/>
      <c r="G672" s="4"/>
    </row>
    <row r="673" spans="1:7" ht="15.75" customHeight="1" x14ac:dyDescent="0.25">
      <c r="A673" s="4"/>
      <c r="B673" s="4"/>
      <c r="C673" s="4"/>
      <c r="D673" s="4"/>
      <c r="E673" s="4"/>
      <c r="F673" s="4"/>
      <c r="G673" s="4"/>
    </row>
    <row r="674" spans="1:7" ht="15.75" customHeight="1" x14ac:dyDescent="0.25">
      <c r="A674" s="4"/>
      <c r="B674" s="4"/>
      <c r="C674" s="4"/>
      <c r="D674" s="4"/>
      <c r="E674" s="4"/>
      <c r="F674" s="4"/>
      <c r="G674" s="4"/>
    </row>
    <row r="675" spans="1:7" ht="15.75" customHeight="1" x14ac:dyDescent="0.25">
      <c r="A675" s="4"/>
      <c r="B675" s="4"/>
      <c r="C675" s="4"/>
      <c r="D675" s="4"/>
      <c r="E675" s="4"/>
      <c r="F675" s="4"/>
      <c r="G675" s="4"/>
    </row>
    <row r="676" spans="1:7" ht="15.75" customHeight="1" x14ac:dyDescent="0.25">
      <c r="A676" s="4"/>
      <c r="B676" s="4"/>
      <c r="C676" s="4"/>
      <c r="D676" s="4"/>
      <c r="E676" s="4"/>
      <c r="F676" s="4"/>
      <c r="G676" s="4"/>
    </row>
    <row r="677" spans="1:7" ht="15.75" customHeight="1" x14ac:dyDescent="0.25">
      <c r="A677" s="4"/>
      <c r="B677" s="4"/>
      <c r="C677" s="4"/>
      <c r="D677" s="4"/>
      <c r="E677" s="4"/>
      <c r="F677" s="4"/>
      <c r="G677" s="4"/>
    </row>
    <row r="678" spans="1:7" ht="15.75" customHeight="1" x14ac:dyDescent="0.25">
      <c r="A678" s="4"/>
      <c r="B678" s="4"/>
      <c r="C678" s="4"/>
      <c r="D678" s="4"/>
      <c r="E678" s="4"/>
      <c r="F678" s="4"/>
      <c r="G678" s="4"/>
    </row>
    <row r="679" spans="1:7" ht="15.75" customHeight="1" x14ac:dyDescent="0.25">
      <c r="A679" s="4"/>
      <c r="B679" s="4"/>
      <c r="C679" s="4"/>
      <c r="D679" s="4"/>
      <c r="E679" s="4"/>
      <c r="F679" s="4"/>
      <c r="G679" s="4"/>
    </row>
    <row r="680" spans="1:7" ht="15.75" customHeight="1" x14ac:dyDescent="0.25">
      <c r="A680" s="4"/>
      <c r="B680" s="4"/>
      <c r="C680" s="4"/>
      <c r="D680" s="4"/>
      <c r="E680" s="4"/>
      <c r="F680" s="4"/>
      <c r="G680" s="4"/>
    </row>
    <row r="681" spans="1:7" ht="15.75" customHeight="1" x14ac:dyDescent="0.25">
      <c r="A681" s="4"/>
      <c r="B681" s="4"/>
      <c r="C681" s="4"/>
      <c r="D681" s="4"/>
      <c r="E681" s="4"/>
      <c r="F681" s="4"/>
      <c r="G681" s="4"/>
    </row>
    <row r="682" spans="1:7" ht="15.75" customHeight="1" x14ac:dyDescent="0.25">
      <c r="A682" s="4"/>
      <c r="B682" s="4"/>
      <c r="C682" s="4"/>
      <c r="D682" s="4"/>
      <c r="E682" s="4"/>
      <c r="F682" s="4"/>
      <c r="G682" s="4"/>
    </row>
    <row r="683" spans="1:7" ht="15.75" customHeight="1" x14ac:dyDescent="0.25">
      <c r="A683" s="4"/>
      <c r="B683" s="4"/>
      <c r="C683" s="4"/>
      <c r="D683" s="4"/>
      <c r="E683" s="4"/>
      <c r="F683" s="4"/>
      <c r="G683" s="4"/>
    </row>
    <row r="684" spans="1:7" ht="15.75" customHeight="1" x14ac:dyDescent="0.25">
      <c r="A684" s="4"/>
      <c r="B684" s="4"/>
      <c r="C684" s="4"/>
      <c r="D684" s="4"/>
      <c r="E684" s="4"/>
      <c r="F684" s="4"/>
      <c r="G684" s="4"/>
    </row>
    <row r="685" spans="1:7" ht="15.75" customHeight="1" x14ac:dyDescent="0.25">
      <c r="A685" s="4"/>
      <c r="B685" s="4"/>
      <c r="C685" s="4"/>
      <c r="D685" s="4"/>
      <c r="E685" s="4"/>
      <c r="F685" s="4"/>
      <c r="G685" s="4"/>
    </row>
    <row r="686" spans="1:7" ht="15.75" customHeight="1" x14ac:dyDescent="0.25">
      <c r="A686" s="4"/>
      <c r="B686" s="4"/>
      <c r="C686" s="4"/>
      <c r="D686" s="4"/>
      <c r="E686" s="4"/>
      <c r="F686" s="4"/>
      <c r="G686" s="4"/>
    </row>
    <row r="687" spans="1:7" ht="15.75" customHeight="1" x14ac:dyDescent="0.25">
      <c r="A687" s="4"/>
      <c r="B687" s="4"/>
      <c r="C687" s="4"/>
      <c r="D687" s="4"/>
      <c r="E687" s="4"/>
      <c r="F687" s="4"/>
      <c r="G687" s="4"/>
    </row>
    <row r="688" spans="1:7" ht="15.75" customHeight="1" x14ac:dyDescent="0.25">
      <c r="A688" s="4"/>
      <c r="B688" s="4"/>
      <c r="C688" s="4"/>
      <c r="D688" s="4"/>
      <c r="E688" s="4"/>
      <c r="F688" s="4"/>
      <c r="G688" s="4"/>
    </row>
    <row r="689" spans="1:7" ht="15.75" customHeight="1" x14ac:dyDescent="0.25">
      <c r="A689" s="4"/>
      <c r="B689" s="4"/>
      <c r="C689" s="4"/>
      <c r="D689" s="4"/>
      <c r="E689" s="4"/>
      <c r="F689" s="4"/>
      <c r="G689" s="4"/>
    </row>
    <row r="690" spans="1:7" ht="15.75" customHeight="1" x14ac:dyDescent="0.25">
      <c r="A690" s="4"/>
      <c r="B690" s="4"/>
      <c r="C690" s="4"/>
      <c r="D690" s="4"/>
      <c r="E690" s="4"/>
      <c r="F690" s="4"/>
      <c r="G690" s="4"/>
    </row>
    <row r="691" spans="1:7" ht="15.75" customHeight="1" x14ac:dyDescent="0.25">
      <c r="A691" s="4"/>
      <c r="B691" s="4"/>
      <c r="C691" s="4"/>
      <c r="D691" s="4"/>
      <c r="E691" s="4"/>
      <c r="F691" s="4"/>
      <c r="G691" s="4"/>
    </row>
    <row r="692" spans="1:7" ht="15.75" customHeight="1" x14ac:dyDescent="0.25">
      <c r="A692" s="4"/>
      <c r="B692" s="4"/>
      <c r="C692" s="4"/>
      <c r="D692" s="4"/>
      <c r="E692" s="4"/>
      <c r="F692" s="4"/>
      <c r="G692" s="4"/>
    </row>
    <row r="693" spans="1:7" ht="15.75" customHeight="1" x14ac:dyDescent="0.25">
      <c r="A693" s="4"/>
      <c r="B693" s="4"/>
      <c r="C693" s="4"/>
      <c r="D693" s="4"/>
      <c r="E693" s="4"/>
      <c r="F693" s="4"/>
      <c r="G693" s="4"/>
    </row>
    <row r="694" spans="1:7" ht="15.75" customHeight="1" x14ac:dyDescent="0.25">
      <c r="A694" s="4"/>
      <c r="B694" s="4"/>
      <c r="C694" s="4"/>
      <c r="D694" s="4"/>
      <c r="E694" s="4"/>
      <c r="F694" s="4"/>
      <c r="G694" s="4"/>
    </row>
    <row r="695" spans="1:7" ht="15.75" customHeight="1" x14ac:dyDescent="0.25">
      <c r="A695" s="4"/>
      <c r="B695" s="4"/>
      <c r="C695" s="4"/>
      <c r="D695" s="4"/>
      <c r="E695" s="4"/>
      <c r="F695" s="4"/>
      <c r="G695" s="4"/>
    </row>
    <row r="696" spans="1:7" ht="15.75" customHeight="1" x14ac:dyDescent="0.25">
      <c r="A696" s="4"/>
      <c r="B696" s="4"/>
      <c r="C696" s="4"/>
      <c r="D696" s="4"/>
      <c r="E696" s="4"/>
      <c r="F696" s="4"/>
      <c r="G696" s="4"/>
    </row>
    <row r="697" spans="1:7" ht="15.75" customHeight="1" x14ac:dyDescent="0.25">
      <c r="A697" s="4"/>
      <c r="B697" s="4"/>
      <c r="C697" s="4"/>
      <c r="D697" s="4"/>
      <c r="E697" s="4"/>
      <c r="F697" s="4"/>
      <c r="G697" s="4"/>
    </row>
    <row r="698" spans="1:7" ht="15.75" customHeight="1" x14ac:dyDescent="0.25">
      <c r="A698" s="4"/>
      <c r="B698" s="4"/>
      <c r="C698" s="4"/>
      <c r="D698" s="4"/>
      <c r="E698" s="4"/>
      <c r="F698" s="4"/>
      <c r="G698" s="4"/>
    </row>
    <row r="699" spans="1:7" ht="15.75" customHeight="1" x14ac:dyDescent="0.25">
      <c r="A699" s="4"/>
      <c r="B699" s="4"/>
      <c r="C699" s="4"/>
      <c r="D699" s="4"/>
      <c r="E699" s="4"/>
      <c r="F699" s="4"/>
      <c r="G699" s="4"/>
    </row>
    <row r="700" spans="1:7" ht="15.75" customHeight="1" x14ac:dyDescent="0.25">
      <c r="A700" s="4"/>
      <c r="B700" s="4"/>
      <c r="C700" s="4"/>
      <c r="D700" s="4"/>
      <c r="E700" s="4"/>
      <c r="F700" s="4"/>
      <c r="G700" s="4"/>
    </row>
    <row r="701" spans="1:7" ht="15.75" customHeight="1" x14ac:dyDescent="0.25">
      <c r="A701" s="4"/>
      <c r="B701" s="4"/>
      <c r="C701" s="4"/>
      <c r="D701" s="4"/>
      <c r="E701" s="4"/>
      <c r="F701" s="4"/>
      <c r="G701" s="4"/>
    </row>
    <row r="702" spans="1:7" ht="15.75" customHeight="1" x14ac:dyDescent="0.25">
      <c r="A702" s="4"/>
      <c r="B702" s="4"/>
      <c r="C702" s="4"/>
      <c r="D702" s="4"/>
      <c r="E702" s="4"/>
      <c r="F702" s="4"/>
      <c r="G702" s="4"/>
    </row>
    <row r="703" spans="1:7" ht="15.75" customHeight="1" x14ac:dyDescent="0.25">
      <c r="A703" s="4"/>
      <c r="B703" s="4"/>
      <c r="C703" s="4"/>
      <c r="D703" s="4"/>
      <c r="E703" s="4"/>
      <c r="F703" s="4"/>
      <c r="G703" s="4"/>
    </row>
    <row r="704" spans="1:7" ht="15.75" customHeight="1" x14ac:dyDescent="0.25">
      <c r="A704" s="4"/>
      <c r="B704" s="4"/>
      <c r="C704" s="4"/>
      <c r="D704" s="4"/>
      <c r="E704" s="4"/>
      <c r="F704" s="4"/>
      <c r="G704" s="4"/>
    </row>
    <row r="705" spans="1:7" ht="15.75" customHeight="1" x14ac:dyDescent="0.25">
      <c r="A705" s="4"/>
      <c r="B705" s="4"/>
      <c r="C705" s="4"/>
      <c r="D705" s="4"/>
      <c r="E705" s="4"/>
      <c r="F705" s="4"/>
      <c r="G705" s="4"/>
    </row>
    <row r="706" spans="1:7" ht="15.75" customHeight="1" x14ac:dyDescent="0.25">
      <c r="A706" s="4"/>
      <c r="B706" s="4"/>
      <c r="C706" s="4"/>
      <c r="D706" s="4"/>
      <c r="E706" s="4"/>
      <c r="F706" s="4"/>
      <c r="G706" s="4"/>
    </row>
    <row r="707" spans="1:7" ht="15.75" customHeight="1" x14ac:dyDescent="0.25">
      <c r="A707" s="4"/>
      <c r="B707" s="4"/>
      <c r="C707" s="4"/>
      <c r="D707" s="4"/>
      <c r="E707" s="4"/>
      <c r="F707" s="4"/>
      <c r="G707" s="4"/>
    </row>
    <row r="708" spans="1:7" ht="15.75" customHeight="1" x14ac:dyDescent="0.25">
      <c r="A708" s="4"/>
      <c r="B708" s="4"/>
      <c r="C708" s="4"/>
      <c r="D708" s="4"/>
      <c r="E708" s="4"/>
      <c r="F708" s="4"/>
      <c r="G708" s="4"/>
    </row>
    <row r="709" spans="1:7" ht="15.75" customHeight="1" x14ac:dyDescent="0.25">
      <c r="A709" s="4"/>
      <c r="B709" s="4"/>
      <c r="C709" s="4"/>
      <c r="D709" s="4"/>
      <c r="E709" s="4"/>
      <c r="F709" s="4"/>
      <c r="G709" s="4"/>
    </row>
    <row r="710" spans="1:7" ht="15.75" customHeight="1" x14ac:dyDescent="0.25">
      <c r="A710" s="4"/>
      <c r="B710" s="4"/>
      <c r="C710" s="4"/>
      <c r="D710" s="4"/>
      <c r="E710" s="4"/>
      <c r="F710" s="4"/>
      <c r="G710" s="4"/>
    </row>
    <row r="711" spans="1:7" ht="15.75" customHeight="1" x14ac:dyDescent="0.25">
      <c r="A711" s="4"/>
      <c r="B711" s="4"/>
      <c r="C711" s="4"/>
      <c r="D711" s="4"/>
      <c r="E711" s="4"/>
      <c r="F711" s="4"/>
      <c r="G711" s="4"/>
    </row>
    <row r="712" spans="1:7" ht="15.75" customHeight="1" x14ac:dyDescent="0.25">
      <c r="A712" s="4"/>
      <c r="B712" s="4"/>
      <c r="C712" s="4"/>
      <c r="D712" s="4"/>
      <c r="E712" s="4"/>
      <c r="F712" s="4"/>
      <c r="G712" s="4"/>
    </row>
    <row r="713" spans="1:7" ht="15.75" customHeight="1" x14ac:dyDescent="0.25">
      <c r="A713" s="4"/>
      <c r="B713" s="4"/>
      <c r="C713" s="4"/>
      <c r="D713" s="4"/>
      <c r="E713" s="4"/>
      <c r="F713" s="4"/>
      <c r="G713" s="4"/>
    </row>
    <row r="714" spans="1:7" ht="15.75" customHeight="1" x14ac:dyDescent="0.25">
      <c r="A714" s="4"/>
      <c r="B714" s="4"/>
      <c r="C714" s="4"/>
      <c r="D714" s="4"/>
      <c r="E714" s="4"/>
      <c r="F714" s="4"/>
      <c r="G714" s="4"/>
    </row>
    <row r="715" spans="1:7" ht="15.75" customHeight="1" x14ac:dyDescent="0.25">
      <c r="A715" s="4"/>
      <c r="B715" s="4"/>
      <c r="C715" s="4"/>
      <c r="D715" s="4"/>
      <c r="E715" s="4"/>
      <c r="F715" s="4"/>
      <c r="G715" s="4"/>
    </row>
    <row r="716" spans="1:7" ht="15.75" customHeight="1" x14ac:dyDescent="0.25">
      <c r="A716" s="4"/>
      <c r="B716" s="4"/>
      <c r="C716" s="4"/>
      <c r="D716" s="4"/>
      <c r="E716" s="4"/>
      <c r="F716" s="4"/>
      <c r="G716" s="4"/>
    </row>
    <row r="717" spans="1:7" ht="15.75" customHeight="1" x14ac:dyDescent="0.25">
      <c r="A717" s="4"/>
      <c r="B717" s="4"/>
      <c r="C717" s="4"/>
      <c r="D717" s="4"/>
      <c r="E717" s="4"/>
      <c r="F717" s="4"/>
      <c r="G717" s="4"/>
    </row>
    <row r="718" spans="1:7" ht="15.75" customHeight="1" x14ac:dyDescent="0.25">
      <c r="A718" s="4"/>
      <c r="B718" s="4"/>
      <c r="C718" s="4"/>
      <c r="D718" s="4"/>
      <c r="E718" s="4"/>
      <c r="F718" s="4"/>
      <c r="G718" s="4"/>
    </row>
    <row r="719" spans="1:7" ht="15.75" customHeight="1" x14ac:dyDescent="0.25">
      <c r="A719" s="4"/>
      <c r="B719" s="4"/>
      <c r="C719" s="4"/>
      <c r="D719" s="4"/>
      <c r="E719" s="4"/>
      <c r="F719" s="4"/>
      <c r="G719" s="4"/>
    </row>
    <row r="720" spans="1:7" ht="15.75" customHeight="1" x14ac:dyDescent="0.25">
      <c r="A720" s="4"/>
      <c r="B720" s="4"/>
      <c r="C720" s="4"/>
      <c r="D720" s="4"/>
      <c r="E720" s="4"/>
      <c r="F720" s="4"/>
      <c r="G720" s="4"/>
    </row>
    <row r="721" spans="1:7" ht="15.75" customHeight="1" x14ac:dyDescent="0.25">
      <c r="A721" s="4"/>
      <c r="B721" s="4"/>
      <c r="C721" s="4"/>
      <c r="D721" s="4"/>
      <c r="E721" s="4"/>
      <c r="F721" s="4"/>
      <c r="G721" s="4"/>
    </row>
    <row r="722" spans="1:7" ht="15.75" customHeight="1" x14ac:dyDescent="0.25">
      <c r="A722" s="4"/>
      <c r="B722" s="4"/>
      <c r="C722" s="4"/>
      <c r="D722" s="4"/>
      <c r="E722" s="4"/>
      <c r="F722" s="4"/>
      <c r="G722" s="4"/>
    </row>
    <row r="723" spans="1:7" ht="15.75" customHeight="1" x14ac:dyDescent="0.25">
      <c r="A723" s="4"/>
      <c r="B723" s="4"/>
      <c r="C723" s="4"/>
      <c r="D723" s="4"/>
      <c r="E723" s="4"/>
      <c r="F723" s="4"/>
      <c r="G723" s="4"/>
    </row>
    <row r="724" spans="1:7" ht="15.75" customHeight="1" x14ac:dyDescent="0.25">
      <c r="A724" s="4"/>
      <c r="B724" s="4"/>
      <c r="C724" s="4"/>
      <c r="D724" s="4"/>
      <c r="E724" s="4"/>
      <c r="F724" s="4"/>
      <c r="G724" s="4"/>
    </row>
    <row r="725" spans="1:7" ht="15.75" customHeight="1" x14ac:dyDescent="0.25">
      <c r="A725" s="4"/>
      <c r="B725" s="4"/>
      <c r="C725" s="4"/>
      <c r="D725" s="4"/>
      <c r="E725" s="4"/>
      <c r="F725" s="4"/>
      <c r="G725" s="4"/>
    </row>
    <row r="726" spans="1:7" ht="15.75" customHeight="1" x14ac:dyDescent="0.25">
      <c r="A726" s="4"/>
      <c r="B726" s="4"/>
      <c r="C726" s="4"/>
      <c r="D726" s="4"/>
      <c r="E726" s="4"/>
      <c r="F726" s="4"/>
      <c r="G726" s="4"/>
    </row>
    <row r="727" spans="1:7" ht="15.75" customHeight="1" x14ac:dyDescent="0.25">
      <c r="A727" s="4"/>
      <c r="B727" s="4"/>
      <c r="C727" s="4"/>
      <c r="D727" s="4"/>
      <c r="E727" s="4"/>
      <c r="F727" s="4"/>
      <c r="G727" s="4"/>
    </row>
    <row r="728" spans="1:7" ht="15.75" customHeight="1" x14ac:dyDescent="0.25">
      <c r="A728" s="4"/>
      <c r="B728" s="4"/>
      <c r="C728" s="4"/>
      <c r="D728" s="4"/>
      <c r="E728" s="4"/>
      <c r="F728" s="4"/>
      <c r="G728" s="4"/>
    </row>
    <row r="729" spans="1:7" ht="15.75" customHeight="1" x14ac:dyDescent="0.25">
      <c r="A729" s="4"/>
      <c r="B729" s="4"/>
      <c r="C729" s="4"/>
      <c r="D729" s="4"/>
      <c r="E729" s="4"/>
      <c r="F729" s="4"/>
      <c r="G729" s="4"/>
    </row>
    <row r="730" spans="1:7" ht="15.75" customHeight="1" x14ac:dyDescent="0.25">
      <c r="A730" s="4"/>
      <c r="B730" s="4"/>
      <c r="C730" s="4"/>
      <c r="D730" s="4"/>
      <c r="E730" s="4"/>
      <c r="F730" s="4"/>
      <c r="G730" s="4"/>
    </row>
    <row r="731" spans="1:7" ht="15.75" customHeight="1" x14ac:dyDescent="0.25">
      <c r="A731" s="4"/>
      <c r="B731" s="4"/>
      <c r="C731" s="4"/>
      <c r="D731" s="4"/>
      <c r="E731" s="4"/>
      <c r="F731" s="4"/>
      <c r="G731" s="4"/>
    </row>
    <row r="732" spans="1:7" ht="15.75" customHeight="1" x14ac:dyDescent="0.25">
      <c r="A732" s="4"/>
      <c r="B732" s="4"/>
      <c r="C732" s="4"/>
      <c r="D732" s="4"/>
      <c r="E732" s="4"/>
      <c r="F732" s="4"/>
      <c r="G732" s="4"/>
    </row>
    <row r="733" spans="1:7" ht="15.75" customHeight="1" x14ac:dyDescent="0.25">
      <c r="A733" s="4"/>
      <c r="B733" s="4"/>
      <c r="C733" s="4"/>
      <c r="D733" s="4"/>
      <c r="E733" s="4"/>
      <c r="F733" s="4"/>
      <c r="G733" s="4"/>
    </row>
    <row r="734" spans="1:7" ht="15.75" customHeight="1" x14ac:dyDescent="0.25">
      <c r="A734" s="4"/>
      <c r="B734" s="4"/>
      <c r="C734" s="4"/>
      <c r="D734" s="4"/>
      <c r="E734" s="4"/>
      <c r="F734" s="4"/>
      <c r="G734" s="4"/>
    </row>
    <row r="735" spans="1:7" ht="15.75" customHeight="1" x14ac:dyDescent="0.25">
      <c r="A735" s="4"/>
      <c r="B735" s="4"/>
      <c r="C735" s="4"/>
      <c r="D735" s="4"/>
      <c r="E735" s="4"/>
      <c r="F735" s="4"/>
      <c r="G735" s="4"/>
    </row>
    <row r="736" spans="1:7" ht="15.75" customHeight="1" x14ac:dyDescent="0.25">
      <c r="A736" s="4"/>
      <c r="B736" s="4"/>
      <c r="C736" s="4"/>
      <c r="D736" s="4"/>
      <c r="E736" s="4"/>
      <c r="F736" s="4"/>
      <c r="G736" s="4"/>
    </row>
    <row r="737" spans="1:7" ht="15.75" customHeight="1" x14ac:dyDescent="0.25">
      <c r="A737" s="4"/>
      <c r="B737" s="4"/>
      <c r="C737" s="4"/>
      <c r="D737" s="4"/>
      <c r="E737" s="4"/>
      <c r="F737" s="4"/>
      <c r="G737" s="4"/>
    </row>
    <row r="738" spans="1:7" ht="15.75" customHeight="1" x14ac:dyDescent="0.25">
      <c r="A738" s="4"/>
      <c r="B738" s="4"/>
      <c r="C738" s="4"/>
      <c r="D738" s="4"/>
      <c r="E738" s="4"/>
      <c r="F738" s="4"/>
      <c r="G738" s="4"/>
    </row>
    <row r="739" spans="1:7" ht="15.75" customHeight="1" x14ac:dyDescent="0.25">
      <c r="A739" s="4"/>
      <c r="B739" s="4"/>
      <c r="C739" s="4"/>
      <c r="D739" s="4"/>
      <c r="E739" s="4"/>
      <c r="F739" s="4"/>
      <c r="G739" s="4"/>
    </row>
    <row r="740" spans="1:7" ht="15.75" customHeight="1" x14ac:dyDescent="0.25">
      <c r="A740" s="4"/>
      <c r="B740" s="4"/>
      <c r="C740" s="4"/>
      <c r="D740" s="4"/>
      <c r="E740" s="4"/>
      <c r="F740" s="4"/>
      <c r="G740" s="4"/>
    </row>
    <row r="741" spans="1:7" ht="15.75" customHeight="1" x14ac:dyDescent="0.25">
      <c r="A741" s="4"/>
      <c r="B741" s="4"/>
      <c r="C741" s="4"/>
      <c r="D741" s="4"/>
      <c r="E741" s="4"/>
      <c r="F741" s="4"/>
      <c r="G741" s="4"/>
    </row>
    <row r="742" spans="1:7" ht="15.75" customHeight="1" x14ac:dyDescent="0.25">
      <c r="A742" s="4"/>
      <c r="B742" s="4"/>
      <c r="C742" s="4"/>
      <c r="D742" s="4"/>
      <c r="E742" s="4"/>
      <c r="F742" s="4"/>
      <c r="G742" s="4"/>
    </row>
    <row r="743" spans="1:7" ht="15.75" customHeight="1" x14ac:dyDescent="0.25">
      <c r="A743" s="4"/>
      <c r="B743" s="4"/>
      <c r="C743" s="4"/>
      <c r="D743" s="4"/>
      <c r="E743" s="4"/>
      <c r="F743" s="4"/>
      <c r="G743" s="4"/>
    </row>
    <row r="744" spans="1:7" ht="15.75" customHeight="1" x14ac:dyDescent="0.25">
      <c r="A744" s="4"/>
      <c r="B744" s="4"/>
      <c r="C744" s="4"/>
      <c r="D744" s="4"/>
      <c r="E744" s="4"/>
      <c r="F744" s="4"/>
      <c r="G744" s="4"/>
    </row>
    <row r="745" spans="1:7" ht="15.75" customHeight="1" x14ac:dyDescent="0.25">
      <c r="A745" s="4"/>
      <c r="B745" s="4"/>
      <c r="C745" s="4"/>
      <c r="D745" s="4"/>
      <c r="E745" s="4"/>
      <c r="F745" s="4"/>
      <c r="G745" s="4"/>
    </row>
    <row r="746" spans="1:7" ht="15.75" customHeight="1" x14ac:dyDescent="0.25">
      <c r="A746" s="4"/>
      <c r="B746" s="4"/>
      <c r="C746" s="4"/>
      <c r="D746" s="4"/>
      <c r="E746" s="4"/>
      <c r="F746" s="4"/>
      <c r="G746" s="4"/>
    </row>
    <row r="747" spans="1:7" ht="15.75" customHeight="1" x14ac:dyDescent="0.25">
      <c r="A747" s="4"/>
      <c r="B747" s="4"/>
      <c r="C747" s="4"/>
      <c r="D747" s="4"/>
      <c r="E747" s="4"/>
      <c r="F747" s="4"/>
      <c r="G747" s="4"/>
    </row>
    <row r="748" spans="1:7" ht="15.75" customHeight="1" x14ac:dyDescent="0.25">
      <c r="A748" s="4"/>
      <c r="B748" s="4"/>
      <c r="C748" s="4"/>
      <c r="D748" s="4"/>
      <c r="E748" s="4"/>
      <c r="F748" s="4"/>
      <c r="G748" s="4"/>
    </row>
    <row r="749" spans="1:7" ht="15.75" customHeight="1" x14ac:dyDescent="0.25">
      <c r="A749" s="4"/>
      <c r="B749" s="4"/>
      <c r="C749" s="4"/>
      <c r="D749" s="4"/>
      <c r="E749" s="4"/>
      <c r="F749" s="4"/>
      <c r="G749" s="4"/>
    </row>
    <row r="750" spans="1:7" ht="15.75" customHeight="1" x14ac:dyDescent="0.25">
      <c r="A750" s="4"/>
      <c r="B750" s="4"/>
      <c r="C750" s="4"/>
      <c r="D750" s="4"/>
      <c r="E750" s="4"/>
      <c r="F750" s="4"/>
      <c r="G750" s="4"/>
    </row>
    <row r="751" spans="1:7" ht="15.75" customHeight="1" x14ac:dyDescent="0.25">
      <c r="A751" s="4"/>
      <c r="B751" s="4"/>
      <c r="C751" s="4"/>
      <c r="D751" s="4"/>
      <c r="E751" s="4"/>
      <c r="F751" s="4"/>
      <c r="G751" s="4"/>
    </row>
    <row r="752" spans="1:7" ht="15.75" customHeight="1" x14ac:dyDescent="0.25">
      <c r="A752" s="4"/>
      <c r="B752" s="4"/>
      <c r="C752" s="4"/>
      <c r="D752" s="4"/>
      <c r="E752" s="4"/>
      <c r="F752" s="4"/>
      <c r="G752" s="4"/>
    </row>
    <row r="753" spans="1:7" ht="15.75" customHeight="1" x14ac:dyDescent="0.25">
      <c r="A753" s="4"/>
      <c r="B753" s="4"/>
      <c r="C753" s="4"/>
      <c r="D753" s="4"/>
      <c r="E753" s="4"/>
      <c r="F753" s="4"/>
      <c r="G753" s="4"/>
    </row>
    <row r="754" spans="1:7" ht="15.75" customHeight="1" x14ac:dyDescent="0.25">
      <c r="A754" s="4"/>
      <c r="B754" s="4"/>
      <c r="C754" s="4"/>
      <c r="D754" s="4"/>
      <c r="E754" s="4"/>
      <c r="F754" s="4"/>
      <c r="G754" s="4"/>
    </row>
    <row r="755" spans="1:7" ht="15.75" customHeight="1" x14ac:dyDescent="0.25">
      <c r="A755" s="4"/>
      <c r="B755" s="4"/>
      <c r="C755" s="4"/>
      <c r="D755" s="4"/>
      <c r="E755" s="4"/>
      <c r="F755" s="4"/>
      <c r="G755" s="4"/>
    </row>
    <row r="756" spans="1:7" ht="15.75" customHeight="1" x14ac:dyDescent="0.25">
      <c r="A756" s="4"/>
      <c r="B756" s="4"/>
      <c r="C756" s="4"/>
      <c r="D756" s="4"/>
      <c r="E756" s="4"/>
      <c r="F756" s="4"/>
      <c r="G756" s="4"/>
    </row>
    <row r="757" spans="1:7" ht="15.75" customHeight="1" x14ac:dyDescent="0.25">
      <c r="A757" s="4"/>
      <c r="B757" s="4"/>
      <c r="C757" s="4"/>
      <c r="D757" s="4"/>
      <c r="E757" s="4"/>
      <c r="F757" s="4"/>
      <c r="G757" s="4"/>
    </row>
    <row r="758" spans="1:7" ht="15.75" customHeight="1" x14ac:dyDescent="0.25">
      <c r="A758" s="4"/>
      <c r="B758" s="4"/>
      <c r="C758" s="4"/>
      <c r="D758" s="4"/>
      <c r="E758" s="4"/>
      <c r="F758" s="4"/>
      <c r="G758" s="4"/>
    </row>
    <row r="759" spans="1:7" ht="15.75" customHeight="1" x14ac:dyDescent="0.25">
      <c r="A759" s="4"/>
      <c r="B759" s="4"/>
      <c r="C759" s="4"/>
      <c r="D759" s="4"/>
      <c r="E759" s="4"/>
      <c r="F759" s="4"/>
      <c r="G759" s="4"/>
    </row>
    <row r="760" spans="1:7" ht="15.75" customHeight="1" x14ac:dyDescent="0.25">
      <c r="A760" s="4"/>
      <c r="B760" s="4"/>
      <c r="C760" s="4"/>
      <c r="D760" s="4"/>
      <c r="E760" s="4"/>
      <c r="F760" s="4"/>
      <c r="G760" s="4"/>
    </row>
    <row r="761" spans="1:7" ht="15.75" customHeight="1" x14ac:dyDescent="0.25">
      <c r="A761" s="4"/>
      <c r="B761" s="4"/>
      <c r="C761" s="4"/>
      <c r="D761" s="4"/>
      <c r="E761" s="4"/>
      <c r="F761" s="4"/>
      <c r="G761" s="4"/>
    </row>
    <row r="762" spans="1:7" ht="15.75" customHeight="1" x14ac:dyDescent="0.25">
      <c r="A762" s="4"/>
      <c r="B762" s="4"/>
      <c r="C762" s="4"/>
      <c r="D762" s="4"/>
      <c r="E762" s="4"/>
      <c r="F762" s="4"/>
      <c r="G762" s="4"/>
    </row>
    <row r="763" spans="1:7" ht="15.75" customHeight="1" x14ac:dyDescent="0.25">
      <c r="A763" s="4"/>
      <c r="B763" s="4"/>
      <c r="C763" s="4"/>
      <c r="D763" s="4"/>
      <c r="E763" s="4"/>
      <c r="F763" s="4"/>
      <c r="G763" s="4"/>
    </row>
    <row r="764" spans="1:7" ht="15.75" customHeight="1" x14ac:dyDescent="0.25">
      <c r="A764" s="4"/>
      <c r="B764" s="4"/>
      <c r="C764" s="4"/>
      <c r="D764" s="4"/>
      <c r="E764" s="4"/>
      <c r="F764" s="4"/>
      <c r="G764" s="4"/>
    </row>
    <row r="765" spans="1:7" ht="15.75" customHeight="1" x14ac:dyDescent="0.25">
      <c r="A765" s="4"/>
      <c r="B765" s="4"/>
      <c r="C765" s="4"/>
      <c r="D765" s="4"/>
      <c r="E765" s="4"/>
      <c r="F765" s="4"/>
      <c r="G765" s="4"/>
    </row>
    <row r="766" spans="1:7" ht="15.75" customHeight="1" x14ac:dyDescent="0.25">
      <c r="A766" s="4"/>
      <c r="B766" s="4"/>
      <c r="C766" s="4"/>
      <c r="D766" s="4"/>
      <c r="E766" s="4"/>
      <c r="F766" s="4"/>
      <c r="G766" s="4"/>
    </row>
    <row r="767" spans="1:7" ht="15.75" customHeight="1" x14ac:dyDescent="0.25">
      <c r="A767" s="4"/>
      <c r="B767" s="4"/>
      <c r="C767" s="4"/>
      <c r="D767" s="4"/>
      <c r="E767" s="4"/>
      <c r="F767" s="4"/>
      <c r="G767" s="4"/>
    </row>
    <row r="768" spans="1:7" ht="15.75" customHeight="1" x14ac:dyDescent="0.25">
      <c r="A768" s="4"/>
      <c r="B768" s="4"/>
      <c r="C768" s="4"/>
      <c r="D768" s="4"/>
      <c r="E768" s="4"/>
      <c r="F768" s="4"/>
      <c r="G768" s="4"/>
    </row>
    <row r="769" spans="1:7" ht="15.75" customHeight="1" x14ac:dyDescent="0.25">
      <c r="A769" s="4"/>
      <c r="B769" s="4"/>
      <c r="C769" s="4"/>
      <c r="D769" s="4"/>
      <c r="E769" s="4"/>
      <c r="F769" s="4"/>
      <c r="G769" s="4"/>
    </row>
    <row r="770" spans="1:7" ht="15.75" customHeight="1" x14ac:dyDescent="0.25">
      <c r="A770" s="4"/>
      <c r="B770" s="4"/>
      <c r="C770" s="4"/>
      <c r="D770" s="4"/>
      <c r="E770" s="4"/>
      <c r="F770" s="4"/>
      <c r="G770" s="4"/>
    </row>
    <row r="771" spans="1:7" ht="15.75" customHeight="1" x14ac:dyDescent="0.25">
      <c r="A771" s="4"/>
      <c r="B771" s="4"/>
      <c r="C771" s="4"/>
      <c r="D771" s="4"/>
      <c r="E771" s="4"/>
      <c r="F771" s="4"/>
      <c r="G771" s="4"/>
    </row>
    <row r="772" spans="1:7" ht="15.75" customHeight="1" x14ac:dyDescent="0.25">
      <c r="A772" s="4"/>
      <c r="B772" s="4"/>
      <c r="C772" s="4"/>
      <c r="D772" s="4"/>
      <c r="E772" s="4"/>
      <c r="F772" s="4"/>
      <c r="G772" s="4"/>
    </row>
    <row r="773" spans="1:7" ht="15.75" customHeight="1" x14ac:dyDescent="0.25">
      <c r="A773" s="4"/>
      <c r="B773" s="4"/>
      <c r="C773" s="4"/>
      <c r="D773" s="4"/>
      <c r="E773" s="4"/>
      <c r="F773" s="4"/>
      <c r="G773" s="4"/>
    </row>
    <row r="774" spans="1:7" ht="15.75" customHeight="1" x14ac:dyDescent="0.25">
      <c r="A774" s="4"/>
      <c r="B774" s="4"/>
      <c r="C774" s="4"/>
      <c r="D774" s="4"/>
      <c r="E774" s="4"/>
      <c r="F774" s="4"/>
      <c r="G774" s="4"/>
    </row>
    <row r="775" spans="1:7" ht="15.75" customHeight="1" x14ac:dyDescent="0.25">
      <c r="A775" s="4"/>
      <c r="B775" s="4"/>
      <c r="C775" s="4"/>
      <c r="D775" s="4"/>
      <c r="E775" s="4"/>
      <c r="F775" s="4"/>
      <c r="G775" s="4"/>
    </row>
    <row r="776" spans="1:7" ht="15.75" customHeight="1" x14ac:dyDescent="0.25">
      <c r="A776" s="4"/>
      <c r="B776" s="4"/>
      <c r="C776" s="4"/>
      <c r="D776" s="4"/>
      <c r="E776" s="4"/>
      <c r="F776" s="4"/>
      <c r="G776" s="4"/>
    </row>
    <row r="777" spans="1:7" ht="15.75" customHeight="1" x14ac:dyDescent="0.25">
      <c r="A777" s="4"/>
      <c r="B777" s="4"/>
      <c r="C777" s="4"/>
      <c r="D777" s="4"/>
      <c r="E777" s="4"/>
      <c r="F777" s="4"/>
      <c r="G777" s="4"/>
    </row>
    <row r="778" spans="1:7" ht="15.75" customHeight="1" x14ac:dyDescent="0.25">
      <c r="A778" s="4"/>
      <c r="B778" s="4"/>
      <c r="C778" s="4"/>
      <c r="D778" s="4"/>
      <c r="E778" s="4"/>
      <c r="F778" s="4"/>
      <c r="G778" s="4"/>
    </row>
    <row r="779" spans="1:7" ht="15.75" customHeight="1" x14ac:dyDescent="0.25">
      <c r="A779" s="4"/>
      <c r="B779" s="4"/>
      <c r="C779" s="4"/>
      <c r="D779" s="4"/>
      <c r="E779" s="4"/>
      <c r="F779" s="4"/>
      <c r="G779" s="4"/>
    </row>
    <row r="780" spans="1:7" ht="15.75" customHeight="1" x14ac:dyDescent="0.25">
      <c r="A780" s="4"/>
      <c r="B780" s="4"/>
      <c r="C780" s="4"/>
      <c r="D780" s="4"/>
      <c r="E780" s="4"/>
      <c r="F780" s="4"/>
      <c r="G780" s="4"/>
    </row>
    <row r="781" spans="1:7" ht="15.75" customHeight="1" x14ac:dyDescent="0.25">
      <c r="A781" s="4"/>
      <c r="B781" s="4"/>
      <c r="C781" s="4"/>
      <c r="D781" s="4"/>
      <c r="E781" s="4"/>
      <c r="F781" s="4"/>
      <c r="G781" s="4"/>
    </row>
    <row r="782" spans="1:7" ht="15.75" customHeight="1" x14ac:dyDescent="0.25">
      <c r="A782" s="4"/>
      <c r="B782" s="4"/>
      <c r="C782" s="4"/>
      <c r="D782" s="4"/>
      <c r="E782" s="4"/>
      <c r="F782" s="4"/>
      <c r="G782" s="4"/>
    </row>
    <row r="783" spans="1:7" ht="15.75" customHeight="1" x14ac:dyDescent="0.25">
      <c r="A783" s="4"/>
      <c r="B783" s="4"/>
      <c r="C783" s="4"/>
      <c r="D783" s="4"/>
      <c r="E783" s="4"/>
      <c r="F783" s="4"/>
      <c r="G783" s="4"/>
    </row>
    <row r="784" spans="1:7" ht="15.75" customHeight="1" x14ac:dyDescent="0.25">
      <c r="A784" s="4"/>
      <c r="B784" s="4"/>
      <c r="C784" s="4"/>
      <c r="D784" s="4"/>
      <c r="E784" s="4"/>
      <c r="F784" s="4"/>
      <c r="G784" s="4"/>
    </row>
    <row r="785" spans="1:7" ht="15.75" customHeight="1" x14ac:dyDescent="0.25">
      <c r="A785" s="4"/>
      <c r="B785" s="4"/>
      <c r="C785" s="4"/>
      <c r="D785" s="4"/>
      <c r="E785" s="4"/>
      <c r="F785" s="4"/>
      <c r="G785" s="4"/>
    </row>
    <row r="786" spans="1:7" ht="15.75" customHeight="1" x14ac:dyDescent="0.25">
      <c r="A786" s="4"/>
      <c r="B786" s="4"/>
      <c r="C786" s="4"/>
      <c r="D786" s="4"/>
      <c r="E786" s="4"/>
      <c r="F786" s="4"/>
      <c r="G786" s="4"/>
    </row>
    <row r="787" spans="1:7" ht="15.75" customHeight="1" x14ac:dyDescent="0.25">
      <c r="A787" s="4"/>
      <c r="B787" s="4"/>
      <c r="C787" s="4"/>
      <c r="D787" s="4"/>
      <c r="E787" s="4"/>
      <c r="F787" s="4"/>
      <c r="G787" s="4"/>
    </row>
    <row r="788" spans="1:7" ht="15.75" customHeight="1" x14ac:dyDescent="0.25">
      <c r="A788" s="4"/>
      <c r="B788" s="4"/>
      <c r="C788" s="4"/>
      <c r="D788" s="4"/>
      <c r="E788" s="4"/>
      <c r="F788" s="4"/>
      <c r="G788" s="4"/>
    </row>
    <row r="789" spans="1:7" ht="15.75" customHeight="1" x14ac:dyDescent="0.25">
      <c r="A789" s="4"/>
      <c r="B789" s="4"/>
      <c r="C789" s="4"/>
      <c r="D789" s="4"/>
      <c r="E789" s="4"/>
      <c r="F789" s="4"/>
      <c r="G789" s="4"/>
    </row>
    <row r="790" spans="1:7" ht="15.75" customHeight="1" x14ac:dyDescent="0.25">
      <c r="A790" s="4"/>
      <c r="B790" s="4"/>
      <c r="C790" s="4"/>
      <c r="D790" s="4"/>
      <c r="E790" s="4"/>
      <c r="F790" s="4"/>
      <c r="G790" s="4"/>
    </row>
    <row r="791" spans="1:7" ht="15.75" customHeight="1" x14ac:dyDescent="0.25">
      <c r="A791" s="4"/>
      <c r="B791" s="4"/>
      <c r="C791" s="4"/>
      <c r="D791" s="4"/>
      <c r="E791" s="4"/>
      <c r="F791" s="4"/>
      <c r="G791" s="4"/>
    </row>
    <row r="792" spans="1:7" ht="15.75" customHeight="1" x14ac:dyDescent="0.25">
      <c r="A792" s="4"/>
      <c r="B792" s="4"/>
      <c r="C792" s="4"/>
      <c r="D792" s="4"/>
      <c r="E792" s="4"/>
      <c r="F792" s="4"/>
      <c r="G792" s="4"/>
    </row>
    <row r="793" spans="1:7" ht="15.75" customHeight="1" x14ac:dyDescent="0.25">
      <c r="A793" s="4"/>
      <c r="B793" s="4"/>
      <c r="C793" s="4"/>
      <c r="D793" s="4"/>
      <c r="E793" s="4"/>
      <c r="F793" s="4"/>
      <c r="G793" s="4"/>
    </row>
    <row r="794" spans="1:7" ht="15.75" customHeight="1" x14ac:dyDescent="0.25">
      <c r="A794" s="4"/>
      <c r="B794" s="4"/>
      <c r="C794" s="4"/>
      <c r="D794" s="4"/>
      <c r="E794" s="4"/>
      <c r="F794" s="4"/>
      <c r="G794" s="4"/>
    </row>
    <row r="795" spans="1:7" ht="15.75" customHeight="1" x14ac:dyDescent="0.25">
      <c r="A795" s="4"/>
      <c r="B795" s="4"/>
      <c r="C795" s="4"/>
      <c r="D795" s="4"/>
      <c r="E795" s="4"/>
      <c r="F795" s="4"/>
      <c r="G795" s="4"/>
    </row>
    <row r="796" spans="1:7" ht="15.75" customHeight="1" x14ac:dyDescent="0.25">
      <c r="A796" s="4"/>
      <c r="B796" s="4"/>
      <c r="C796" s="4"/>
      <c r="D796" s="4"/>
      <c r="E796" s="4"/>
      <c r="F796" s="4"/>
      <c r="G796" s="4"/>
    </row>
    <row r="797" spans="1:7" ht="15.75" customHeight="1" x14ac:dyDescent="0.25">
      <c r="A797" s="4"/>
      <c r="B797" s="4"/>
      <c r="C797" s="4"/>
      <c r="D797" s="4"/>
      <c r="E797" s="4"/>
      <c r="F797" s="4"/>
      <c r="G797" s="4"/>
    </row>
    <row r="798" spans="1:7" ht="15.75" customHeight="1" x14ac:dyDescent="0.25">
      <c r="A798" s="4"/>
      <c r="B798" s="4"/>
      <c r="C798" s="4"/>
      <c r="D798" s="4"/>
      <c r="E798" s="4"/>
      <c r="F798" s="4"/>
      <c r="G798" s="4"/>
    </row>
    <row r="799" spans="1:7" ht="15.75" customHeight="1" x14ac:dyDescent="0.25">
      <c r="A799" s="4"/>
      <c r="B799" s="4"/>
      <c r="C799" s="4"/>
      <c r="D799" s="4"/>
      <c r="E799" s="4"/>
      <c r="F799" s="4"/>
      <c r="G799" s="4"/>
    </row>
    <row r="800" spans="1:7" ht="15.75" customHeight="1" x14ac:dyDescent="0.25">
      <c r="A800" s="4"/>
      <c r="B800" s="4"/>
      <c r="C800" s="4"/>
      <c r="D800" s="4"/>
      <c r="E800" s="4"/>
      <c r="F800" s="4"/>
      <c r="G800" s="4"/>
    </row>
    <row r="801" spans="1:7" ht="15.75" customHeight="1" x14ac:dyDescent="0.25">
      <c r="A801" s="4"/>
      <c r="B801" s="4"/>
      <c r="C801" s="4"/>
      <c r="D801" s="4"/>
      <c r="E801" s="4"/>
      <c r="F801" s="4"/>
      <c r="G801" s="4"/>
    </row>
    <row r="802" spans="1:7" ht="15.75" customHeight="1" x14ac:dyDescent="0.25">
      <c r="A802" s="4"/>
      <c r="B802" s="4"/>
      <c r="C802" s="4"/>
      <c r="D802" s="4"/>
      <c r="E802" s="4"/>
      <c r="F802" s="4"/>
      <c r="G802" s="4"/>
    </row>
    <row r="803" spans="1:7" ht="15.75" customHeight="1" x14ac:dyDescent="0.25">
      <c r="A803" s="4"/>
      <c r="B803" s="4"/>
      <c r="C803" s="4"/>
      <c r="D803" s="4"/>
      <c r="E803" s="4"/>
      <c r="F803" s="4"/>
      <c r="G803" s="4"/>
    </row>
    <row r="804" spans="1:7" ht="15.75" customHeight="1" x14ac:dyDescent="0.25">
      <c r="A804" s="4"/>
      <c r="B804" s="4"/>
      <c r="C804" s="4"/>
      <c r="D804" s="4"/>
      <c r="E804" s="4"/>
      <c r="F804" s="4"/>
      <c r="G804" s="4"/>
    </row>
    <row r="805" spans="1:7" ht="15.75" customHeight="1" x14ac:dyDescent="0.25">
      <c r="A805" s="4"/>
      <c r="B805" s="4"/>
      <c r="C805" s="4"/>
      <c r="D805" s="4"/>
      <c r="E805" s="4"/>
      <c r="F805" s="4"/>
      <c r="G805" s="4"/>
    </row>
    <row r="806" spans="1:7" ht="15.75" customHeight="1" x14ac:dyDescent="0.25">
      <c r="A806" s="4"/>
      <c r="B806" s="4"/>
      <c r="C806" s="4"/>
      <c r="D806" s="4"/>
      <c r="E806" s="4"/>
      <c r="F806" s="4"/>
      <c r="G806" s="4"/>
    </row>
    <row r="807" spans="1:7" ht="15.75" customHeight="1" x14ac:dyDescent="0.25">
      <c r="A807" s="4"/>
      <c r="B807" s="4"/>
      <c r="C807" s="4"/>
      <c r="D807" s="4"/>
      <c r="E807" s="4"/>
      <c r="F807" s="4"/>
      <c r="G807" s="4"/>
    </row>
    <row r="808" spans="1:7" ht="15.75" customHeight="1" x14ac:dyDescent="0.25">
      <c r="A808" s="4"/>
      <c r="B808" s="4"/>
      <c r="C808" s="4"/>
      <c r="D808" s="4"/>
      <c r="E808" s="4"/>
      <c r="F808" s="4"/>
      <c r="G808" s="4"/>
    </row>
    <row r="809" spans="1:7" ht="15.75" customHeight="1" x14ac:dyDescent="0.25">
      <c r="A809" s="4"/>
      <c r="B809" s="4"/>
      <c r="C809" s="4"/>
      <c r="D809" s="4"/>
      <c r="E809" s="4"/>
      <c r="F809" s="4"/>
      <c r="G809" s="4"/>
    </row>
    <row r="810" spans="1:7" ht="15.75" customHeight="1" x14ac:dyDescent="0.25">
      <c r="A810" s="4"/>
      <c r="B810" s="4"/>
      <c r="C810" s="4"/>
      <c r="D810" s="4"/>
      <c r="E810" s="4"/>
      <c r="F810" s="4"/>
      <c r="G810" s="4"/>
    </row>
    <row r="811" spans="1:7" ht="15.75" customHeight="1" x14ac:dyDescent="0.25">
      <c r="A811" s="4"/>
      <c r="B811" s="4"/>
      <c r="C811" s="4"/>
      <c r="D811" s="4"/>
      <c r="E811" s="4"/>
      <c r="F811" s="4"/>
      <c r="G811" s="4"/>
    </row>
    <row r="812" spans="1:7" ht="15.75" customHeight="1" x14ac:dyDescent="0.25">
      <c r="A812" s="4"/>
      <c r="B812" s="4"/>
      <c r="C812" s="4"/>
      <c r="D812" s="4"/>
      <c r="E812" s="4"/>
      <c r="F812" s="4"/>
      <c r="G812" s="4"/>
    </row>
    <row r="813" spans="1:7" ht="15.75" customHeight="1" x14ac:dyDescent="0.25">
      <c r="A813" s="4"/>
      <c r="B813" s="4"/>
      <c r="C813" s="4"/>
      <c r="D813" s="4"/>
      <c r="E813" s="4"/>
      <c r="F813" s="4"/>
      <c r="G813" s="4"/>
    </row>
    <row r="814" spans="1:7" ht="15.75" customHeight="1" x14ac:dyDescent="0.25">
      <c r="A814" s="4"/>
      <c r="B814" s="4"/>
      <c r="C814" s="4"/>
      <c r="D814" s="4"/>
      <c r="E814" s="4"/>
      <c r="F814" s="4"/>
      <c r="G814" s="4"/>
    </row>
    <row r="815" spans="1:7" ht="15.75" customHeight="1" x14ac:dyDescent="0.25">
      <c r="A815" s="4"/>
      <c r="B815" s="4"/>
      <c r="C815" s="4"/>
      <c r="D815" s="4"/>
      <c r="E815" s="4"/>
      <c r="F815" s="4"/>
      <c r="G815" s="4"/>
    </row>
    <row r="816" spans="1:7" ht="15.75" customHeight="1" x14ac:dyDescent="0.25">
      <c r="A816" s="4"/>
      <c r="B816" s="4"/>
      <c r="C816" s="4"/>
      <c r="D816" s="4"/>
      <c r="E816" s="4"/>
      <c r="F816" s="4"/>
      <c r="G816" s="4"/>
    </row>
    <row r="817" spans="1:7" ht="15.75" customHeight="1" x14ac:dyDescent="0.25">
      <c r="A817" s="4"/>
      <c r="B817" s="4"/>
      <c r="C817" s="4"/>
      <c r="D817" s="4"/>
      <c r="E817" s="4"/>
      <c r="F817" s="4"/>
      <c r="G817" s="4"/>
    </row>
    <row r="818" spans="1:7" ht="15.75" customHeight="1" x14ac:dyDescent="0.25">
      <c r="A818" s="4"/>
      <c r="B818" s="4"/>
      <c r="C818" s="4"/>
      <c r="D818" s="4"/>
      <c r="E818" s="4"/>
      <c r="F818" s="4"/>
      <c r="G818" s="4"/>
    </row>
    <row r="819" spans="1:7" ht="15.75" customHeight="1" x14ac:dyDescent="0.25">
      <c r="A819" s="4"/>
      <c r="B819" s="4"/>
      <c r="C819" s="4"/>
      <c r="D819" s="4"/>
      <c r="E819" s="4"/>
      <c r="F819" s="4"/>
      <c r="G819" s="4"/>
    </row>
    <row r="820" spans="1:7" ht="15.75" customHeight="1" x14ac:dyDescent="0.25">
      <c r="A820" s="4"/>
      <c r="B820" s="4"/>
      <c r="C820" s="4"/>
      <c r="D820" s="4"/>
      <c r="E820" s="4"/>
      <c r="F820" s="4"/>
      <c r="G820" s="4"/>
    </row>
    <row r="821" spans="1:7" ht="15.75" customHeight="1" x14ac:dyDescent="0.25">
      <c r="A821" s="4"/>
      <c r="B821" s="4"/>
      <c r="C821" s="4"/>
      <c r="D821" s="4"/>
      <c r="E821" s="4"/>
      <c r="F821" s="4"/>
      <c r="G821" s="4"/>
    </row>
    <row r="822" spans="1:7" ht="15.75" customHeight="1" x14ac:dyDescent="0.25">
      <c r="A822" s="4"/>
      <c r="B822" s="4"/>
      <c r="C822" s="4"/>
      <c r="D822" s="4"/>
      <c r="E822" s="4"/>
      <c r="F822" s="4"/>
      <c r="G822" s="4"/>
    </row>
    <row r="823" spans="1:7" ht="15.75" customHeight="1" x14ac:dyDescent="0.25">
      <c r="A823" s="4"/>
      <c r="B823" s="4"/>
      <c r="C823" s="4"/>
      <c r="D823" s="4"/>
      <c r="E823" s="4"/>
      <c r="F823" s="4"/>
      <c r="G823" s="4"/>
    </row>
    <row r="824" spans="1:7" ht="15.75" customHeight="1" x14ac:dyDescent="0.25">
      <c r="A824" s="4"/>
      <c r="B824" s="4"/>
      <c r="C824" s="4"/>
      <c r="D824" s="4"/>
      <c r="E824" s="4"/>
      <c r="F824" s="4"/>
      <c r="G824" s="4"/>
    </row>
    <row r="825" spans="1:7" ht="15.75" customHeight="1" x14ac:dyDescent="0.25">
      <c r="A825" s="4"/>
      <c r="B825" s="4"/>
      <c r="C825" s="4"/>
      <c r="D825" s="4"/>
      <c r="E825" s="4"/>
      <c r="F825" s="4"/>
      <c r="G825" s="4"/>
    </row>
    <row r="826" spans="1:7" ht="15.75" customHeight="1" x14ac:dyDescent="0.25">
      <c r="A826" s="4"/>
      <c r="B826" s="4"/>
      <c r="C826" s="4"/>
      <c r="D826" s="4"/>
      <c r="E826" s="4"/>
      <c r="F826" s="4"/>
      <c r="G826" s="4"/>
    </row>
    <row r="827" spans="1:7" ht="15.75" customHeight="1" x14ac:dyDescent="0.25">
      <c r="A827" s="4"/>
      <c r="B827" s="4"/>
      <c r="C827" s="4"/>
      <c r="D827" s="4"/>
      <c r="E827" s="4"/>
      <c r="F827" s="4"/>
      <c r="G827" s="4"/>
    </row>
    <row r="828" spans="1:7" ht="15.75" customHeight="1" x14ac:dyDescent="0.25">
      <c r="A828" s="4"/>
      <c r="B828" s="4"/>
      <c r="C828" s="4"/>
      <c r="D828" s="4"/>
      <c r="E828" s="4"/>
      <c r="F828" s="4"/>
      <c r="G828" s="4"/>
    </row>
    <row r="829" spans="1:7" ht="15.75" customHeight="1" x14ac:dyDescent="0.25">
      <c r="A829" s="4"/>
      <c r="B829" s="4"/>
      <c r="C829" s="4"/>
      <c r="D829" s="4"/>
      <c r="E829" s="4"/>
      <c r="F829" s="4"/>
      <c r="G829" s="4"/>
    </row>
    <row r="830" spans="1:7" ht="15.75" customHeight="1" x14ac:dyDescent="0.25">
      <c r="A830" s="4"/>
      <c r="B830" s="4"/>
      <c r="C830" s="4"/>
      <c r="D830" s="4"/>
      <c r="E830" s="4"/>
      <c r="F830" s="4"/>
      <c r="G830" s="4"/>
    </row>
    <row r="831" spans="1:7" ht="15.75" customHeight="1" x14ac:dyDescent="0.25">
      <c r="A831" s="4"/>
      <c r="B831" s="4"/>
      <c r="C831" s="4"/>
      <c r="D831" s="4"/>
      <c r="E831" s="4"/>
      <c r="F831" s="4"/>
      <c r="G831" s="4"/>
    </row>
    <row r="832" spans="1:7" ht="15.75" customHeight="1" x14ac:dyDescent="0.25">
      <c r="A832" s="4"/>
      <c r="B832" s="4"/>
      <c r="C832" s="4"/>
      <c r="D832" s="4"/>
      <c r="E832" s="4"/>
      <c r="F832" s="4"/>
      <c r="G832" s="4"/>
    </row>
    <row r="833" spans="1:7" ht="15.75" customHeight="1" x14ac:dyDescent="0.25">
      <c r="A833" s="4"/>
      <c r="B833" s="4"/>
      <c r="C833" s="4"/>
      <c r="D833" s="4"/>
      <c r="E833" s="4"/>
      <c r="F833" s="4"/>
      <c r="G833" s="4"/>
    </row>
    <row r="834" spans="1:7" ht="15.75" customHeight="1" x14ac:dyDescent="0.25">
      <c r="A834" s="4"/>
      <c r="B834" s="4"/>
      <c r="C834" s="4"/>
      <c r="D834" s="4"/>
      <c r="E834" s="4"/>
      <c r="F834" s="4"/>
      <c r="G834" s="4"/>
    </row>
    <row r="835" spans="1:7" ht="15.75" customHeight="1" x14ac:dyDescent="0.25">
      <c r="A835" s="4"/>
      <c r="B835" s="4"/>
      <c r="C835" s="4"/>
      <c r="D835" s="4"/>
      <c r="E835" s="4"/>
      <c r="F835" s="4"/>
      <c r="G835" s="4"/>
    </row>
    <row r="836" spans="1:7" ht="15.75" customHeight="1" x14ac:dyDescent="0.25">
      <c r="A836" s="4"/>
      <c r="B836" s="4"/>
      <c r="C836" s="4"/>
      <c r="D836" s="4"/>
      <c r="E836" s="4"/>
      <c r="F836" s="4"/>
      <c r="G836" s="4"/>
    </row>
    <row r="837" spans="1:7" ht="15.75" customHeight="1" x14ac:dyDescent="0.25">
      <c r="A837" s="4"/>
      <c r="B837" s="4"/>
      <c r="C837" s="4"/>
      <c r="D837" s="4"/>
      <c r="E837" s="4"/>
      <c r="F837" s="4"/>
      <c r="G837" s="4"/>
    </row>
    <row r="838" spans="1:7" ht="15.75" customHeight="1" x14ac:dyDescent="0.25">
      <c r="A838" s="4"/>
      <c r="B838" s="4"/>
      <c r="C838" s="4"/>
      <c r="D838" s="4"/>
      <c r="E838" s="4"/>
      <c r="F838" s="4"/>
      <c r="G838" s="4"/>
    </row>
    <row r="839" spans="1:7" ht="15.75" customHeight="1" x14ac:dyDescent="0.25">
      <c r="A839" s="4"/>
      <c r="B839" s="4"/>
      <c r="C839" s="4"/>
      <c r="D839" s="4"/>
      <c r="E839" s="4"/>
      <c r="F839" s="4"/>
      <c r="G839" s="4"/>
    </row>
    <row r="840" spans="1:7" ht="15.75" customHeight="1" x14ac:dyDescent="0.25">
      <c r="A840" s="4"/>
      <c r="B840" s="4"/>
      <c r="C840" s="4"/>
      <c r="D840" s="4"/>
      <c r="E840" s="4"/>
      <c r="F840" s="4"/>
      <c r="G840" s="4"/>
    </row>
    <row r="841" spans="1:7" ht="15.75" customHeight="1" x14ac:dyDescent="0.25">
      <c r="A841" s="4"/>
      <c r="B841" s="4"/>
      <c r="C841" s="4"/>
      <c r="D841" s="4"/>
      <c r="E841" s="4"/>
      <c r="F841" s="4"/>
      <c r="G841" s="4"/>
    </row>
    <row r="842" spans="1:7" ht="15.75" customHeight="1" x14ac:dyDescent="0.25">
      <c r="A842" s="4"/>
      <c r="B842" s="4"/>
      <c r="C842" s="4"/>
      <c r="D842" s="4"/>
      <c r="E842" s="4"/>
      <c r="F842" s="4"/>
      <c r="G842" s="4"/>
    </row>
    <row r="843" spans="1:7" ht="15.75" customHeight="1" x14ac:dyDescent="0.25">
      <c r="A843" s="4"/>
      <c r="B843" s="4"/>
      <c r="C843" s="4"/>
      <c r="D843" s="4"/>
      <c r="E843" s="4"/>
      <c r="F843" s="4"/>
      <c r="G843" s="4"/>
    </row>
    <row r="844" spans="1:7" ht="15.75" customHeight="1" x14ac:dyDescent="0.25">
      <c r="A844" s="4"/>
      <c r="B844" s="4"/>
      <c r="C844" s="4"/>
      <c r="D844" s="4"/>
      <c r="E844" s="4"/>
      <c r="F844" s="4"/>
      <c r="G844" s="4"/>
    </row>
    <row r="845" spans="1:7" ht="15.75" customHeight="1" x14ac:dyDescent="0.25">
      <c r="A845" s="4"/>
      <c r="B845" s="4"/>
      <c r="C845" s="4"/>
      <c r="D845" s="4"/>
      <c r="E845" s="4"/>
      <c r="F845" s="4"/>
      <c r="G845" s="4"/>
    </row>
    <row r="846" spans="1:7" ht="15.75" customHeight="1" x14ac:dyDescent="0.25">
      <c r="A846" s="4"/>
      <c r="B846" s="4"/>
      <c r="C846" s="4"/>
      <c r="D846" s="4"/>
      <c r="E846" s="4"/>
      <c r="F846" s="4"/>
      <c r="G846" s="4"/>
    </row>
    <row r="847" spans="1:7" ht="15.75" customHeight="1" x14ac:dyDescent="0.25">
      <c r="A847" s="4"/>
      <c r="B847" s="4"/>
      <c r="C847" s="4"/>
      <c r="D847" s="4"/>
      <c r="E847" s="4"/>
      <c r="F847" s="4"/>
      <c r="G847" s="4"/>
    </row>
    <row r="848" spans="1:7" ht="15.75" customHeight="1" x14ac:dyDescent="0.25">
      <c r="A848" s="4"/>
      <c r="B848" s="4"/>
      <c r="C848" s="4"/>
      <c r="D848" s="4"/>
      <c r="E848" s="4"/>
      <c r="F848" s="4"/>
      <c r="G848" s="4"/>
    </row>
    <row r="849" spans="1:7" ht="15.75" customHeight="1" x14ac:dyDescent="0.25">
      <c r="A849" s="4"/>
      <c r="B849" s="4"/>
      <c r="C849" s="4"/>
      <c r="D849" s="4"/>
      <c r="E849" s="4"/>
      <c r="F849" s="4"/>
      <c r="G849" s="4"/>
    </row>
    <row r="850" spans="1:7" ht="15.75" customHeight="1" x14ac:dyDescent="0.25">
      <c r="A850" s="4"/>
      <c r="B850" s="4"/>
      <c r="C850" s="4"/>
      <c r="D850" s="4"/>
      <c r="E850" s="4"/>
      <c r="F850" s="4"/>
      <c r="G850" s="4"/>
    </row>
    <row r="851" spans="1:7" ht="15.75" customHeight="1" x14ac:dyDescent="0.25">
      <c r="A851" s="4"/>
      <c r="B851" s="4"/>
      <c r="C851" s="4"/>
      <c r="D851" s="4"/>
      <c r="E851" s="4"/>
      <c r="F851" s="4"/>
      <c r="G851" s="4"/>
    </row>
    <row r="852" spans="1:7" ht="15.75" customHeight="1" x14ac:dyDescent="0.25">
      <c r="A852" s="4"/>
      <c r="B852" s="4"/>
      <c r="C852" s="4"/>
      <c r="D852" s="4"/>
      <c r="E852" s="4"/>
      <c r="F852" s="4"/>
      <c r="G852" s="4"/>
    </row>
    <row r="853" spans="1:7" ht="15.75" customHeight="1" x14ac:dyDescent="0.25">
      <c r="A853" s="4"/>
      <c r="B853" s="4"/>
      <c r="C853" s="4"/>
      <c r="D853" s="4"/>
      <c r="E853" s="4"/>
      <c r="F853" s="4"/>
      <c r="G853" s="4"/>
    </row>
    <row r="854" spans="1:7" ht="15.75" customHeight="1" x14ac:dyDescent="0.25">
      <c r="A854" s="4"/>
      <c r="B854" s="4"/>
      <c r="C854" s="4"/>
      <c r="D854" s="4"/>
      <c r="E854" s="4"/>
      <c r="F854" s="4"/>
      <c r="G854" s="4"/>
    </row>
    <row r="855" spans="1:7" ht="15.75" customHeight="1" x14ac:dyDescent="0.25">
      <c r="A855" s="4"/>
      <c r="B855" s="4"/>
      <c r="C855" s="4"/>
      <c r="D855" s="4"/>
      <c r="E855" s="4"/>
      <c r="F855" s="4"/>
      <c r="G855" s="4"/>
    </row>
    <row r="856" spans="1:7" ht="15.75" customHeight="1" x14ac:dyDescent="0.25">
      <c r="A856" s="4"/>
      <c r="B856" s="4"/>
      <c r="C856" s="4"/>
      <c r="D856" s="4"/>
      <c r="E856" s="4"/>
      <c r="F856" s="4"/>
      <c r="G856" s="4"/>
    </row>
    <row r="857" spans="1:7" ht="15.75" customHeight="1" x14ac:dyDescent="0.25">
      <c r="A857" s="4"/>
      <c r="B857" s="4"/>
      <c r="C857" s="4"/>
      <c r="D857" s="4"/>
      <c r="E857" s="4"/>
      <c r="F857" s="4"/>
      <c r="G857" s="4"/>
    </row>
    <row r="858" spans="1:7" ht="15.75" customHeight="1" x14ac:dyDescent="0.25">
      <c r="A858" s="4"/>
      <c r="B858" s="4"/>
      <c r="C858" s="4"/>
      <c r="D858" s="4"/>
      <c r="E858" s="4"/>
      <c r="F858" s="4"/>
      <c r="G858" s="4"/>
    </row>
    <row r="859" spans="1:7" ht="15.75" customHeight="1" x14ac:dyDescent="0.25">
      <c r="A859" s="4"/>
      <c r="B859" s="4"/>
      <c r="C859" s="4"/>
      <c r="D859" s="4"/>
      <c r="E859" s="4"/>
      <c r="F859" s="4"/>
      <c r="G859" s="4"/>
    </row>
    <row r="860" spans="1:7" ht="15.75" customHeight="1" x14ac:dyDescent="0.25">
      <c r="A860" s="4"/>
      <c r="B860" s="4"/>
      <c r="C860" s="4"/>
      <c r="D860" s="4"/>
      <c r="E860" s="4"/>
      <c r="F860" s="4"/>
      <c r="G860" s="4"/>
    </row>
    <row r="861" spans="1:7" ht="15.75" customHeight="1" x14ac:dyDescent="0.25">
      <c r="A861" s="4"/>
      <c r="B861" s="4"/>
      <c r="C861" s="4"/>
      <c r="D861" s="4"/>
      <c r="E861" s="4"/>
      <c r="F861" s="4"/>
      <c r="G861" s="4"/>
    </row>
    <row r="862" spans="1:7" ht="15.75" customHeight="1" x14ac:dyDescent="0.25">
      <c r="A862" s="4"/>
      <c r="B862" s="4"/>
      <c r="C862" s="4"/>
      <c r="D862" s="4"/>
      <c r="E862" s="4"/>
      <c r="F862" s="4"/>
      <c r="G862" s="4"/>
    </row>
    <row r="863" spans="1:7" ht="15.75" customHeight="1" x14ac:dyDescent="0.25">
      <c r="A863" s="4"/>
      <c r="B863" s="4"/>
      <c r="C863" s="4"/>
      <c r="D863" s="4"/>
      <c r="E863" s="4"/>
      <c r="F863" s="4"/>
      <c r="G863" s="4"/>
    </row>
    <row r="864" spans="1:7" ht="15.75" customHeight="1" x14ac:dyDescent="0.25">
      <c r="A864" s="4"/>
      <c r="B864" s="4"/>
      <c r="C864" s="4"/>
      <c r="D864" s="4"/>
      <c r="E864" s="4"/>
      <c r="F864" s="4"/>
      <c r="G864" s="4"/>
    </row>
    <row r="865" spans="1:7" ht="15.75" customHeight="1" x14ac:dyDescent="0.25">
      <c r="A865" s="4"/>
      <c r="B865" s="4"/>
      <c r="C865" s="4"/>
      <c r="D865" s="4"/>
      <c r="E865" s="4"/>
      <c r="F865" s="4"/>
      <c r="G865" s="4"/>
    </row>
    <row r="866" spans="1:7" ht="15.75" customHeight="1" x14ac:dyDescent="0.25">
      <c r="A866" s="4"/>
      <c r="B866" s="4"/>
      <c r="C866" s="4"/>
      <c r="D866" s="4"/>
      <c r="E866" s="4"/>
      <c r="F866" s="4"/>
      <c r="G866" s="4"/>
    </row>
    <row r="867" spans="1:7" ht="15.75" customHeight="1" x14ac:dyDescent="0.25">
      <c r="A867" s="4"/>
      <c r="B867" s="4"/>
      <c r="C867" s="4"/>
      <c r="D867" s="4"/>
      <c r="E867" s="4"/>
      <c r="F867" s="4"/>
      <c r="G867" s="4"/>
    </row>
    <row r="868" spans="1:7" ht="15.75" customHeight="1" x14ac:dyDescent="0.25">
      <c r="A868" s="4"/>
      <c r="B868" s="4"/>
      <c r="C868" s="4"/>
      <c r="D868" s="4"/>
      <c r="E868" s="4"/>
      <c r="F868" s="4"/>
      <c r="G868" s="4"/>
    </row>
    <row r="869" spans="1:7" ht="15.75" customHeight="1" x14ac:dyDescent="0.25">
      <c r="A869" s="4"/>
      <c r="B869" s="4"/>
      <c r="C869" s="4"/>
      <c r="D869" s="4"/>
      <c r="E869" s="4"/>
      <c r="F869" s="4"/>
      <c r="G869" s="4"/>
    </row>
    <row r="870" spans="1:7" ht="15.75" customHeight="1" x14ac:dyDescent="0.25">
      <c r="A870" s="4"/>
      <c r="B870" s="4"/>
      <c r="C870" s="4"/>
      <c r="D870" s="4"/>
      <c r="E870" s="4"/>
      <c r="F870" s="4"/>
      <c r="G870" s="4"/>
    </row>
    <row r="871" spans="1:7" ht="15.75" customHeight="1" x14ac:dyDescent="0.25">
      <c r="A871" s="4"/>
      <c r="B871" s="4"/>
      <c r="C871" s="4"/>
      <c r="D871" s="4"/>
      <c r="E871" s="4"/>
      <c r="F871" s="4"/>
      <c r="G871" s="4"/>
    </row>
    <row r="872" spans="1:7" ht="15.75" customHeight="1" x14ac:dyDescent="0.25">
      <c r="A872" s="4"/>
      <c r="B872" s="4"/>
      <c r="C872" s="4"/>
      <c r="D872" s="4"/>
      <c r="E872" s="4"/>
      <c r="F872" s="4"/>
      <c r="G872" s="4"/>
    </row>
    <row r="873" spans="1:7" ht="15.75" customHeight="1" x14ac:dyDescent="0.25">
      <c r="A873" s="4"/>
      <c r="B873" s="4"/>
      <c r="C873" s="4"/>
      <c r="D873" s="4"/>
      <c r="E873" s="4"/>
      <c r="F873" s="4"/>
      <c r="G873" s="4"/>
    </row>
    <row r="874" spans="1:7" ht="15.75" customHeight="1" x14ac:dyDescent="0.25">
      <c r="A874" s="4"/>
      <c r="B874" s="4"/>
      <c r="C874" s="4"/>
      <c r="D874" s="4"/>
      <c r="E874" s="4"/>
      <c r="F874" s="4"/>
      <c r="G874" s="4"/>
    </row>
    <row r="875" spans="1:7" ht="15.75" customHeight="1" x14ac:dyDescent="0.25">
      <c r="A875" s="4"/>
      <c r="B875" s="4"/>
      <c r="C875" s="4"/>
      <c r="D875" s="4"/>
      <c r="E875" s="4"/>
      <c r="F875" s="4"/>
      <c r="G875" s="4"/>
    </row>
    <row r="876" spans="1:7" ht="15.75" customHeight="1" x14ac:dyDescent="0.25">
      <c r="A876" s="4"/>
      <c r="B876" s="4"/>
      <c r="C876" s="4"/>
      <c r="D876" s="4"/>
      <c r="E876" s="4"/>
      <c r="F876" s="4"/>
      <c r="G876" s="4"/>
    </row>
    <row r="877" spans="1:7" ht="15.75" customHeight="1" x14ac:dyDescent="0.25">
      <c r="A877" s="4"/>
      <c r="B877" s="4"/>
      <c r="C877" s="4"/>
      <c r="D877" s="4"/>
      <c r="E877" s="4"/>
      <c r="F877" s="4"/>
      <c r="G877" s="4"/>
    </row>
    <row r="878" spans="1:7" ht="15.75" customHeight="1" x14ac:dyDescent="0.25">
      <c r="A878" s="4"/>
      <c r="B878" s="4"/>
      <c r="C878" s="4"/>
      <c r="D878" s="4"/>
      <c r="E878" s="4"/>
      <c r="F878" s="4"/>
      <c r="G878" s="4"/>
    </row>
    <row r="879" spans="1:7" ht="15.75" customHeight="1" x14ac:dyDescent="0.25">
      <c r="A879" s="4"/>
      <c r="B879" s="4"/>
      <c r="C879" s="4"/>
      <c r="D879" s="4"/>
      <c r="E879" s="4"/>
      <c r="F879" s="4"/>
      <c r="G879" s="4"/>
    </row>
    <row r="880" spans="1:7" ht="15.75" customHeight="1" x14ac:dyDescent="0.25">
      <c r="A880" s="4"/>
      <c r="B880" s="4"/>
      <c r="C880" s="4"/>
      <c r="D880" s="4"/>
      <c r="E880" s="4"/>
      <c r="F880" s="4"/>
      <c r="G880" s="4"/>
    </row>
    <row r="881" spans="1:7" ht="15.75" customHeight="1" x14ac:dyDescent="0.25">
      <c r="A881" s="4"/>
      <c r="B881" s="4"/>
      <c r="C881" s="4"/>
      <c r="D881" s="4"/>
      <c r="E881" s="4"/>
      <c r="F881" s="4"/>
      <c r="G881" s="4"/>
    </row>
    <row r="882" spans="1:7" ht="15.75" customHeight="1" x14ac:dyDescent="0.25">
      <c r="A882" s="4"/>
      <c r="B882" s="4"/>
      <c r="C882" s="4"/>
      <c r="D882" s="4"/>
      <c r="E882" s="4"/>
      <c r="F882" s="4"/>
      <c r="G882" s="4"/>
    </row>
    <row r="883" spans="1:7" ht="15.75" customHeight="1" x14ac:dyDescent="0.25">
      <c r="A883" s="4"/>
      <c r="B883" s="4"/>
      <c r="C883" s="4"/>
      <c r="D883" s="4"/>
      <c r="E883" s="4"/>
      <c r="F883" s="4"/>
      <c r="G883" s="4"/>
    </row>
    <row r="884" spans="1:7" ht="15.75" customHeight="1" x14ac:dyDescent="0.25">
      <c r="A884" s="4"/>
      <c r="B884" s="4"/>
      <c r="C884" s="4"/>
      <c r="D884" s="4"/>
      <c r="E884" s="4"/>
      <c r="F884" s="4"/>
      <c r="G884" s="4"/>
    </row>
    <row r="885" spans="1:7" ht="15.75" customHeight="1" x14ac:dyDescent="0.25">
      <c r="A885" s="4"/>
      <c r="B885" s="4"/>
      <c r="C885" s="4"/>
      <c r="D885" s="4"/>
      <c r="E885" s="4"/>
      <c r="F885" s="4"/>
      <c r="G885" s="4"/>
    </row>
    <row r="886" spans="1:7" ht="15.75" customHeight="1" x14ac:dyDescent="0.25">
      <c r="A886" s="4"/>
      <c r="B886" s="4"/>
      <c r="C886" s="4"/>
      <c r="D886" s="4"/>
      <c r="E886" s="4"/>
      <c r="F886" s="4"/>
      <c r="G886" s="4"/>
    </row>
    <row r="887" spans="1:7" ht="15.75" customHeight="1" x14ac:dyDescent="0.25">
      <c r="A887" s="4"/>
      <c r="B887" s="4"/>
      <c r="C887" s="4"/>
      <c r="D887" s="4"/>
      <c r="E887" s="4"/>
      <c r="F887" s="4"/>
      <c r="G887" s="4"/>
    </row>
    <row r="888" spans="1:7" ht="15.75" customHeight="1" x14ac:dyDescent="0.25">
      <c r="A888" s="4"/>
      <c r="B888" s="4"/>
      <c r="C888" s="4"/>
      <c r="D888" s="4"/>
      <c r="E888" s="4"/>
      <c r="F888" s="4"/>
      <c r="G888" s="4"/>
    </row>
    <row r="889" spans="1:7" ht="15.75" customHeight="1" x14ac:dyDescent="0.25">
      <c r="A889" s="4"/>
      <c r="B889" s="4"/>
      <c r="C889" s="4"/>
      <c r="D889" s="4"/>
      <c r="E889" s="4"/>
      <c r="F889" s="4"/>
      <c r="G889" s="4"/>
    </row>
    <row r="890" spans="1:7" ht="15.75" customHeight="1" x14ac:dyDescent="0.25">
      <c r="A890" s="4"/>
      <c r="B890" s="4"/>
      <c r="C890" s="4"/>
      <c r="D890" s="4"/>
      <c r="E890" s="4"/>
      <c r="F890" s="4"/>
      <c r="G890" s="4"/>
    </row>
    <row r="891" spans="1:7" ht="15.75" customHeight="1" x14ac:dyDescent="0.25">
      <c r="A891" s="4"/>
      <c r="B891" s="4"/>
      <c r="C891" s="4"/>
      <c r="D891" s="4"/>
      <c r="E891" s="4"/>
      <c r="F891" s="4"/>
      <c r="G891" s="4"/>
    </row>
    <row r="892" spans="1:7" ht="15.75" customHeight="1" x14ac:dyDescent="0.25">
      <c r="A892" s="4"/>
      <c r="B892" s="4"/>
      <c r="C892" s="4"/>
      <c r="D892" s="4"/>
      <c r="E892" s="4"/>
      <c r="F892" s="4"/>
      <c r="G892" s="4"/>
    </row>
    <row r="893" spans="1:7" ht="15.75" customHeight="1" x14ac:dyDescent="0.25">
      <c r="A893" s="4"/>
      <c r="B893" s="4"/>
      <c r="C893" s="4"/>
      <c r="D893" s="4"/>
      <c r="E893" s="4"/>
      <c r="F893" s="4"/>
      <c r="G893" s="4"/>
    </row>
    <row r="894" spans="1:7" ht="15.75" customHeight="1" x14ac:dyDescent="0.25">
      <c r="A894" s="4"/>
      <c r="B894" s="4"/>
      <c r="C894" s="4"/>
      <c r="D894" s="4"/>
      <c r="E894" s="4"/>
      <c r="F894" s="4"/>
      <c r="G894" s="4"/>
    </row>
    <row r="895" spans="1:7" ht="15.75" customHeight="1" x14ac:dyDescent="0.25">
      <c r="A895" s="4"/>
      <c r="B895" s="4"/>
      <c r="C895" s="4"/>
      <c r="D895" s="4"/>
      <c r="E895" s="4"/>
      <c r="F895" s="4"/>
      <c r="G895" s="4"/>
    </row>
    <row r="896" spans="1:7" ht="15.75" customHeight="1" x14ac:dyDescent="0.25">
      <c r="A896" s="4"/>
      <c r="B896" s="4"/>
      <c r="C896" s="4"/>
      <c r="D896" s="4"/>
      <c r="E896" s="4"/>
      <c r="F896" s="4"/>
      <c r="G896" s="4"/>
    </row>
    <row r="897" spans="1:7" ht="15.75" customHeight="1" x14ac:dyDescent="0.25">
      <c r="A897" s="4"/>
      <c r="B897" s="4"/>
      <c r="C897" s="4"/>
      <c r="D897" s="4"/>
      <c r="E897" s="4"/>
      <c r="F897" s="4"/>
      <c r="G897" s="4"/>
    </row>
    <row r="898" spans="1:7" ht="15.75" customHeight="1" x14ac:dyDescent="0.25">
      <c r="A898" s="4"/>
      <c r="B898" s="4"/>
      <c r="C898" s="4"/>
      <c r="D898" s="4"/>
      <c r="E898" s="4"/>
      <c r="F898" s="4"/>
      <c r="G898" s="4"/>
    </row>
    <row r="899" spans="1:7" ht="15.75" customHeight="1" x14ac:dyDescent="0.25">
      <c r="A899" s="4"/>
      <c r="B899" s="4"/>
      <c r="C899" s="4"/>
      <c r="D899" s="4"/>
      <c r="E899" s="4"/>
      <c r="F899" s="4"/>
      <c r="G899" s="4"/>
    </row>
    <row r="900" spans="1:7" ht="15.75" customHeight="1" x14ac:dyDescent="0.25">
      <c r="A900" s="4"/>
      <c r="B900" s="4"/>
      <c r="C900" s="4"/>
      <c r="D900" s="4"/>
      <c r="E900" s="4"/>
      <c r="F900" s="4"/>
      <c r="G900" s="4"/>
    </row>
    <row r="901" spans="1:7" ht="15.75" customHeight="1" x14ac:dyDescent="0.25">
      <c r="A901" s="4"/>
      <c r="B901" s="4"/>
      <c r="C901" s="4"/>
      <c r="D901" s="4"/>
      <c r="E901" s="4"/>
      <c r="F901" s="4"/>
      <c r="G901" s="4"/>
    </row>
    <row r="902" spans="1:7" ht="15.75" customHeight="1" x14ac:dyDescent="0.25">
      <c r="A902" s="4"/>
      <c r="B902" s="4"/>
      <c r="C902" s="4"/>
      <c r="D902" s="4"/>
      <c r="E902" s="4"/>
      <c r="F902" s="4"/>
      <c r="G902" s="4"/>
    </row>
    <row r="903" spans="1:7" ht="15.75" customHeight="1" x14ac:dyDescent="0.25">
      <c r="A903" s="4"/>
      <c r="B903" s="4"/>
      <c r="C903" s="4"/>
      <c r="D903" s="4"/>
      <c r="E903" s="4"/>
      <c r="F903" s="4"/>
      <c r="G903" s="4"/>
    </row>
    <row r="904" spans="1:7" ht="15.75" customHeight="1" x14ac:dyDescent="0.25">
      <c r="A904" s="4"/>
      <c r="B904" s="4"/>
      <c r="C904" s="4"/>
      <c r="D904" s="4"/>
      <c r="E904" s="4"/>
      <c r="F904" s="4"/>
      <c r="G904" s="4"/>
    </row>
    <row r="905" spans="1:7" ht="15.75" customHeight="1" x14ac:dyDescent="0.25">
      <c r="A905" s="4"/>
      <c r="B905" s="4"/>
      <c r="C905" s="4"/>
      <c r="D905" s="4"/>
      <c r="E905" s="4"/>
      <c r="F905" s="4"/>
      <c r="G905" s="4"/>
    </row>
    <row r="906" spans="1:7" ht="15.75" customHeight="1" x14ac:dyDescent="0.25">
      <c r="A906" s="4"/>
      <c r="B906" s="4"/>
      <c r="C906" s="4"/>
      <c r="D906" s="4"/>
      <c r="E906" s="4"/>
      <c r="F906" s="4"/>
      <c r="G906" s="4"/>
    </row>
    <row r="907" spans="1:7" ht="15.75" customHeight="1" x14ac:dyDescent="0.25">
      <c r="A907" s="4"/>
      <c r="B907" s="4"/>
      <c r="C907" s="4"/>
      <c r="D907" s="4"/>
      <c r="E907" s="4"/>
      <c r="F907" s="4"/>
      <c r="G907" s="4"/>
    </row>
    <row r="908" spans="1:7" ht="15.75" customHeight="1" x14ac:dyDescent="0.25">
      <c r="A908" s="4"/>
      <c r="B908" s="4"/>
      <c r="C908" s="4"/>
      <c r="D908" s="4"/>
      <c r="E908" s="4"/>
      <c r="F908" s="4"/>
      <c r="G908" s="4"/>
    </row>
    <row r="909" spans="1:7" ht="15.75" customHeight="1" x14ac:dyDescent="0.25">
      <c r="A909" s="4"/>
      <c r="B909" s="4"/>
      <c r="C909" s="4"/>
      <c r="D909" s="4"/>
      <c r="E909" s="4"/>
      <c r="F909" s="4"/>
      <c r="G909" s="4"/>
    </row>
    <row r="910" spans="1:7" ht="15.75" customHeight="1" x14ac:dyDescent="0.25">
      <c r="A910" s="4"/>
      <c r="B910" s="4"/>
      <c r="C910" s="4"/>
      <c r="D910" s="4"/>
      <c r="E910" s="4"/>
      <c r="F910" s="4"/>
      <c r="G910" s="4"/>
    </row>
    <row r="911" spans="1:7" ht="15.75" customHeight="1" x14ac:dyDescent="0.25">
      <c r="A911" s="4"/>
      <c r="B911" s="4"/>
      <c r="C911" s="4"/>
      <c r="D911" s="4"/>
      <c r="E911" s="4"/>
      <c r="F911" s="4"/>
      <c r="G911" s="4"/>
    </row>
    <row r="912" spans="1:7" ht="15.75" customHeight="1" x14ac:dyDescent="0.25">
      <c r="A912" s="4"/>
      <c r="B912" s="4"/>
      <c r="C912" s="4"/>
      <c r="D912" s="4"/>
      <c r="E912" s="4"/>
      <c r="F912" s="4"/>
      <c r="G912" s="4"/>
    </row>
    <row r="913" spans="1:7" ht="15.75" customHeight="1" x14ac:dyDescent="0.25">
      <c r="A913" s="4"/>
      <c r="B913" s="4"/>
      <c r="C913" s="4"/>
      <c r="D913" s="4"/>
      <c r="E913" s="4"/>
      <c r="F913" s="4"/>
      <c r="G913" s="4"/>
    </row>
    <row r="914" spans="1:7" ht="15.75" customHeight="1" x14ac:dyDescent="0.25">
      <c r="A914" s="4"/>
      <c r="B914" s="4"/>
      <c r="C914" s="4"/>
      <c r="D914" s="4"/>
      <c r="E914" s="4"/>
      <c r="F914" s="4"/>
      <c r="G914" s="4"/>
    </row>
    <row r="915" spans="1:7" ht="15.75" customHeight="1" x14ac:dyDescent="0.25">
      <c r="A915" s="4"/>
      <c r="B915" s="4"/>
      <c r="C915" s="4"/>
      <c r="D915" s="4"/>
      <c r="E915" s="4"/>
      <c r="F915" s="4"/>
      <c r="G915" s="4"/>
    </row>
    <row r="916" spans="1:7" ht="15.75" customHeight="1" x14ac:dyDescent="0.25">
      <c r="A916" s="4"/>
      <c r="B916" s="4"/>
      <c r="C916" s="4"/>
      <c r="D916" s="4"/>
      <c r="E916" s="4"/>
      <c r="F916" s="4"/>
      <c r="G916" s="4"/>
    </row>
    <row r="917" spans="1:7" ht="15.75" customHeight="1" x14ac:dyDescent="0.25">
      <c r="A917" s="4"/>
      <c r="B917" s="4"/>
      <c r="C917" s="4"/>
      <c r="D917" s="4"/>
      <c r="E917" s="4"/>
      <c r="F917" s="4"/>
      <c r="G917" s="4"/>
    </row>
    <row r="918" spans="1:7" ht="15.75" customHeight="1" x14ac:dyDescent="0.25">
      <c r="A918" s="4"/>
      <c r="B918" s="4"/>
      <c r="C918" s="4"/>
      <c r="D918" s="4"/>
      <c r="E918" s="4"/>
      <c r="F918" s="4"/>
      <c r="G918" s="4"/>
    </row>
    <row r="919" spans="1:7" ht="15.75" customHeight="1" x14ac:dyDescent="0.25">
      <c r="A919" s="4"/>
      <c r="B919" s="4"/>
      <c r="C919" s="4"/>
      <c r="D919" s="4"/>
      <c r="E919" s="4"/>
      <c r="F919" s="4"/>
      <c r="G919" s="4"/>
    </row>
    <row r="920" spans="1:7" ht="15.75" customHeight="1" x14ac:dyDescent="0.25">
      <c r="A920" s="4"/>
      <c r="B920" s="4"/>
      <c r="C920" s="4"/>
      <c r="D920" s="4"/>
      <c r="E920" s="4"/>
      <c r="F920" s="4"/>
      <c r="G920" s="4"/>
    </row>
    <row r="921" spans="1:7" ht="15.75" customHeight="1" x14ac:dyDescent="0.25">
      <c r="A921" s="4"/>
      <c r="B921" s="4"/>
      <c r="C921" s="4"/>
      <c r="D921" s="4"/>
      <c r="E921" s="4"/>
      <c r="F921" s="4"/>
      <c r="G921" s="4"/>
    </row>
    <row r="922" spans="1:7" ht="15.75" customHeight="1" x14ac:dyDescent="0.25">
      <c r="A922" s="4"/>
      <c r="B922" s="4"/>
      <c r="C922" s="4"/>
      <c r="D922" s="4"/>
      <c r="E922" s="4"/>
      <c r="F922" s="4"/>
      <c r="G922" s="4"/>
    </row>
    <row r="923" spans="1:7" ht="15.75" customHeight="1" x14ac:dyDescent="0.25">
      <c r="A923" s="4"/>
      <c r="B923" s="4"/>
      <c r="C923" s="4"/>
      <c r="D923" s="4"/>
      <c r="E923" s="4"/>
      <c r="F923" s="4"/>
      <c r="G923" s="4"/>
    </row>
    <row r="924" spans="1:7" ht="15.75" customHeight="1" x14ac:dyDescent="0.25">
      <c r="A924" s="4"/>
      <c r="B924" s="4"/>
      <c r="C924" s="4"/>
      <c r="D924" s="4"/>
      <c r="E924" s="4"/>
      <c r="F924" s="4"/>
      <c r="G924" s="4"/>
    </row>
    <row r="925" spans="1:7" ht="15.75" customHeight="1" x14ac:dyDescent="0.25">
      <c r="A925" s="4"/>
      <c r="B925" s="4"/>
      <c r="C925" s="4"/>
      <c r="D925" s="4"/>
      <c r="E925" s="4"/>
      <c r="F925" s="4"/>
      <c r="G925" s="4"/>
    </row>
    <row r="926" spans="1:7" ht="15.75" customHeight="1" x14ac:dyDescent="0.25">
      <c r="A926" s="4"/>
      <c r="B926" s="4"/>
      <c r="C926" s="4"/>
      <c r="D926" s="4"/>
      <c r="E926" s="4"/>
      <c r="F926" s="4"/>
      <c r="G926" s="4"/>
    </row>
    <row r="927" spans="1:7" ht="15.75" customHeight="1" x14ac:dyDescent="0.25">
      <c r="A927" s="4"/>
      <c r="B927" s="4"/>
      <c r="C927" s="4"/>
      <c r="D927" s="4"/>
      <c r="E927" s="4"/>
      <c r="F927" s="4"/>
      <c r="G927" s="4"/>
    </row>
    <row r="928" spans="1:7" ht="15.75" customHeight="1" x14ac:dyDescent="0.25">
      <c r="A928" s="4"/>
      <c r="B928" s="4"/>
      <c r="C928" s="4"/>
      <c r="D928" s="4"/>
      <c r="E928" s="4"/>
      <c r="F928" s="4"/>
      <c r="G928" s="4"/>
    </row>
    <row r="929" spans="1:7" ht="15.75" customHeight="1" x14ac:dyDescent="0.25">
      <c r="A929" s="4"/>
      <c r="B929" s="4"/>
      <c r="C929" s="4"/>
      <c r="D929" s="4"/>
      <c r="E929" s="4"/>
      <c r="F929" s="4"/>
      <c r="G929" s="4"/>
    </row>
    <row r="930" spans="1:7" ht="15.75" customHeight="1" x14ac:dyDescent="0.25">
      <c r="A930" s="4"/>
      <c r="B930" s="4"/>
      <c r="C930" s="4"/>
      <c r="D930" s="4"/>
      <c r="E930" s="4"/>
      <c r="F930" s="4"/>
      <c r="G930" s="4"/>
    </row>
    <row r="931" spans="1:7" ht="15.75" customHeight="1" x14ac:dyDescent="0.25">
      <c r="A931" s="4"/>
      <c r="B931" s="4"/>
      <c r="C931" s="4"/>
      <c r="D931" s="4"/>
      <c r="E931" s="4"/>
      <c r="F931" s="4"/>
      <c r="G931" s="4"/>
    </row>
    <row r="932" spans="1:7" ht="15.75" customHeight="1" x14ac:dyDescent="0.25">
      <c r="A932" s="4"/>
      <c r="B932" s="4"/>
      <c r="C932" s="4"/>
      <c r="D932" s="4"/>
      <c r="E932" s="4"/>
      <c r="F932" s="4"/>
      <c r="G932" s="4"/>
    </row>
    <row r="933" spans="1:7" ht="15.75" customHeight="1" x14ac:dyDescent="0.25">
      <c r="A933" s="4"/>
      <c r="B933" s="4"/>
      <c r="C933" s="4"/>
      <c r="D933" s="4"/>
      <c r="E933" s="4"/>
      <c r="F933" s="4"/>
      <c r="G933" s="4"/>
    </row>
    <row r="934" spans="1:7" ht="15.75" customHeight="1" x14ac:dyDescent="0.25">
      <c r="A934" s="4"/>
      <c r="B934" s="4"/>
      <c r="C934" s="4"/>
      <c r="D934" s="4"/>
      <c r="E934" s="4"/>
      <c r="F934" s="4"/>
      <c r="G934" s="4"/>
    </row>
    <row r="935" spans="1:7" ht="15.75" customHeight="1" x14ac:dyDescent="0.25">
      <c r="A935" s="4"/>
      <c r="B935" s="4"/>
      <c r="C935" s="4"/>
      <c r="D935" s="4"/>
      <c r="E935" s="4"/>
      <c r="F935" s="4"/>
      <c r="G935" s="4"/>
    </row>
    <row r="936" spans="1:7" ht="15.75" customHeight="1" x14ac:dyDescent="0.25">
      <c r="A936" s="4"/>
      <c r="B936" s="4"/>
      <c r="C936" s="4"/>
      <c r="D936" s="4"/>
      <c r="E936" s="4"/>
      <c r="F936" s="4"/>
      <c r="G936" s="4"/>
    </row>
    <row r="937" spans="1:7" ht="15.75" customHeight="1" x14ac:dyDescent="0.25">
      <c r="A937" s="4"/>
      <c r="B937" s="4"/>
      <c r="C937" s="4"/>
      <c r="D937" s="4"/>
      <c r="E937" s="4"/>
      <c r="F937" s="4"/>
      <c r="G937" s="4"/>
    </row>
    <row r="938" spans="1:7" ht="15.75" customHeight="1" x14ac:dyDescent="0.25">
      <c r="A938" s="4"/>
      <c r="B938" s="4"/>
      <c r="C938" s="4"/>
      <c r="D938" s="4"/>
      <c r="E938" s="4"/>
      <c r="F938" s="4"/>
      <c r="G938" s="4"/>
    </row>
    <row r="939" spans="1:7" ht="15.75" customHeight="1" x14ac:dyDescent="0.25">
      <c r="A939" s="4"/>
      <c r="B939" s="4"/>
      <c r="C939" s="4"/>
      <c r="D939" s="4"/>
      <c r="E939" s="4"/>
      <c r="F939" s="4"/>
      <c r="G939" s="4"/>
    </row>
    <row r="940" spans="1:7" ht="15.75" customHeight="1" x14ac:dyDescent="0.25">
      <c r="A940" s="4"/>
      <c r="B940" s="4"/>
      <c r="C940" s="4"/>
      <c r="D940" s="4"/>
      <c r="E940" s="4"/>
      <c r="F940" s="4"/>
      <c r="G940" s="4"/>
    </row>
    <row r="941" spans="1:7" ht="15.75" customHeight="1" x14ac:dyDescent="0.25">
      <c r="A941" s="4"/>
      <c r="B941" s="4"/>
      <c r="C941" s="4"/>
      <c r="D941" s="4"/>
      <c r="E941" s="4"/>
      <c r="F941" s="4"/>
      <c r="G941" s="4"/>
    </row>
    <row r="942" spans="1:7" ht="15.75" customHeight="1" x14ac:dyDescent="0.25">
      <c r="A942" s="4"/>
      <c r="B942" s="4"/>
      <c r="C942" s="4"/>
      <c r="D942" s="4"/>
      <c r="E942" s="4"/>
      <c r="F942" s="4"/>
      <c r="G942" s="4"/>
    </row>
    <row r="943" spans="1:7" ht="15.75" customHeight="1" x14ac:dyDescent="0.25">
      <c r="A943" s="4"/>
      <c r="B943" s="4"/>
      <c r="C943" s="4"/>
      <c r="D943" s="4"/>
      <c r="E943" s="4"/>
      <c r="F943" s="4"/>
      <c r="G943" s="4"/>
    </row>
    <row r="944" spans="1:7" ht="15.75" customHeight="1" x14ac:dyDescent="0.25">
      <c r="A944" s="4"/>
      <c r="B944" s="4"/>
      <c r="C944" s="4"/>
      <c r="D944" s="4"/>
      <c r="E944" s="4"/>
      <c r="F944" s="4"/>
      <c r="G944" s="4"/>
    </row>
    <row r="945" spans="1:7" ht="15.75" customHeight="1" x14ac:dyDescent="0.25">
      <c r="A945" s="4"/>
      <c r="B945" s="4"/>
      <c r="C945" s="4"/>
      <c r="D945" s="4"/>
      <c r="E945" s="4"/>
      <c r="F945" s="4"/>
      <c r="G945" s="4"/>
    </row>
    <row r="946" spans="1:7" ht="15.75" customHeight="1" x14ac:dyDescent="0.25">
      <c r="A946" s="4"/>
      <c r="B946" s="4"/>
      <c r="C946" s="4"/>
      <c r="D946" s="4"/>
      <c r="E946" s="4"/>
      <c r="F946" s="4"/>
      <c r="G946" s="4"/>
    </row>
    <row r="947" spans="1:7" ht="15.75" customHeight="1" x14ac:dyDescent="0.25">
      <c r="A947" s="4"/>
      <c r="B947" s="4"/>
      <c r="C947" s="4"/>
      <c r="D947" s="4"/>
      <c r="E947" s="4"/>
      <c r="F947" s="4"/>
      <c r="G947" s="4"/>
    </row>
    <row r="948" spans="1:7" ht="15.75" customHeight="1" x14ac:dyDescent="0.25">
      <c r="A948" s="4"/>
      <c r="B948" s="4"/>
      <c r="C948" s="4"/>
      <c r="D948" s="4"/>
      <c r="E948" s="4"/>
      <c r="F948" s="4"/>
      <c r="G948" s="4"/>
    </row>
    <row r="949" spans="1:7" ht="15.75" customHeight="1" x14ac:dyDescent="0.25">
      <c r="A949" s="4"/>
      <c r="B949" s="4"/>
      <c r="C949" s="4"/>
      <c r="D949" s="4"/>
      <c r="E949" s="4"/>
      <c r="F949" s="4"/>
      <c r="G949" s="4"/>
    </row>
    <row r="950" spans="1:7" ht="15.75" customHeight="1" x14ac:dyDescent="0.25">
      <c r="A950" s="4"/>
      <c r="B950" s="4"/>
      <c r="C950" s="4"/>
      <c r="D950" s="4"/>
      <c r="E950" s="4"/>
      <c r="F950" s="4"/>
      <c r="G950" s="4"/>
    </row>
    <row r="951" spans="1:7" ht="15.75" customHeight="1" x14ac:dyDescent="0.25">
      <c r="A951" s="4"/>
      <c r="B951" s="4"/>
      <c r="C951" s="4"/>
      <c r="D951" s="4"/>
      <c r="E951" s="4"/>
      <c r="F951" s="4"/>
      <c r="G951" s="4"/>
    </row>
    <row r="952" spans="1:7" ht="15.75" customHeight="1" x14ac:dyDescent="0.25">
      <c r="A952" s="4"/>
      <c r="B952" s="4"/>
      <c r="C952" s="4"/>
      <c r="D952" s="4"/>
      <c r="E952" s="4"/>
      <c r="F952" s="4"/>
      <c r="G952" s="4"/>
    </row>
    <row r="953" spans="1:7" ht="15.75" customHeight="1" x14ac:dyDescent="0.25">
      <c r="A953" s="4"/>
      <c r="B953" s="4"/>
      <c r="C953" s="4"/>
      <c r="D953" s="4"/>
      <c r="E953" s="4"/>
      <c r="F953" s="4"/>
      <c r="G953" s="4"/>
    </row>
    <row r="954" spans="1:7" ht="15.75" customHeight="1" x14ac:dyDescent="0.25">
      <c r="A954" s="4"/>
      <c r="B954" s="4"/>
      <c r="C954" s="4"/>
      <c r="D954" s="4"/>
      <c r="E954" s="4"/>
      <c r="F954" s="4"/>
      <c r="G954" s="4"/>
    </row>
    <row r="955" spans="1:7" ht="15.75" customHeight="1" x14ac:dyDescent="0.25">
      <c r="A955" s="4"/>
      <c r="B955" s="4"/>
      <c r="C955" s="4"/>
      <c r="D955" s="4"/>
      <c r="E955" s="4"/>
      <c r="F955" s="4"/>
      <c r="G955" s="4"/>
    </row>
    <row r="956" spans="1:7" ht="15.75" customHeight="1" x14ac:dyDescent="0.25">
      <c r="A956" s="4"/>
      <c r="B956" s="4"/>
      <c r="C956" s="4"/>
      <c r="D956" s="4"/>
      <c r="E956" s="4"/>
      <c r="F956" s="4"/>
      <c r="G956" s="4"/>
    </row>
    <row r="957" spans="1:7" ht="15.75" customHeight="1" x14ac:dyDescent="0.25">
      <c r="A957" s="4"/>
      <c r="B957" s="4"/>
      <c r="C957" s="4"/>
      <c r="D957" s="4"/>
      <c r="E957" s="4"/>
      <c r="F957" s="4"/>
      <c r="G957" s="4"/>
    </row>
    <row r="958" spans="1:7" ht="15.75" customHeight="1" x14ac:dyDescent="0.25">
      <c r="A958" s="4"/>
      <c r="B958" s="4"/>
      <c r="C958" s="4"/>
      <c r="D958" s="4"/>
      <c r="E958" s="4"/>
      <c r="F958" s="4"/>
      <c r="G958" s="4"/>
    </row>
    <row r="959" spans="1:7" ht="15.75" customHeight="1" x14ac:dyDescent="0.25">
      <c r="A959" s="4"/>
      <c r="B959" s="4"/>
      <c r="C959" s="4"/>
      <c r="D959" s="4"/>
      <c r="E959" s="4"/>
      <c r="F959" s="4"/>
      <c r="G959" s="4"/>
    </row>
    <row r="960" spans="1:7" ht="15.75" customHeight="1" x14ac:dyDescent="0.25">
      <c r="A960" s="4"/>
      <c r="B960" s="4"/>
      <c r="C960" s="4"/>
      <c r="D960" s="4"/>
      <c r="E960" s="4"/>
      <c r="F960" s="4"/>
      <c r="G960" s="4"/>
    </row>
    <row r="961" spans="1:7" ht="15.75" customHeight="1" x14ac:dyDescent="0.25">
      <c r="A961" s="4"/>
      <c r="B961" s="4"/>
      <c r="C961" s="4"/>
      <c r="D961" s="4"/>
      <c r="E961" s="4"/>
      <c r="F961" s="4"/>
      <c r="G961" s="4"/>
    </row>
    <row r="962" spans="1:7" ht="15.75" customHeight="1" x14ac:dyDescent="0.25">
      <c r="A962" s="4"/>
      <c r="B962" s="4"/>
      <c r="C962" s="4"/>
      <c r="D962" s="4"/>
      <c r="E962" s="4"/>
      <c r="F962" s="4"/>
      <c r="G962" s="4"/>
    </row>
    <row r="963" spans="1:7" ht="15.75" customHeight="1" x14ac:dyDescent="0.25">
      <c r="A963" s="4"/>
      <c r="B963" s="4"/>
      <c r="C963" s="4"/>
      <c r="D963" s="4"/>
      <c r="E963" s="4"/>
      <c r="F963" s="4"/>
      <c r="G963" s="4"/>
    </row>
    <row r="964" spans="1:7" ht="15.75" customHeight="1" x14ac:dyDescent="0.25">
      <c r="A964" s="4"/>
      <c r="B964" s="4"/>
      <c r="C964" s="4"/>
      <c r="D964" s="4"/>
      <c r="E964" s="4"/>
      <c r="F964" s="4"/>
      <c r="G964" s="4"/>
    </row>
    <row r="965" spans="1:7" ht="15.75" customHeight="1" x14ac:dyDescent="0.25">
      <c r="A965" s="4"/>
      <c r="B965" s="4"/>
      <c r="C965" s="4"/>
      <c r="D965" s="4"/>
      <c r="E965" s="4"/>
      <c r="F965" s="4"/>
      <c r="G965" s="4"/>
    </row>
    <row r="966" spans="1:7" ht="15.75" customHeight="1" x14ac:dyDescent="0.25">
      <c r="A966" s="4"/>
      <c r="B966" s="4"/>
      <c r="C966" s="4"/>
      <c r="D966" s="4"/>
      <c r="E966" s="4"/>
      <c r="F966" s="4"/>
      <c r="G966" s="4"/>
    </row>
    <row r="967" spans="1:7" ht="15.75" customHeight="1" x14ac:dyDescent="0.25">
      <c r="A967" s="4"/>
      <c r="B967" s="4"/>
      <c r="C967" s="4"/>
      <c r="D967" s="4"/>
      <c r="E967" s="4"/>
      <c r="F967" s="4"/>
      <c r="G967" s="4"/>
    </row>
    <row r="968" spans="1:7" ht="15.75" customHeight="1" x14ac:dyDescent="0.25">
      <c r="A968" s="4"/>
      <c r="B968" s="4"/>
      <c r="C968" s="4"/>
      <c r="D968" s="4"/>
      <c r="E968" s="4"/>
      <c r="F968" s="4"/>
      <c r="G968" s="4"/>
    </row>
    <row r="969" spans="1:7" ht="15.75" customHeight="1" x14ac:dyDescent="0.25">
      <c r="A969" s="4"/>
      <c r="B969" s="4"/>
      <c r="C969" s="4"/>
      <c r="D969" s="4"/>
      <c r="E969" s="4"/>
      <c r="F969" s="4"/>
      <c r="G969" s="4"/>
    </row>
    <row r="970" spans="1:7" ht="15.75" customHeight="1" x14ac:dyDescent="0.25">
      <c r="A970" s="4"/>
      <c r="B970" s="4"/>
      <c r="C970" s="4"/>
      <c r="D970" s="4"/>
      <c r="E970" s="4"/>
      <c r="F970" s="4"/>
      <c r="G970" s="4"/>
    </row>
    <row r="971" spans="1:7" ht="15.75" customHeight="1" x14ac:dyDescent="0.25">
      <c r="A971" s="4"/>
      <c r="B971" s="4"/>
      <c r="C971" s="4"/>
      <c r="D971" s="4"/>
      <c r="E971" s="4"/>
      <c r="F971" s="4"/>
      <c r="G971" s="4"/>
    </row>
    <row r="972" spans="1:7" ht="15.75" customHeight="1" x14ac:dyDescent="0.25">
      <c r="A972" s="4"/>
      <c r="B972" s="4"/>
      <c r="C972" s="4"/>
      <c r="D972" s="4"/>
      <c r="E972" s="4"/>
      <c r="F972" s="4"/>
      <c r="G972" s="4"/>
    </row>
    <row r="973" spans="1:7" ht="15.75" customHeight="1" x14ac:dyDescent="0.25">
      <c r="A973" s="4"/>
      <c r="B973" s="4"/>
      <c r="C973" s="4"/>
      <c r="D973" s="4"/>
      <c r="E973" s="4"/>
      <c r="F973" s="4"/>
      <c r="G973" s="4"/>
    </row>
    <row r="974" spans="1:7" ht="15.75" customHeight="1" x14ac:dyDescent="0.25">
      <c r="A974" s="4"/>
      <c r="B974" s="4"/>
      <c r="C974" s="4"/>
      <c r="D974" s="4"/>
      <c r="E974" s="4"/>
      <c r="F974" s="4"/>
      <c r="G974" s="4"/>
    </row>
    <row r="975" spans="1:7" ht="15.75" customHeight="1" x14ac:dyDescent="0.25">
      <c r="A975" s="4"/>
      <c r="B975" s="4"/>
      <c r="C975" s="4"/>
      <c r="D975" s="4"/>
      <c r="E975" s="4"/>
      <c r="F975" s="4"/>
      <c r="G975" s="4"/>
    </row>
    <row r="976" spans="1:7" ht="15.75" customHeight="1" x14ac:dyDescent="0.25">
      <c r="A976" s="4"/>
      <c r="B976" s="4"/>
      <c r="C976" s="4"/>
      <c r="D976" s="4"/>
      <c r="E976" s="4"/>
      <c r="F976" s="4"/>
      <c r="G976" s="4"/>
    </row>
    <row r="977" spans="1:7" ht="15.75" customHeight="1" x14ac:dyDescent="0.25">
      <c r="A977" s="4"/>
      <c r="B977" s="4"/>
      <c r="C977" s="4"/>
      <c r="D977" s="4"/>
      <c r="E977" s="4"/>
      <c r="F977" s="4"/>
      <c r="G977" s="4"/>
    </row>
    <row r="978" spans="1:7" ht="15.75" customHeight="1" x14ac:dyDescent="0.25">
      <c r="A978" s="4"/>
      <c r="B978" s="4"/>
      <c r="C978" s="4"/>
      <c r="D978" s="4"/>
      <c r="E978" s="4"/>
      <c r="F978" s="4"/>
      <c r="G978" s="4"/>
    </row>
    <row r="979" spans="1:7" ht="15.75" customHeight="1" x14ac:dyDescent="0.25">
      <c r="A979" s="4"/>
      <c r="B979" s="4"/>
      <c r="C979" s="4"/>
      <c r="D979" s="4"/>
      <c r="E979" s="4"/>
      <c r="F979" s="4"/>
      <c r="G979" s="4"/>
    </row>
    <row r="980" spans="1:7" ht="15.75" customHeight="1" x14ac:dyDescent="0.25">
      <c r="A980" s="4"/>
      <c r="B980" s="4"/>
      <c r="C980" s="4"/>
      <c r="D980" s="4"/>
      <c r="E980" s="4"/>
      <c r="F980" s="4"/>
      <c r="G980" s="4"/>
    </row>
    <row r="981" spans="1:7" ht="15.75" customHeight="1" x14ac:dyDescent="0.25">
      <c r="A981" s="4"/>
      <c r="B981" s="4"/>
      <c r="C981" s="4"/>
      <c r="D981" s="4"/>
      <c r="E981" s="4"/>
      <c r="F981" s="4"/>
      <c r="G981" s="4"/>
    </row>
    <row r="982" spans="1:7" ht="15.75" customHeight="1" x14ac:dyDescent="0.25">
      <c r="A982" s="4"/>
      <c r="B982" s="4"/>
      <c r="C982" s="4"/>
      <c r="D982" s="4"/>
      <c r="E982" s="4"/>
      <c r="F982" s="4"/>
      <c r="G982" s="4"/>
    </row>
    <row r="983" spans="1:7" ht="15.75" customHeight="1" x14ac:dyDescent="0.25">
      <c r="A983" s="4"/>
      <c r="B983" s="4"/>
      <c r="C983" s="4"/>
      <c r="D983" s="4"/>
      <c r="E983" s="4"/>
      <c r="F983" s="4"/>
      <c r="G983" s="4"/>
    </row>
    <row r="984" spans="1:7" ht="15.75" customHeight="1" x14ac:dyDescent="0.25">
      <c r="A984" s="4"/>
      <c r="B984" s="4"/>
      <c r="C984" s="4"/>
      <c r="D984" s="4"/>
      <c r="E984" s="4"/>
      <c r="F984" s="4"/>
      <c r="G984" s="4"/>
    </row>
    <row r="985" spans="1:7" ht="15.75" customHeight="1" x14ac:dyDescent="0.25">
      <c r="A985" s="4"/>
      <c r="B985" s="4"/>
      <c r="C985" s="4"/>
      <c r="D985" s="4"/>
      <c r="E985" s="4"/>
      <c r="F985" s="4"/>
      <c r="G985" s="4"/>
    </row>
    <row r="986" spans="1:7" ht="15.75" customHeight="1" x14ac:dyDescent="0.25">
      <c r="A986" s="4"/>
      <c r="B986" s="4"/>
      <c r="C986" s="4"/>
      <c r="D986" s="4"/>
      <c r="E986" s="4"/>
      <c r="F986" s="4"/>
      <c r="G986" s="4"/>
    </row>
    <row r="987" spans="1:7" ht="15.75" customHeight="1" x14ac:dyDescent="0.25">
      <c r="A987" s="4"/>
      <c r="B987" s="4"/>
      <c r="C987" s="4"/>
      <c r="D987" s="4"/>
      <c r="E987" s="4"/>
      <c r="F987" s="4"/>
      <c r="G987" s="4"/>
    </row>
    <row r="988" spans="1:7" ht="15.75" customHeight="1" x14ac:dyDescent="0.25">
      <c r="A988" s="4"/>
      <c r="B988" s="4"/>
      <c r="C988" s="4"/>
      <c r="D988" s="4"/>
      <c r="E988" s="4"/>
      <c r="F988" s="4"/>
      <c r="G988" s="4"/>
    </row>
    <row r="989" spans="1:7" ht="15.75" customHeight="1" x14ac:dyDescent="0.25">
      <c r="A989" s="4"/>
      <c r="B989" s="4"/>
      <c r="C989" s="4"/>
      <c r="D989" s="4"/>
      <c r="E989" s="4"/>
      <c r="F989" s="4"/>
      <c r="G989" s="4"/>
    </row>
    <row r="990" spans="1:7" ht="15.75" customHeight="1" x14ac:dyDescent="0.25">
      <c r="A990" s="4"/>
      <c r="B990" s="4"/>
      <c r="C990" s="4"/>
      <c r="D990" s="4"/>
      <c r="E990" s="4"/>
      <c r="F990" s="4"/>
      <c r="G990" s="4"/>
    </row>
    <row r="991" spans="1:7" ht="15.75" customHeight="1" x14ac:dyDescent="0.25">
      <c r="A991" s="4"/>
      <c r="B991" s="4"/>
      <c r="C991" s="4"/>
      <c r="D991" s="4"/>
      <c r="E991" s="4"/>
      <c r="F991" s="4"/>
      <c r="G991" s="4"/>
    </row>
    <row r="992" spans="1:7" ht="15.75" customHeight="1" x14ac:dyDescent="0.25">
      <c r="A992" s="4"/>
      <c r="B992" s="4"/>
      <c r="C992" s="4"/>
      <c r="D992" s="4"/>
      <c r="E992" s="4"/>
      <c r="F992" s="4"/>
      <c r="G992" s="4"/>
    </row>
    <row r="993" spans="1:7" ht="15.75" customHeight="1" x14ac:dyDescent="0.25">
      <c r="A993" s="4"/>
      <c r="B993" s="4"/>
      <c r="C993" s="4"/>
      <c r="D993" s="4"/>
      <c r="E993" s="4"/>
      <c r="F993" s="4"/>
      <c r="G993" s="4"/>
    </row>
    <row r="994" spans="1:7" ht="15.75" customHeight="1" x14ac:dyDescent="0.25">
      <c r="A994" s="4"/>
      <c r="B994" s="4"/>
      <c r="C994" s="4"/>
      <c r="D994" s="4"/>
      <c r="E994" s="4"/>
      <c r="F994" s="4"/>
      <c r="G994" s="4"/>
    </row>
    <row r="995" spans="1:7" ht="15.75" customHeight="1" x14ac:dyDescent="0.25">
      <c r="A995" s="4"/>
      <c r="B995" s="4"/>
      <c r="C995" s="4"/>
      <c r="D995" s="4"/>
      <c r="E995" s="4"/>
      <c r="F995" s="4"/>
      <c r="G995" s="4"/>
    </row>
    <row r="996" spans="1:7" ht="15.75" customHeight="1" x14ac:dyDescent="0.25">
      <c r="A996" s="4"/>
      <c r="B996" s="4"/>
      <c r="C996" s="4"/>
      <c r="D996" s="4"/>
      <c r="E996" s="4"/>
      <c r="F996" s="4"/>
      <c r="G996" s="4"/>
    </row>
    <row r="997" spans="1:7" ht="15.75" customHeight="1" x14ac:dyDescent="0.25">
      <c r="A997" s="4"/>
      <c r="B997" s="4"/>
      <c r="C997" s="4"/>
      <c r="D997" s="4"/>
      <c r="E997" s="4"/>
      <c r="F997" s="4"/>
      <c r="G997" s="4"/>
    </row>
    <row r="998" spans="1:7" ht="15.75" customHeight="1" x14ac:dyDescent="0.25">
      <c r="A998" s="4"/>
      <c r="B998" s="4"/>
      <c r="C998" s="4"/>
      <c r="D998" s="4"/>
      <c r="E998" s="4"/>
      <c r="F998" s="4"/>
      <c r="G998" s="4"/>
    </row>
    <row r="999" spans="1:7" ht="15.75" customHeight="1" x14ac:dyDescent="0.25">
      <c r="A999" s="4"/>
      <c r="B999" s="4"/>
      <c r="C999" s="4"/>
      <c r="D999" s="4"/>
      <c r="E999" s="4"/>
      <c r="F999" s="4"/>
      <c r="G999" s="4"/>
    </row>
    <row r="1000" spans="1:7" ht="15.75" customHeight="1" x14ac:dyDescent="0.25">
      <c r="A1000" s="4"/>
      <c r="B1000" s="4"/>
      <c r="C1000" s="4"/>
      <c r="D1000" s="4"/>
      <c r="E1000" s="4"/>
      <c r="F1000" s="4"/>
      <c r="G1000" s="4"/>
    </row>
  </sheetData>
  <pageMargins left="0.75" right="0.75" top="1" bottom="1"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000"/>
  <sheetViews>
    <sheetView workbookViewId="0"/>
  </sheetViews>
  <sheetFormatPr defaultColWidth="14.42578125" defaultRowHeight="15" customHeight="1" x14ac:dyDescent="0.25"/>
  <cols>
    <col min="1" max="1" width="60" customWidth="1"/>
    <col min="2" max="2" width="24" customWidth="1"/>
    <col min="3" max="3" width="26" customWidth="1"/>
    <col min="4" max="26" width="8.7109375" customWidth="1"/>
  </cols>
  <sheetData>
    <row r="1" spans="1:3" ht="17.25" customHeight="1" x14ac:dyDescent="0.25">
      <c r="A1" s="1" t="s">
        <v>416</v>
      </c>
      <c r="B1" s="4"/>
      <c r="C1" s="4"/>
    </row>
    <row r="2" spans="1:3" ht="31.5" customHeight="1" x14ac:dyDescent="0.25">
      <c r="A2" s="103" t="s">
        <v>417</v>
      </c>
      <c r="B2" s="92"/>
      <c r="C2" s="92"/>
    </row>
    <row r="3" spans="1:3" x14ac:dyDescent="0.25">
      <c r="A3" s="4"/>
      <c r="B3" s="4"/>
      <c r="C3" s="4"/>
    </row>
    <row r="4" spans="1:3" ht="15" customHeight="1" x14ac:dyDescent="0.25">
      <c r="A4" s="14" t="s">
        <v>425</v>
      </c>
      <c r="B4" s="14" t="s">
        <v>426</v>
      </c>
      <c r="C4" s="14" t="s">
        <v>427</v>
      </c>
    </row>
    <row r="5" spans="1:3" ht="15" customHeight="1" x14ac:dyDescent="0.25">
      <c r="A5" s="22" t="s">
        <v>428</v>
      </c>
      <c r="B5" s="34">
        <f>'1_Chi phí mỗi việc'!B25</f>
        <v>1.7690598508328739</v>
      </c>
      <c r="C5" s="32" t="str">
        <f>IF(B5&gt;=0.3,"Đạt","Xem lại")</f>
        <v>Đạt</v>
      </c>
    </row>
    <row r="6" spans="1:3" ht="15" customHeight="1" x14ac:dyDescent="0.25">
      <c r="A6" s="22" t="s">
        <v>430</v>
      </c>
      <c r="B6" s="34">
        <f>'4_Chỉ số mỗi khách'!C7</f>
        <v>0.68773415012594452</v>
      </c>
      <c r="C6" s="32" t="str">
        <f>IF(B6&gt;=0.6,"Đạt","Xem lại")</f>
        <v>Đạt</v>
      </c>
    </row>
    <row r="7" spans="1:3" ht="15" customHeight="1" x14ac:dyDescent="0.25">
      <c r="A7" s="22" t="s">
        <v>431</v>
      </c>
      <c r="B7" s="69">
        <f>'4_Chỉ số mỗi khách'!C11</f>
        <v>10.112239170370371</v>
      </c>
      <c r="C7" s="32" t="str">
        <f>IF(B7&gt;3,"Đạt","Xem lại")</f>
        <v>Đạt</v>
      </c>
    </row>
    <row r="8" spans="1:3" ht="15" customHeight="1" x14ac:dyDescent="0.25">
      <c r="A8" s="22" t="s">
        <v>432</v>
      </c>
      <c r="B8" s="59">
        <f>'4_Chỉ số mỗi khách'!C12</f>
        <v>3.2963355367426965</v>
      </c>
      <c r="C8" s="32" t="str">
        <f>IF(AND(B8&gt;0,B8&lt;12),"Đạt","Xem lại")</f>
        <v>Đạt</v>
      </c>
    </row>
    <row r="9" spans="1:3" ht="15" customHeight="1" x14ac:dyDescent="0.25">
      <c r="A9" s="22" t="s">
        <v>433</v>
      </c>
      <c r="B9" s="32" t="str">
        <f>IF(AND('3_Giả định'!C9&gt;0,'3_Giả định'!C10&gt;0,'3_Giả định'!D9&gt;=1.5*'3_Giả định'!C9,'3_Giả định'!D10&gt;=1.5*'3_Giả định'!C10),"Có","Không")</f>
        <v>Có</v>
      </c>
      <c r="C9" s="32" t="str">
        <f>IF(B9="Có","Đạt","Xem lại")</f>
        <v>Đạt</v>
      </c>
    </row>
    <row r="10" spans="1:3" ht="15" customHeight="1" x14ac:dyDescent="0.25">
      <c r="A10" s="22" t="s">
        <v>434</v>
      </c>
      <c r="B10" s="70">
        <f>'5_Dòng tiền &amp; hiệu quả'!D47</f>
        <v>7</v>
      </c>
      <c r="C10" s="32" t="str">
        <f>IF(B10="Chưa điền","Chưa điền",IF(ISNUMBER(B10),IF(B10&gt;=12,"Đạt","Cần kế hoạch cắt giảm"),"Đạt"))</f>
        <v>Cần kế hoạch cắt giảm</v>
      </c>
    </row>
    <row r="11" spans="1:3" ht="15" customHeight="1" x14ac:dyDescent="0.25">
      <c r="A11" s="22" t="s">
        <v>435</v>
      </c>
      <c r="B11" s="24">
        <f>'5_Dòng tiền &amp; hiệu quả'!C44</f>
        <v>935463001.14868689</v>
      </c>
      <c r="C11" s="32" t="str">
        <f>IF(B11&gt;0,"Đạt","Xem lại")</f>
        <v>Đạt</v>
      </c>
    </row>
    <row r="12" spans="1:3" ht="15" customHeight="1" x14ac:dyDescent="0.25">
      <c r="A12" s="22" t="s">
        <v>436</v>
      </c>
      <c r="B12" s="32" t="str">
        <f>'5_Dòng tiền &amp; hiệu quả'!B66</f>
        <v>Doanh thu bình quân giảm</v>
      </c>
      <c r="C12" s="32" t="str">
        <f>IF(B12="Chưa đủ số liệu","Xem lại","Ghi vào câu 3")</f>
        <v>Ghi vào câu 3</v>
      </c>
    </row>
    <row r="13" spans="1:3" ht="16.5" customHeight="1" x14ac:dyDescent="0.25">
      <c r="A13" s="104" t="s">
        <v>437</v>
      </c>
      <c r="B13" s="92"/>
      <c r="C13" s="92"/>
    </row>
    <row r="14" spans="1:3" ht="48.75" customHeight="1" x14ac:dyDescent="0.25">
      <c r="A14" s="93" t="s">
        <v>438</v>
      </c>
      <c r="B14" s="92"/>
      <c r="C14" s="92"/>
    </row>
    <row r="15" spans="1:3" ht="48" customHeight="1" x14ac:dyDescent="0.25">
      <c r="A15" s="94" t="s">
        <v>676</v>
      </c>
      <c r="B15" s="95"/>
      <c r="C15" s="96"/>
    </row>
    <row r="16" spans="1:3" x14ac:dyDescent="0.25">
      <c r="A16" s="4"/>
      <c r="B16" s="4"/>
      <c r="C16" s="4"/>
    </row>
    <row r="17" spans="1:3" ht="18.75" customHeight="1" x14ac:dyDescent="0.25">
      <c r="A17" s="93" t="s">
        <v>439</v>
      </c>
      <c r="B17" s="92"/>
      <c r="C17" s="92"/>
    </row>
    <row r="18" spans="1:3" ht="48" customHeight="1" x14ac:dyDescent="0.25">
      <c r="A18" s="94" t="s">
        <v>440</v>
      </c>
      <c r="B18" s="95"/>
      <c r="C18" s="96"/>
    </row>
    <row r="19" spans="1:3" x14ac:dyDescent="0.25">
      <c r="A19" s="4"/>
      <c r="B19" s="4"/>
      <c r="C19" s="4"/>
    </row>
    <row r="20" spans="1:3" ht="18.75" customHeight="1" x14ac:dyDescent="0.25">
      <c r="A20" s="93" t="s">
        <v>441</v>
      </c>
      <c r="B20" s="92"/>
      <c r="C20" s="92"/>
    </row>
    <row r="21" spans="1:3" ht="48" customHeight="1" x14ac:dyDescent="0.25">
      <c r="A21" s="94" t="s">
        <v>442</v>
      </c>
      <c r="B21" s="95"/>
      <c r="C21" s="96"/>
    </row>
    <row r="22" spans="1:3" ht="15.75" customHeight="1" x14ac:dyDescent="0.25">
      <c r="A22" s="4"/>
      <c r="B22" s="4"/>
      <c r="C22" s="4"/>
    </row>
    <row r="23" spans="1:3" ht="63.75" customHeight="1" x14ac:dyDescent="0.25">
      <c r="A23" s="93" t="s">
        <v>443</v>
      </c>
      <c r="B23" s="92"/>
      <c r="C23" s="92"/>
    </row>
    <row r="24" spans="1:3" ht="48" customHeight="1" x14ac:dyDescent="0.25">
      <c r="A24" s="94" t="s">
        <v>444</v>
      </c>
      <c r="B24" s="95"/>
      <c r="C24" s="96"/>
    </row>
    <row r="25" spans="1:3" ht="15.75" customHeight="1" x14ac:dyDescent="0.25">
      <c r="A25" s="4"/>
      <c r="B25" s="4"/>
      <c r="C25" s="4"/>
    </row>
    <row r="26" spans="1:3" ht="33.75" customHeight="1" x14ac:dyDescent="0.25">
      <c r="A26" s="93" t="s">
        <v>445</v>
      </c>
      <c r="B26" s="92"/>
      <c r="C26" s="92"/>
    </row>
    <row r="27" spans="1:3" ht="48" customHeight="1" x14ac:dyDescent="0.25">
      <c r="A27" s="94" t="s">
        <v>446</v>
      </c>
      <c r="B27" s="95"/>
      <c r="C27" s="96"/>
    </row>
    <row r="28" spans="1:3" ht="15.75" customHeight="1" x14ac:dyDescent="0.25">
      <c r="A28" s="4"/>
      <c r="B28" s="4"/>
      <c r="C28" s="4"/>
    </row>
    <row r="29" spans="1:3" ht="15.75" customHeight="1" x14ac:dyDescent="0.25">
      <c r="A29" s="4"/>
      <c r="B29" s="4"/>
      <c r="C29" s="4"/>
    </row>
    <row r="30" spans="1:3" ht="15.75" customHeight="1" x14ac:dyDescent="0.25">
      <c r="A30" s="4"/>
      <c r="B30" s="4"/>
      <c r="C30" s="4"/>
    </row>
    <row r="31" spans="1:3" ht="15.75" customHeight="1" x14ac:dyDescent="0.25">
      <c r="A31" s="4"/>
      <c r="B31" s="4"/>
      <c r="C31" s="4"/>
    </row>
    <row r="32" spans="1:3" ht="15.75" customHeight="1" x14ac:dyDescent="0.25">
      <c r="A32" s="4"/>
      <c r="B32" s="4"/>
      <c r="C32" s="4"/>
    </row>
    <row r="33" spans="1:3" ht="15.75" customHeight="1" x14ac:dyDescent="0.25">
      <c r="A33" s="4"/>
      <c r="B33" s="4"/>
      <c r="C33" s="4"/>
    </row>
    <row r="34" spans="1:3" ht="15.75" customHeight="1" x14ac:dyDescent="0.25">
      <c r="A34" s="4"/>
      <c r="B34" s="4"/>
      <c r="C34" s="4"/>
    </row>
    <row r="35" spans="1:3" ht="15.75" customHeight="1" x14ac:dyDescent="0.25">
      <c r="A35" s="4"/>
      <c r="B35" s="4"/>
      <c r="C35" s="4"/>
    </row>
    <row r="36" spans="1:3" ht="15.75" customHeight="1" x14ac:dyDescent="0.25">
      <c r="A36" s="4"/>
      <c r="B36" s="4"/>
      <c r="C36" s="4"/>
    </row>
    <row r="37" spans="1:3" ht="15.75" customHeight="1" x14ac:dyDescent="0.25">
      <c r="A37" s="4"/>
      <c r="B37" s="4"/>
      <c r="C37" s="4"/>
    </row>
    <row r="38" spans="1:3" ht="15.75" customHeight="1" x14ac:dyDescent="0.25">
      <c r="A38" s="4"/>
      <c r="B38" s="4"/>
      <c r="C38" s="4"/>
    </row>
    <row r="39" spans="1:3" ht="15.75" customHeight="1" x14ac:dyDescent="0.25">
      <c r="A39" s="4"/>
      <c r="B39" s="4"/>
      <c r="C39" s="4"/>
    </row>
    <row r="40" spans="1:3" ht="15.75" customHeight="1" x14ac:dyDescent="0.25">
      <c r="A40" s="4"/>
      <c r="B40" s="4"/>
      <c r="C40" s="4"/>
    </row>
    <row r="41" spans="1:3" ht="15.75" customHeight="1" x14ac:dyDescent="0.25">
      <c r="A41" s="4"/>
      <c r="B41" s="4"/>
      <c r="C41" s="4"/>
    </row>
    <row r="42" spans="1:3" ht="15.75" customHeight="1" x14ac:dyDescent="0.25">
      <c r="A42" s="4"/>
      <c r="B42" s="4"/>
      <c r="C42" s="4"/>
    </row>
    <row r="43" spans="1:3" ht="15.75" customHeight="1" x14ac:dyDescent="0.25">
      <c r="A43" s="4"/>
      <c r="B43" s="4"/>
      <c r="C43" s="4"/>
    </row>
    <row r="44" spans="1:3" ht="15.75" customHeight="1" x14ac:dyDescent="0.25">
      <c r="A44" s="4"/>
      <c r="B44" s="4"/>
      <c r="C44" s="4"/>
    </row>
    <row r="45" spans="1:3" ht="15.75" customHeight="1" x14ac:dyDescent="0.25">
      <c r="A45" s="4"/>
      <c r="B45" s="4"/>
      <c r="C45" s="4"/>
    </row>
    <row r="46" spans="1:3" ht="15.75" customHeight="1" x14ac:dyDescent="0.25">
      <c r="A46" s="4"/>
      <c r="B46" s="4"/>
      <c r="C46" s="4"/>
    </row>
    <row r="47" spans="1:3" ht="15.75" customHeight="1" x14ac:dyDescent="0.25">
      <c r="A47" s="4"/>
      <c r="B47" s="4"/>
      <c r="C47" s="4"/>
    </row>
    <row r="48" spans="1:3" ht="15.75" customHeight="1" x14ac:dyDescent="0.25">
      <c r="A48" s="4"/>
      <c r="B48" s="4"/>
      <c r="C48" s="4"/>
    </row>
    <row r="49" spans="1:3" ht="15.75" customHeight="1" x14ac:dyDescent="0.25">
      <c r="A49" s="4"/>
      <c r="B49" s="4"/>
      <c r="C49" s="4"/>
    </row>
    <row r="50" spans="1:3" ht="15.75" customHeight="1" x14ac:dyDescent="0.25">
      <c r="A50" s="4"/>
      <c r="B50" s="4"/>
      <c r="C50" s="4"/>
    </row>
    <row r="51" spans="1:3" ht="15.75" customHeight="1" x14ac:dyDescent="0.25">
      <c r="A51" s="4"/>
      <c r="B51" s="4"/>
      <c r="C51" s="4"/>
    </row>
    <row r="52" spans="1:3" ht="15.75" customHeight="1" x14ac:dyDescent="0.25">
      <c r="A52" s="4"/>
      <c r="B52" s="4"/>
      <c r="C52" s="4"/>
    </row>
    <row r="53" spans="1:3" ht="15.75" customHeight="1" x14ac:dyDescent="0.25">
      <c r="A53" s="4"/>
      <c r="B53" s="4"/>
      <c r="C53" s="4"/>
    </row>
    <row r="54" spans="1:3" ht="15.75" customHeight="1" x14ac:dyDescent="0.25">
      <c r="A54" s="4"/>
      <c r="B54" s="4"/>
      <c r="C54" s="4"/>
    </row>
    <row r="55" spans="1:3" ht="15.75" customHeight="1" x14ac:dyDescent="0.25">
      <c r="A55" s="4"/>
      <c r="B55" s="4"/>
      <c r="C55" s="4"/>
    </row>
    <row r="56" spans="1:3" ht="15.75" customHeight="1" x14ac:dyDescent="0.25">
      <c r="A56" s="4"/>
      <c r="B56" s="4"/>
      <c r="C56" s="4"/>
    </row>
    <row r="57" spans="1:3" ht="15.75" customHeight="1" x14ac:dyDescent="0.25">
      <c r="A57" s="4"/>
      <c r="B57" s="4"/>
      <c r="C57" s="4"/>
    </row>
    <row r="58" spans="1:3" ht="15.75" customHeight="1" x14ac:dyDescent="0.25">
      <c r="A58" s="4"/>
      <c r="B58" s="4"/>
      <c r="C58" s="4"/>
    </row>
    <row r="59" spans="1:3" ht="15.75" customHeight="1" x14ac:dyDescent="0.25">
      <c r="A59" s="4"/>
      <c r="B59" s="4"/>
      <c r="C59" s="4"/>
    </row>
    <row r="60" spans="1:3" ht="15.75" customHeight="1" x14ac:dyDescent="0.25">
      <c r="A60" s="4"/>
      <c r="B60" s="4"/>
      <c r="C60" s="4"/>
    </row>
    <row r="61" spans="1:3" ht="15.75" customHeight="1" x14ac:dyDescent="0.25">
      <c r="A61" s="4"/>
      <c r="B61" s="4"/>
      <c r="C61" s="4"/>
    </row>
    <row r="62" spans="1:3" ht="15.75" customHeight="1" x14ac:dyDescent="0.25">
      <c r="A62" s="4"/>
      <c r="B62" s="4"/>
      <c r="C62" s="4"/>
    </row>
    <row r="63" spans="1:3" ht="15.75" customHeight="1" x14ac:dyDescent="0.25">
      <c r="A63" s="4"/>
      <c r="B63" s="4"/>
      <c r="C63" s="4"/>
    </row>
    <row r="64" spans="1:3" ht="15.75" customHeight="1" x14ac:dyDescent="0.25">
      <c r="A64" s="4"/>
      <c r="B64" s="4"/>
      <c r="C64" s="4"/>
    </row>
    <row r="65" spans="1:3" ht="15.75" customHeight="1" x14ac:dyDescent="0.25">
      <c r="A65" s="4"/>
      <c r="B65" s="4"/>
      <c r="C65" s="4"/>
    </row>
    <row r="66" spans="1:3" ht="15.75" customHeight="1" x14ac:dyDescent="0.25">
      <c r="A66" s="4"/>
      <c r="B66" s="4"/>
      <c r="C66" s="4"/>
    </row>
    <row r="67" spans="1:3" ht="15.75" customHeight="1" x14ac:dyDescent="0.25">
      <c r="A67" s="4"/>
      <c r="B67" s="4"/>
      <c r="C67" s="4"/>
    </row>
    <row r="68" spans="1:3" ht="15.75" customHeight="1" x14ac:dyDescent="0.25">
      <c r="A68" s="4"/>
      <c r="B68" s="4"/>
      <c r="C68" s="4"/>
    </row>
    <row r="69" spans="1:3" ht="15.75" customHeight="1" x14ac:dyDescent="0.25">
      <c r="A69" s="4"/>
      <c r="B69" s="4"/>
      <c r="C69" s="4"/>
    </row>
    <row r="70" spans="1:3" ht="15.75" customHeight="1" x14ac:dyDescent="0.25">
      <c r="A70" s="4"/>
      <c r="B70" s="4"/>
      <c r="C70" s="4"/>
    </row>
    <row r="71" spans="1:3" ht="15.75" customHeight="1" x14ac:dyDescent="0.25">
      <c r="A71" s="4"/>
      <c r="B71" s="4"/>
      <c r="C71" s="4"/>
    </row>
    <row r="72" spans="1:3" ht="15.75" customHeight="1" x14ac:dyDescent="0.25">
      <c r="A72" s="4"/>
      <c r="B72" s="4"/>
      <c r="C72" s="4"/>
    </row>
    <row r="73" spans="1:3" ht="15.75" customHeight="1" x14ac:dyDescent="0.25">
      <c r="A73" s="4"/>
      <c r="B73" s="4"/>
      <c r="C73" s="4"/>
    </row>
    <row r="74" spans="1:3" ht="15.75" customHeight="1" x14ac:dyDescent="0.25">
      <c r="A74" s="4"/>
      <c r="B74" s="4"/>
      <c r="C74" s="4"/>
    </row>
    <row r="75" spans="1:3" ht="15.75" customHeight="1" x14ac:dyDescent="0.25">
      <c r="A75" s="4"/>
      <c r="B75" s="4"/>
      <c r="C75" s="4"/>
    </row>
    <row r="76" spans="1:3" ht="15.75" customHeight="1" x14ac:dyDescent="0.25">
      <c r="A76" s="4"/>
      <c r="B76" s="4"/>
      <c r="C76" s="4"/>
    </row>
    <row r="77" spans="1:3" ht="15.75" customHeight="1" x14ac:dyDescent="0.25">
      <c r="A77" s="4"/>
      <c r="B77" s="4"/>
      <c r="C77" s="4"/>
    </row>
    <row r="78" spans="1:3" ht="15.75" customHeight="1" x14ac:dyDescent="0.25">
      <c r="A78" s="4"/>
      <c r="B78" s="4"/>
      <c r="C78" s="4"/>
    </row>
    <row r="79" spans="1:3" ht="15.75" customHeight="1" x14ac:dyDescent="0.25">
      <c r="A79" s="4"/>
      <c r="B79" s="4"/>
      <c r="C79" s="4"/>
    </row>
    <row r="80" spans="1:3" ht="15.75" customHeight="1" x14ac:dyDescent="0.25">
      <c r="A80" s="4"/>
      <c r="B80" s="4"/>
      <c r="C80" s="4"/>
    </row>
    <row r="81" spans="1:3" ht="15.75" customHeight="1" x14ac:dyDescent="0.25">
      <c r="A81" s="4"/>
      <c r="B81" s="4"/>
      <c r="C81" s="4"/>
    </row>
    <row r="82" spans="1:3" ht="15.75" customHeight="1" x14ac:dyDescent="0.25">
      <c r="A82" s="4"/>
      <c r="B82" s="4"/>
      <c r="C82" s="4"/>
    </row>
    <row r="83" spans="1:3" ht="15.75" customHeight="1" x14ac:dyDescent="0.25">
      <c r="A83" s="4"/>
      <c r="B83" s="4"/>
      <c r="C83" s="4"/>
    </row>
    <row r="84" spans="1:3" ht="15.75" customHeight="1" x14ac:dyDescent="0.25">
      <c r="A84" s="4"/>
      <c r="B84" s="4"/>
      <c r="C84" s="4"/>
    </row>
    <row r="85" spans="1:3" ht="15.75" customHeight="1" x14ac:dyDescent="0.25">
      <c r="A85" s="4"/>
      <c r="B85" s="4"/>
      <c r="C85" s="4"/>
    </row>
    <row r="86" spans="1:3" ht="15.75" customHeight="1" x14ac:dyDescent="0.25">
      <c r="A86" s="4"/>
      <c r="B86" s="4"/>
      <c r="C86" s="4"/>
    </row>
    <row r="87" spans="1:3" ht="15.75" customHeight="1" x14ac:dyDescent="0.25">
      <c r="A87" s="4"/>
      <c r="B87" s="4"/>
      <c r="C87" s="4"/>
    </row>
    <row r="88" spans="1:3" ht="15.75" customHeight="1" x14ac:dyDescent="0.25">
      <c r="A88" s="4"/>
      <c r="B88" s="4"/>
      <c r="C88" s="4"/>
    </row>
    <row r="89" spans="1:3" ht="15.75" customHeight="1" x14ac:dyDescent="0.25">
      <c r="A89" s="4"/>
      <c r="B89" s="4"/>
      <c r="C89" s="4"/>
    </row>
    <row r="90" spans="1:3" ht="15.75" customHeight="1" x14ac:dyDescent="0.25">
      <c r="A90" s="4"/>
      <c r="B90" s="4"/>
      <c r="C90" s="4"/>
    </row>
    <row r="91" spans="1:3" ht="15.75" customHeight="1" x14ac:dyDescent="0.25">
      <c r="A91" s="4"/>
      <c r="B91" s="4"/>
      <c r="C91" s="4"/>
    </row>
    <row r="92" spans="1:3" ht="15.75" customHeight="1" x14ac:dyDescent="0.25">
      <c r="A92" s="4"/>
      <c r="B92" s="4"/>
      <c r="C92" s="4"/>
    </row>
    <row r="93" spans="1:3" ht="15.75" customHeight="1" x14ac:dyDescent="0.25">
      <c r="A93" s="4"/>
      <c r="B93" s="4"/>
      <c r="C93" s="4"/>
    </row>
    <row r="94" spans="1:3" ht="15.75" customHeight="1" x14ac:dyDescent="0.25">
      <c r="A94" s="4"/>
      <c r="B94" s="4"/>
      <c r="C94" s="4"/>
    </row>
    <row r="95" spans="1:3" ht="15.75" customHeight="1" x14ac:dyDescent="0.25">
      <c r="A95" s="4"/>
      <c r="B95" s="4"/>
      <c r="C95" s="4"/>
    </row>
    <row r="96" spans="1:3" ht="15.75" customHeight="1" x14ac:dyDescent="0.25">
      <c r="A96" s="4"/>
      <c r="B96" s="4"/>
      <c r="C96" s="4"/>
    </row>
    <row r="97" spans="1:3" ht="15.75" customHeight="1" x14ac:dyDescent="0.25">
      <c r="A97" s="4"/>
      <c r="B97" s="4"/>
      <c r="C97" s="4"/>
    </row>
    <row r="98" spans="1:3" ht="15.75" customHeight="1" x14ac:dyDescent="0.25">
      <c r="A98" s="4"/>
      <c r="B98" s="4"/>
      <c r="C98" s="4"/>
    </row>
    <row r="99" spans="1:3" ht="15.75" customHeight="1" x14ac:dyDescent="0.25">
      <c r="A99" s="4"/>
      <c r="B99" s="4"/>
      <c r="C99" s="4"/>
    </row>
    <row r="100" spans="1:3" ht="15.75" customHeight="1" x14ac:dyDescent="0.25">
      <c r="A100" s="4"/>
      <c r="B100" s="4"/>
      <c r="C100" s="4"/>
    </row>
    <row r="101" spans="1:3" ht="15.75" customHeight="1" x14ac:dyDescent="0.25">
      <c r="A101" s="4"/>
      <c r="B101" s="4"/>
      <c r="C101" s="4"/>
    </row>
    <row r="102" spans="1:3" ht="15.75" customHeight="1" x14ac:dyDescent="0.25">
      <c r="A102" s="4"/>
      <c r="B102" s="4"/>
      <c r="C102" s="4"/>
    </row>
    <row r="103" spans="1:3" ht="15.75" customHeight="1" x14ac:dyDescent="0.25">
      <c r="A103" s="4"/>
      <c r="B103" s="4"/>
      <c r="C103" s="4"/>
    </row>
    <row r="104" spans="1:3" ht="15.75" customHeight="1" x14ac:dyDescent="0.25">
      <c r="A104" s="4"/>
      <c r="B104" s="4"/>
      <c r="C104" s="4"/>
    </row>
    <row r="105" spans="1:3" ht="15.75" customHeight="1" x14ac:dyDescent="0.25">
      <c r="A105" s="4"/>
      <c r="B105" s="4"/>
      <c r="C105" s="4"/>
    </row>
    <row r="106" spans="1:3" ht="15.75" customHeight="1" x14ac:dyDescent="0.25">
      <c r="A106" s="4"/>
      <c r="B106" s="4"/>
      <c r="C106" s="4"/>
    </row>
    <row r="107" spans="1:3" ht="15.75" customHeight="1" x14ac:dyDescent="0.25">
      <c r="A107" s="4"/>
      <c r="B107" s="4"/>
      <c r="C107" s="4"/>
    </row>
    <row r="108" spans="1:3" ht="15.75" customHeight="1" x14ac:dyDescent="0.25">
      <c r="A108" s="4"/>
      <c r="B108" s="4"/>
      <c r="C108" s="4"/>
    </row>
    <row r="109" spans="1:3" ht="15.75" customHeight="1" x14ac:dyDescent="0.25">
      <c r="A109" s="4"/>
      <c r="B109" s="4"/>
      <c r="C109" s="4"/>
    </row>
    <row r="110" spans="1:3" ht="15.75" customHeight="1" x14ac:dyDescent="0.25">
      <c r="A110" s="4"/>
      <c r="B110" s="4"/>
      <c r="C110" s="4"/>
    </row>
    <row r="111" spans="1:3" ht="15.75" customHeight="1" x14ac:dyDescent="0.25">
      <c r="A111" s="4"/>
      <c r="B111" s="4"/>
      <c r="C111" s="4"/>
    </row>
    <row r="112" spans="1:3" ht="15.75" customHeight="1" x14ac:dyDescent="0.25">
      <c r="A112" s="4"/>
      <c r="B112" s="4"/>
      <c r="C112" s="4"/>
    </row>
    <row r="113" spans="1:3" ht="15.75" customHeight="1" x14ac:dyDescent="0.25">
      <c r="A113" s="4"/>
      <c r="B113" s="4"/>
      <c r="C113" s="4"/>
    </row>
    <row r="114" spans="1:3" ht="15.75" customHeight="1" x14ac:dyDescent="0.25">
      <c r="A114" s="4"/>
      <c r="B114" s="4"/>
      <c r="C114" s="4"/>
    </row>
    <row r="115" spans="1:3" ht="15.75" customHeight="1" x14ac:dyDescent="0.25">
      <c r="A115" s="4"/>
      <c r="B115" s="4"/>
      <c r="C115" s="4"/>
    </row>
    <row r="116" spans="1:3" ht="15.75" customHeight="1" x14ac:dyDescent="0.25">
      <c r="A116" s="4"/>
      <c r="B116" s="4"/>
      <c r="C116" s="4"/>
    </row>
    <row r="117" spans="1:3" ht="15.75" customHeight="1" x14ac:dyDescent="0.25">
      <c r="A117" s="4"/>
      <c r="B117" s="4"/>
      <c r="C117" s="4"/>
    </row>
    <row r="118" spans="1:3" ht="15.75" customHeight="1" x14ac:dyDescent="0.25">
      <c r="A118" s="4"/>
      <c r="B118" s="4"/>
      <c r="C118" s="4"/>
    </row>
    <row r="119" spans="1:3" ht="15.75" customHeight="1" x14ac:dyDescent="0.25">
      <c r="A119" s="4"/>
      <c r="B119" s="4"/>
      <c r="C119" s="4"/>
    </row>
    <row r="120" spans="1:3" ht="15.75" customHeight="1" x14ac:dyDescent="0.25">
      <c r="A120" s="4"/>
      <c r="B120" s="4"/>
      <c r="C120" s="4"/>
    </row>
    <row r="121" spans="1:3" ht="15.75" customHeight="1" x14ac:dyDescent="0.25">
      <c r="A121" s="4"/>
      <c r="B121" s="4"/>
      <c r="C121" s="4"/>
    </row>
    <row r="122" spans="1:3" ht="15.75" customHeight="1" x14ac:dyDescent="0.25">
      <c r="A122" s="4"/>
      <c r="B122" s="4"/>
      <c r="C122" s="4"/>
    </row>
    <row r="123" spans="1:3" ht="15.75" customHeight="1" x14ac:dyDescent="0.25">
      <c r="A123" s="4"/>
      <c r="B123" s="4"/>
      <c r="C123" s="4"/>
    </row>
    <row r="124" spans="1:3" ht="15.75" customHeight="1" x14ac:dyDescent="0.25">
      <c r="A124" s="4"/>
      <c r="B124" s="4"/>
      <c r="C124" s="4"/>
    </row>
    <row r="125" spans="1:3" ht="15.75" customHeight="1" x14ac:dyDescent="0.25">
      <c r="A125" s="4"/>
      <c r="B125" s="4"/>
      <c r="C125" s="4"/>
    </row>
    <row r="126" spans="1:3" ht="15.75" customHeight="1" x14ac:dyDescent="0.25">
      <c r="A126" s="4"/>
      <c r="B126" s="4"/>
      <c r="C126" s="4"/>
    </row>
    <row r="127" spans="1:3" ht="15.75" customHeight="1" x14ac:dyDescent="0.25">
      <c r="A127" s="4"/>
      <c r="B127" s="4"/>
      <c r="C127" s="4"/>
    </row>
    <row r="128" spans="1:3" ht="15.75" customHeight="1" x14ac:dyDescent="0.25">
      <c r="A128" s="4"/>
      <c r="B128" s="4"/>
      <c r="C128" s="4"/>
    </row>
    <row r="129" spans="1:3" ht="15.75" customHeight="1" x14ac:dyDescent="0.25">
      <c r="A129" s="4"/>
      <c r="B129" s="4"/>
      <c r="C129" s="4"/>
    </row>
    <row r="130" spans="1:3" ht="15.75" customHeight="1" x14ac:dyDescent="0.25">
      <c r="A130" s="4"/>
      <c r="B130" s="4"/>
      <c r="C130" s="4"/>
    </row>
    <row r="131" spans="1:3" ht="15.75" customHeight="1" x14ac:dyDescent="0.25">
      <c r="A131" s="4"/>
      <c r="B131" s="4"/>
      <c r="C131" s="4"/>
    </row>
    <row r="132" spans="1:3" ht="15.75" customHeight="1" x14ac:dyDescent="0.25">
      <c r="A132" s="4"/>
      <c r="B132" s="4"/>
      <c r="C132" s="4"/>
    </row>
    <row r="133" spans="1:3" ht="15.75" customHeight="1" x14ac:dyDescent="0.25">
      <c r="A133" s="4"/>
      <c r="B133" s="4"/>
      <c r="C133" s="4"/>
    </row>
    <row r="134" spans="1:3" ht="15.75" customHeight="1" x14ac:dyDescent="0.25">
      <c r="A134" s="4"/>
      <c r="B134" s="4"/>
      <c r="C134" s="4"/>
    </row>
    <row r="135" spans="1:3" ht="15.75" customHeight="1" x14ac:dyDescent="0.25">
      <c r="A135" s="4"/>
      <c r="B135" s="4"/>
      <c r="C135" s="4"/>
    </row>
    <row r="136" spans="1:3" ht="15.75" customHeight="1" x14ac:dyDescent="0.25">
      <c r="A136" s="4"/>
      <c r="B136" s="4"/>
      <c r="C136" s="4"/>
    </row>
    <row r="137" spans="1:3" ht="15.75" customHeight="1" x14ac:dyDescent="0.25">
      <c r="A137" s="4"/>
      <c r="B137" s="4"/>
      <c r="C137" s="4"/>
    </row>
    <row r="138" spans="1:3" ht="15.75" customHeight="1" x14ac:dyDescent="0.25">
      <c r="A138" s="4"/>
      <c r="B138" s="4"/>
      <c r="C138" s="4"/>
    </row>
    <row r="139" spans="1:3" ht="15.75" customHeight="1" x14ac:dyDescent="0.25">
      <c r="A139" s="4"/>
      <c r="B139" s="4"/>
      <c r="C139" s="4"/>
    </row>
    <row r="140" spans="1:3" ht="15.75" customHeight="1" x14ac:dyDescent="0.25">
      <c r="A140" s="4"/>
      <c r="B140" s="4"/>
      <c r="C140" s="4"/>
    </row>
    <row r="141" spans="1:3" ht="15.75" customHeight="1" x14ac:dyDescent="0.25">
      <c r="A141" s="4"/>
      <c r="B141" s="4"/>
      <c r="C141" s="4"/>
    </row>
    <row r="142" spans="1:3" ht="15.75" customHeight="1" x14ac:dyDescent="0.25">
      <c r="A142" s="4"/>
      <c r="B142" s="4"/>
      <c r="C142" s="4"/>
    </row>
    <row r="143" spans="1:3" ht="15.75" customHeight="1" x14ac:dyDescent="0.25">
      <c r="A143" s="4"/>
      <c r="B143" s="4"/>
      <c r="C143" s="4"/>
    </row>
    <row r="144" spans="1:3" ht="15.75" customHeight="1" x14ac:dyDescent="0.25">
      <c r="A144" s="4"/>
      <c r="B144" s="4"/>
      <c r="C144" s="4"/>
    </row>
    <row r="145" spans="1:3" ht="15.75" customHeight="1" x14ac:dyDescent="0.25">
      <c r="A145" s="4"/>
      <c r="B145" s="4"/>
      <c r="C145" s="4"/>
    </row>
    <row r="146" spans="1:3" ht="15.75" customHeight="1" x14ac:dyDescent="0.25">
      <c r="A146" s="4"/>
      <c r="B146" s="4"/>
      <c r="C146" s="4"/>
    </row>
    <row r="147" spans="1:3" ht="15.75" customHeight="1" x14ac:dyDescent="0.25">
      <c r="A147" s="4"/>
      <c r="B147" s="4"/>
      <c r="C147" s="4"/>
    </row>
    <row r="148" spans="1:3" ht="15.75" customHeight="1" x14ac:dyDescent="0.25">
      <c r="A148" s="4"/>
      <c r="B148" s="4"/>
      <c r="C148" s="4"/>
    </row>
    <row r="149" spans="1:3" ht="15.75" customHeight="1" x14ac:dyDescent="0.25">
      <c r="A149" s="4"/>
      <c r="B149" s="4"/>
      <c r="C149" s="4"/>
    </row>
    <row r="150" spans="1:3" ht="15.75" customHeight="1" x14ac:dyDescent="0.25">
      <c r="A150" s="4"/>
      <c r="B150" s="4"/>
      <c r="C150" s="4"/>
    </row>
    <row r="151" spans="1:3" ht="15.75" customHeight="1" x14ac:dyDescent="0.25">
      <c r="A151" s="4"/>
      <c r="B151" s="4"/>
      <c r="C151" s="4"/>
    </row>
    <row r="152" spans="1:3" ht="15.75" customHeight="1" x14ac:dyDescent="0.25">
      <c r="A152" s="4"/>
      <c r="B152" s="4"/>
      <c r="C152" s="4"/>
    </row>
    <row r="153" spans="1:3" ht="15.75" customHeight="1" x14ac:dyDescent="0.25">
      <c r="A153" s="4"/>
      <c r="B153" s="4"/>
      <c r="C153" s="4"/>
    </row>
    <row r="154" spans="1:3" ht="15.75" customHeight="1" x14ac:dyDescent="0.25">
      <c r="A154" s="4"/>
      <c r="B154" s="4"/>
      <c r="C154" s="4"/>
    </row>
    <row r="155" spans="1:3" ht="15.75" customHeight="1" x14ac:dyDescent="0.25">
      <c r="A155" s="4"/>
      <c r="B155" s="4"/>
      <c r="C155" s="4"/>
    </row>
    <row r="156" spans="1:3" ht="15.75" customHeight="1" x14ac:dyDescent="0.25">
      <c r="A156" s="4"/>
      <c r="B156" s="4"/>
      <c r="C156" s="4"/>
    </row>
    <row r="157" spans="1:3" ht="15.75" customHeight="1" x14ac:dyDescent="0.25">
      <c r="A157" s="4"/>
      <c r="B157" s="4"/>
      <c r="C157" s="4"/>
    </row>
    <row r="158" spans="1:3" ht="15.75" customHeight="1" x14ac:dyDescent="0.25">
      <c r="A158" s="4"/>
      <c r="B158" s="4"/>
      <c r="C158" s="4"/>
    </row>
    <row r="159" spans="1:3" ht="15.75" customHeight="1" x14ac:dyDescent="0.25">
      <c r="A159" s="4"/>
      <c r="B159" s="4"/>
      <c r="C159" s="4"/>
    </row>
    <row r="160" spans="1:3" ht="15.75" customHeight="1" x14ac:dyDescent="0.25">
      <c r="A160" s="4"/>
      <c r="B160" s="4"/>
      <c r="C160" s="4"/>
    </row>
    <row r="161" spans="1:3" ht="15.75" customHeight="1" x14ac:dyDescent="0.25">
      <c r="A161" s="4"/>
      <c r="B161" s="4"/>
      <c r="C161" s="4"/>
    </row>
    <row r="162" spans="1:3" ht="15.75" customHeight="1" x14ac:dyDescent="0.25">
      <c r="A162" s="4"/>
      <c r="B162" s="4"/>
      <c r="C162" s="4"/>
    </row>
    <row r="163" spans="1:3" ht="15.75" customHeight="1" x14ac:dyDescent="0.25">
      <c r="A163" s="4"/>
      <c r="B163" s="4"/>
      <c r="C163" s="4"/>
    </row>
    <row r="164" spans="1:3" ht="15.75" customHeight="1" x14ac:dyDescent="0.25">
      <c r="A164" s="4"/>
      <c r="B164" s="4"/>
      <c r="C164" s="4"/>
    </row>
    <row r="165" spans="1:3" ht="15.75" customHeight="1" x14ac:dyDescent="0.25">
      <c r="A165" s="4"/>
      <c r="B165" s="4"/>
      <c r="C165" s="4"/>
    </row>
    <row r="166" spans="1:3" ht="15.75" customHeight="1" x14ac:dyDescent="0.25">
      <c r="A166" s="4"/>
      <c r="B166" s="4"/>
      <c r="C166" s="4"/>
    </row>
    <row r="167" spans="1:3" ht="15.75" customHeight="1" x14ac:dyDescent="0.25">
      <c r="A167" s="4"/>
      <c r="B167" s="4"/>
      <c r="C167" s="4"/>
    </row>
    <row r="168" spans="1:3" ht="15.75" customHeight="1" x14ac:dyDescent="0.25">
      <c r="A168" s="4"/>
      <c r="B168" s="4"/>
      <c r="C168" s="4"/>
    </row>
    <row r="169" spans="1:3" ht="15.75" customHeight="1" x14ac:dyDescent="0.25">
      <c r="A169" s="4"/>
      <c r="B169" s="4"/>
      <c r="C169" s="4"/>
    </row>
    <row r="170" spans="1:3" ht="15.75" customHeight="1" x14ac:dyDescent="0.25">
      <c r="A170" s="4"/>
      <c r="B170" s="4"/>
      <c r="C170" s="4"/>
    </row>
    <row r="171" spans="1:3" ht="15.75" customHeight="1" x14ac:dyDescent="0.25">
      <c r="A171" s="4"/>
      <c r="B171" s="4"/>
      <c r="C171" s="4"/>
    </row>
    <row r="172" spans="1:3" ht="15.75" customHeight="1" x14ac:dyDescent="0.25">
      <c r="A172" s="4"/>
      <c r="B172" s="4"/>
      <c r="C172" s="4"/>
    </row>
    <row r="173" spans="1:3" ht="15.75" customHeight="1" x14ac:dyDescent="0.25">
      <c r="A173" s="4"/>
      <c r="B173" s="4"/>
      <c r="C173" s="4"/>
    </row>
    <row r="174" spans="1:3" ht="15.75" customHeight="1" x14ac:dyDescent="0.25">
      <c r="A174" s="4"/>
      <c r="B174" s="4"/>
      <c r="C174" s="4"/>
    </row>
    <row r="175" spans="1:3" ht="15.75" customHeight="1" x14ac:dyDescent="0.25">
      <c r="A175" s="4"/>
      <c r="B175" s="4"/>
      <c r="C175" s="4"/>
    </row>
    <row r="176" spans="1:3" ht="15.75" customHeight="1" x14ac:dyDescent="0.25">
      <c r="A176" s="4"/>
      <c r="B176" s="4"/>
      <c r="C176" s="4"/>
    </row>
    <row r="177" spans="1:3" ht="15.75" customHeight="1" x14ac:dyDescent="0.25">
      <c r="A177" s="4"/>
      <c r="B177" s="4"/>
      <c r="C177" s="4"/>
    </row>
    <row r="178" spans="1:3" ht="15.75" customHeight="1" x14ac:dyDescent="0.25">
      <c r="A178" s="4"/>
      <c r="B178" s="4"/>
      <c r="C178" s="4"/>
    </row>
    <row r="179" spans="1:3" ht="15.75" customHeight="1" x14ac:dyDescent="0.25">
      <c r="A179" s="4"/>
      <c r="B179" s="4"/>
      <c r="C179" s="4"/>
    </row>
    <row r="180" spans="1:3" ht="15.75" customHeight="1" x14ac:dyDescent="0.25">
      <c r="A180" s="4"/>
      <c r="B180" s="4"/>
      <c r="C180" s="4"/>
    </row>
    <row r="181" spans="1:3" ht="15.75" customHeight="1" x14ac:dyDescent="0.25">
      <c r="A181" s="4"/>
      <c r="B181" s="4"/>
      <c r="C181" s="4"/>
    </row>
    <row r="182" spans="1:3" ht="15.75" customHeight="1" x14ac:dyDescent="0.25">
      <c r="A182" s="4"/>
      <c r="B182" s="4"/>
      <c r="C182" s="4"/>
    </row>
    <row r="183" spans="1:3" ht="15.75" customHeight="1" x14ac:dyDescent="0.25">
      <c r="A183" s="4"/>
      <c r="B183" s="4"/>
      <c r="C183" s="4"/>
    </row>
    <row r="184" spans="1:3" ht="15.75" customHeight="1" x14ac:dyDescent="0.25">
      <c r="A184" s="4"/>
      <c r="B184" s="4"/>
      <c r="C184" s="4"/>
    </row>
    <row r="185" spans="1:3" ht="15.75" customHeight="1" x14ac:dyDescent="0.25">
      <c r="A185" s="4"/>
      <c r="B185" s="4"/>
      <c r="C185" s="4"/>
    </row>
    <row r="186" spans="1:3" ht="15.75" customHeight="1" x14ac:dyDescent="0.25">
      <c r="A186" s="4"/>
      <c r="B186" s="4"/>
      <c r="C186" s="4"/>
    </row>
    <row r="187" spans="1:3" ht="15.75" customHeight="1" x14ac:dyDescent="0.25">
      <c r="A187" s="4"/>
      <c r="B187" s="4"/>
      <c r="C187" s="4"/>
    </row>
    <row r="188" spans="1:3" ht="15.75" customHeight="1" x14ac:dyDescent="0.25">
      <c r="A188" s="4"/>
      <c r="B188" s="4"/>
      <c r="C188" s="4"/>
    </row>
    <row r="189" spans="1:3" ht="15.75" customHeight="1" x14ac:dyDescent="0.25">
      <c r="A189" s="4"/>
      <c r="B189" s="4"/>
      <c r="C189" s="4"/>
    </row>
    <row r="190" spans="1:3" ht="15.75" customHeight="1" x14ac:dyDescent="0.25">
      <c r="A190" s="4"/>
      <c r="B190" s="4"/>
      <c r="C190" s="4"/>
    </row>
    <row r="191" spans="1:3" ht="15.75" customHeight="1" x14ac:dyDescent="0.25">
      <c r="A191" s="4"/>
      <c r="B191" s="4"/>
      <c r="C191" s="4"/>
    </row>
    <row r="192" spans="1:3" ht="15.75" customHeight="1" x14ac:dyDescent="0.25">
      <c r="A192" s="4"/>
      <c r="B192" s="4"/>
      <c r="C192" s="4"/>
    </row>
    <row r="193" spans="1:3" ht="15.75" customHeight="1" x14ac:dyDescent="0.25">
      <c r="A193" s="4"/>
      <c r="B193" s="4"/>
      <c r="C193" s="4"/>
    </row>
    <row r="194" spans="1:3" ht="15.75" customHeight="1" x14ac:dyDescent="0.25">
      <c r="A194" s="4"/>
      <c r="B194" s="4"/>
      <c r="C194" s="4"/>
    </row>
    <row r="195" spans="1:3" ht="15.75" customHeight="1" x14ac:dyDescent="0.25">
      <c r="A195" s="4"/>
      <c r="B195" s="4"/>
      <c r="C195" s="4"/>
    </row>
    <row r="196" spans="1:3" ht="15.75" customHeight="1" x14ac:dyDescent="0.25">
      <c r="A196" s="4"/>
      <c r="B196" s="4"/>
      <c r="C196" s="4"/>
    </row>
    <row r="197" spans="1:3" ht="15.75" customHeight="1" x14ac:dyDescent="0.25">
      <c r="A197" s="4"/>
      <c r="B197" s="4"/>
      <c r="C197" s="4"/>
    </row>
    <row r="198" spans="1:3" ht="15.75" customHeight="1" x14ac:dyDescent="0.25">
      <c r="A198" s="4"/>
      <c r="B198" s="4"/>
      <c r="C198" s="4"/>
    </row>
    <row r="199" spans="1:3" ht="15.75" customHeight="1" x14ac:dyDescent="0.25">
      <c r="A199" s="4"/>
      <c r="B199" s="4"/>
      <c r="C199" s="4"/>
    </row>
    <row r="200" spans="1:3" ht="15.75" customHeight="1" x14ac:dyDescent="0.25">
      <c r="A200" s="4"/>
      <c r="B200" s="4"/>
      <c r="C200" s="4"/>
    </row>
    <row r="201" spans="1:3" ht="15.75" customHeight="1" x14ac:dyDescent="0.25">
      <c r="A201" s="4"/>
      <c r="B201" s="4"/>
      <c r="C201" s="4"/>
    </row>
    <row r="202" spans="1:3" ht="15.75" customHeight="1" x14ac:dyDescent="0.25">
      <c r="A202" s="4"/>
      <c r="B202" s="4"/>
      <c r="C202" s="4"/>
    </row>
    <row r="203" spans="1:3" ht="15.75" customHeight="1" x14ac:dyDescent="0.25">
      <c r="A203" s="4"/>
      <c r="B203" s="4"/>
      <c r="C203" s="4"/>
    </row>
    <row r="204" spans="1:3" ht="15.75" customHeight="1" x14ac:dyDescent="0.25">
      <c r="A204" s="4"/>
      <c r="B204" s="4"/>
      <c r="C204" s="4"/>
    </row>
    <row r="205" spans="1:3" ht="15.75" customHeight="1" x14ac:dyDescent="0.25">
      <c r="A205" s="4"/>
      <c r="B205" s="4"/>
      <c r="C205" s="4"/>
    </row>
    <row r="206" spans="1:3" ht="15.75" customHeight="1" x14ac:dyDescent="0.25">
      <c r="A206" s="4"/>
      <c r="B206" s="4"/>
      <c r="C206" s="4"/>
    </row>
    <row r="207" spans="1:3" ht="15.75" customHeight="1" x14ac:dyDescent="0.25">
      <c r="A207" s="4"/>
      <c r="B207" s="4"/>
      <c r="C207" s="4"/>
    </row>
    <row r="208" spans="1:3" ht="15.75" customHeight="1" x14ac:dyDescent="0.25">
      <c r="A208" s="4"/>
      <c r="B208" s="4"/>
      <c r="C208" s="4"/>
    </row>
    <row r="209" spans="1:3" ht="15.75" customHeight="1" x14ac:dyDescent="0.25">
      <c r="A209" s="4"/>
      <c r="B209" s="4"/>
      <c r="C209" s="4"/>
    </row>
    <row r="210" spans="1:3" ht="15.75" customHeight="1" x14ac:dyDescent="0.25">
      <c r="A210" s="4"/>
      <c r="B210" s="4"/>
      <c r="C210" s="4"/>
    </row>
    <row r="211" spans="1:3" ht="15.75" customHeight="1" x14ac:dyDescent="0.25">
      <c r="A211" s="4"/>
      <c r="B211" s="4"/>
      <c r="C211" s="4"/>
    </row>
    <row r="212" spans="1:3" ht="15.75" customHeight="1" x14ac:dyDescent="0.25">
      <c r="A212" s="4"/>
      <c r="B212" s="4"/>
      <c r="C212" s="4"/>
    </row>
    <row r="213" spans="1:3" ht="15.75" customHeight="1" x14ac:dyDescent="0.25">
      <c r="A213" s="4"/>
      <c r="B213" s="4"/>
      <c r="C213" s="4"/>
    </row>
    <row r="214" spans="1:3" ht="15.75" customHeight="1" x14ac:dyDescent="0.25">
      <c r="A214" s="4"/>
      <c r="B214" s="4"/>
      <c r="C214" s="4"/>
    </row>
    <row r="215" spans="1:3" ht="15.75" customHeight="1" x14ac:dyDescent="0.25">
      <c r="A215" s="4"/>
      <c r="B215" s="4"/>
      <c r="C215" s="4"/>
    </row>
    <row r="216" spans="1:3" ht="15.75" customHeight="1" x14ac:dyDescent="0.25">
      <c r="A216" s="4"/>
      <c r="B216" s="4"/>
      <c r="C216" s="4"/>
    </row>
    <row r="217" spans="1:3" ht="15.75" customHeight="1" x14ac:dyDescent="0.25">
      <c r="A217" s="4"/>
      <c r="B217" s="4"/>
      <c r="C217" s="4"/>
    </row>
    <row r="218" spans="1:3" ht="15.75" customHeight="1" x14ac:dyDescent="0.25">
      <c r="A218" s="4"/>
      <c r="B218" s="4"/>
      <c r="C218" s="4"/>
    </row>
    <row r="219" spans="1:3" ht="15.75" customHeight="1" x14ac:dyDescent="0.25">
      <c r="A219" s="4"/>
      <c r="B219" s="4"/>
      <c r="C219" s="4"/>
    </row>
    <row r="220" spans="1:3" ht="15.75" customHeight="1" x14ac:dyDescent="0.25">
      <c r="A220" s="4"/>
      <c r="B220" s="4"/>
      <c r="C220" s="4"/>
    </row>
    <row r="221" spans="1:3" ht="15.75" customHeight="1" x14ac:dyDescent="0.25">
      <c r="A221" s="4"/>
      <c r="B221" s="4"/>
      <c r="C221" s="4"/>
    </row>
    <row r="222" spans="1:3" ht="15.75" customHeight="1" x14ac:dyDescent="0.25">
      <c r="A222" s="4"/>
      <c r="B222" s="4"/>
      <c r="C222" s="4"/>
    </row>
    <row r="223" spans="1:3" ht="15.75" customHeight="1" x14ac:dyDescent="0.25">
      <c r="A223" s="4"/>
      <c r="B223" s="4"/>
      <c r="C223" s="4"/>
    </row>
    <row r="224" spans="1:3" ht="15.75" customHeight="1" x14ac:dyDescent="0.25">
      <c r="A224" s="4"/>
      <c r="B224" s="4"/>
      <c r="C224" s="4"/>
    </row>
    <row r="225" spans="1:3" ht="15.75" customHeight="1" x14ac:dyDescent="0.25">
      <c r="A225" s="4"/>
      <c r="B225" s="4"/>
      <c r="C225" s="4"/>
    </row>
    <row r="226" spans="1:3" ht="15.75" customHeight="1" x14ac:dyDescent="0.25">
      <c r="A226" s="4"/>
      <c r="B226" s="4"/>
      <c r="C226" s="4"/>
    </row>
    <row r="227" spans="1:3" ht="15.75" customHeight="1" x14ac:dyDescent="0.25">
      <c r="A227" s="4"/>
      <c r="B227" s="4"/>
      <c r="C227" s="4"/>
    </row>
    <row r="228" spans="1:3" ht="15.75" customHeight="1" x14ac:dyDescent="0.25">
      <c r="A228" s="4"/>
      <c r="B228" s="4"/>
      <c r="C228" s="4"/>
    </row>
    <row r="229" spans="1:3" ht="15.75" customHeight="1" x14ac:dyDescent="0.25">
      <c r="A229" s="4"/>
      <c r="B229" s="4"/>
      <c r="C229" s="4"/>
    </row>
    <row r="230" spans="1:3" ht="15.75" customHeight="1" x14ac:dyDescent="0.25">
      <c r="A230" s="4"/>
      <c r="B230" s="4"/>
      <c r="C230" s="4"/>
    </row>
    <row r="231" spans="1:3" ht="15.75" customHeight="1" x14ac:dyDescent="0.25">
      <c r="A231" s="4"/>
      <c r="B231" s="4"/>
      <c r="C231" s="4"/>
    </row>
    <row r="232" spans="1:3" ht="15.75" customHeight="1" x14ac:dyDescent="0.25">
      <c r="A232" s="4"/>
      <c r="B232" s="4"/>
      <c r="C232" s="4"/>
    </row>
    <row r="233" spans="1:3" ht="15.75" customHeight="1" x14ac:dyDescent="0.25">
      <c r="A233" s="4"/>
      <c r="B233" s="4"/>
      <c r="C233" s="4"/>
    </row>
    <row r="234" spans="1:3" ht="15.75" customHeight="1" x14ac:dyDescent="0.25">
      <c r="A234" s="4"/>
      <c r="B234" s="4"/>
      <c r="C234" s="4"/>
    </row>
    <row r="235" spans="1:3" ht="15.75" customHeight="1" x14ac:dyDescent="0.25">
      <c r="A235" s="4"/>
      <c r="B235" s="4"/>
      <c r="C235" s="4"/>
    </row>
    <row r="236" spans="1:3" ht="15.75" customHeight="1" x14ac:dyDescent="0.25">
      <c r="A236" s="4"/>
      <c r="B236" s="4"/>
      <c r="C236" s="4"/>
    </row>
    <row r="237" spans="1:3" ht="15.75" customHeight="1" x14ac:dyDescent="0.25">
      <c r="A237" s="4"/>
      <c r="B237" s="4"/>
      <c r="C237" s="4"/>
    </row>
    <row r="238" spans="1:3" ht="15.75" customHeight="1" x14ac:dyDescent="0.25">
      <c r="A238" s="4"/>
      <c r="B238" s="4"/>
      <c r="C238" s="4"/>
    </row>
    <row r="239" spans="1:3" ht="15.75" customHeight="1" x14ac:dyDescent="0.25">
      <c r="A239" s="4"/>
      <c r="B239" s="4"/>
      <c r="C239" s="4"/>
    </row>
    <row r="240" spans="1:3" ht="15.75" customHeight="1" x14ac:dyDescent="0.25">
      <c r="A240" s="4"/>
      <c r="B240" s="4"/>
      <c r="C240" s="4"/>
    </row>
    <row r="241" spans="1:3" ht="15.75" customHeight="1" x14ac:dyDescent="0.25">
      <c r="A241" s="4"/>
      <c r="B241" s="4"/>
      <c r="C241" s="4"/>
    </row>
    <row r="242" spans="1:3" ht="15.75" customHeight="1" x14ac:dyDescent="0.25">
      <c r="A242" s="4"/>
      <c r="B242" s="4"/>
      <c r="C242" s="4"/>
    </row>
    <row r="243" spans="1:3" ht="15.75" customHeight="1" x14ac:dyDescent="0.25">
      <c r="A243" s="4"/>
      <c r="B243" s="4"/>
      <c r="C243" s="4"/>
    </row>
    <row r="244" spans="1:3" ht="15.75" customHeight="1" x14ac:dyDescent="0.25">
      <c r="A244" s="4"/>
      <c r="B244" s="4"/>
      <c r="C244" s="4"/>
    </row>
    <row r="245" spans="1:3" ht="15.75" customHeight="1" x14ac:dyDescent="0.25">
      <c r="A245" s="4"/>
      <c r="B245" s="4"/>
      <c r="C245" s="4"/>
    </row>
    <row r="246" spans="1:3" ht="15.75" customHeight="1" x14ac:dyDescent="0.25">
      <c r="A246" s="4"/>
      <c r="B246" s="4"/>
      <c r="C246" s="4"/>
    </row>
    <row r="247" spans="1:3" ht="15.75" customHeight="1" x14ac:dyDescent="0.25">
      <c r="A247" s="4"/>
      <c r="B247" s="4"/>
      <c r="C247" s="4"/>
    </row>
    <row r="248" spans="1:3" ht="15.75" customHeight="1" x14ac:dyDescent="0.25">
      <c r="A248" s="4"/>
      <c r="B248" s="4"/>
      <c r="C248" s="4"/>
    </row>
    <row r="249" spans="1:3" ht="15.75" customHeight="1" x14ac:dyDescent="0.25">
      <c r="A249" s="4"/>
      <c r="B249" s="4"/>
      <c r="C249" s="4"/>
    </row>
    <row r="250" spans="1:3" ht="15.75" customHeight="1" x14ac:dyDescent="0.25">
      <c r="A250" s="4"/>
      <c r="B250" s="4"/>
      <c r="C250" s="4"/>
    </row>
    <row r="251" spans="1:3" ht="15.75" customHeight="1" x14ac:dyDescent="0.25">
      <c r="A251" s="4"/>
      <c r="B251" s="4"/>
      <c r="C251" s="4"/>
    </row>
    <row r="252" spans="1:3" ht="15.75" customHeight="1" x14ac:dyDescent="0.25">
      <c r="A252" s="4"/>
      <c r="B252" s="4"/>
      <c r="C252" s="4"/>
    </row>
    <row r="253" spans="1:3" ht="15.75" customHeight="1" x14ac:dyDescent="0.25">
      <c r="A253" s="4"/>
      <c r="B253" s="4"/>
      <c r="C253" s="4"/>
    </row>
    <row r="254" spans="1:3" ht="15.75" customHeight="1" x14ac:dyDescent="0.25">
      <c r="A254" s="4"/>
      <c r="B254" s="4"/>
      <c r="C254" s="4"/>
    </row>
    <row r="255" spans="1:3" ht="15.75" customHeight="1" x14ac:dyDescent="0.25">
      <c r="A255" s="4"/>
      <c r="B255" s="4"/>
      <c r="C255" s="4"/>
    </row>
    <row r="256" spans="1:3" ht="15.75" customHeight="1" x14ac:dyDescent="0.25">
      <c r="A256" s="4"/>
      <c r="B256" s="4"/>
      <c r="C256" s="4"/>
    </row>
    <row r="257" spans="1:3" ht="15.75" customHeight="1" x14ac:dyDescent="0.25">
      <c r="A257" s="4"/>
      <c r="B257" s="4"/>
      <c r="C257" s="4"/>
    </row>
    <row r="258" spans="1:3" ht="15.75" customHeight="1" x14ac:dyDescent="0.25">
      <c r="A258" s="4"/>
      <c r="B258" s="4"/>
      <c r="C258" s="4"/>
    </row>
    <row r="259" spans="1:3" ht="15.75" customHeight="1" x14ac:dyDescent="0.25">
      <c r="A259" s="4"/>
      <c r="B259" s="4"/>
      <c r="C259" s="4"/>
    </row>
    <row r="260" spans="1:3" ht="15.75" customHeight="1" x14ac:dyDescent="0.25">
      <c r="A260" s="4"/>
      <c r="B260" s="4"/>
      <c r="C260" s="4"/>
    </row>
    <row r="261" spans="1:3" ht="15.75" customHeight="1" x14ac:dyDescent="0.25">
      <c r="A261" s="4"/>
      <c r="B261" s="4"/>
      <c r="C261" s="4"/>
    </row>
    <row r="262" spans="1:3" ht="15.75" customHeight="1" x14ac:dyDescent="0.25">
      <c r="A262" s="4"/>
      <c r="B262" s="4"/>
      <c r="C262" s="4"/>
    </row>
    <row r="263" spans="1:3" ht="15.75" customHeight="1" x14ac:dyDescent="0.25">
      <c r="A263" s="4"/>
      <c r="B263" s="4"/>
      <c r="C263" s="4"/>
    </row>
    <row r="264" spans="1:3" ht="15.75" customHeight="1" x14ac:dyDescent="0.25">
      <c r="A264" s="4"/>
      <c r="B264" s="4"/>
      <c r="C264" s="4"/>
    </row>
    <row r="265" spans="1:3" ht="15.75" customHeight="1" x14ac:dyDescent="0.25">
      <c r="A265" s="4"/>
      <c r="B265" s="4"/>
      <c r="C265" s="4"/>
    </row>
    <row r="266" spans="1:3" ht="15.75" customHeight="1" x14ac:dyDescent="0.25">
      <c r="A266" s="4"/>
      <c r="B266" s="4"/>
      <c r="C266" s="4"/>
    </row>
    <row r="267" spans="1:3" ht="15.75" customHeight="1" x14ac:dyDescent="0.25">
      <c r="A267" s="4"/>
      <c r="B267" s="4"/>
      <c r="C267" s="4"/>
    </row>
    <row r="268" spans="1:3" ht="15.75" customHeight="1" x14ac:dyDescent="0.25">
      <c r="A268" s="4"/>
      <c r="B268" s="4"/>
      <c r="C268" s="4"/>
    </row>
    <row r="269" spans="1:3" ht="15.75" customHeight="1" x14ac:dyDescent="0.25">
      <c r="A269" s="4"/>
      <c r="B269" s="4"/>
      <c r="C269" s="4"/>
    </row>
    <row r="270" spans="1:3" ht="15.75" customHeight="1" x14ac:dyDescent="0.25">
      <c r="A270" s="4"/>
      <c r="B270" s="4"/>
      <c r="C270" s="4"/>
    </row>
    <row r="271" spans="1:3" ht="15.75" customHeight="1" x14ac:dyDescent="0.25">
      <c r="A271" s="4"/>
      <c r="B271" s="4"/>
      <c r="C271" s="4"/>
    </row>
    <row r="272" spans="1:3" ht="15.75" customHeight="1" x14ac:dyDescent="0.25">
      <c r="A272" s="4"/>
      <c r="B272" s="4"/>
      <c r="C272" s="4"/>
    </row>
    <row r="273" spans="1:3" ht="15.75" customHeight="1" x14ac:dyDescent="0.25">
      <c r="A273" s="4"/>
      <c r="B273" s="4"/>
      <c r="C273" s="4"/>
    </row>
    <row r="274" spans="1:3" ht="15.75" customHeight="1" x14ac:dyDescent="0.25">
      <c r="A274" s="4"/>
      <c r="B274" s="4"/>
      <c r="C274" s="4"/>
    </row>
    <row r="275" spans="1:3" ht="15.75" customHeight="1" x14ac:dyDescent="0.25">
      <c r="A275" s="4"/>
      <c r="B275" s="4"/>
      <c r="C275" s="4"/>
    </row>
    <row r="276" spans="1:3" ht="15.75" customHeight="1" x14ac:dyDescent="0.25">
      <c r="A276" s="4"/>
      <c r="B276" s="4"/>
      <c r="C276" s="4"/>
    </row>
    <row r="277" spans="1:3" ht="15.75" customHeight="1" x14ac:dyDescent="0.25">
      <c r="A277" s="4"/>
      <c r="B277" s="4"/>
      <c r="C277" s="4"/>
    </row>
    <row r="278" spans="1:3" ht="15.75" customHeight="1" x14ac:dyDescent="0.25">
      <c r="A278" s="4"/>
      <c r="B278" s="4"/>
      <c r="C278" s="4"/>
    </row>
    <row r="279" spans="1:3" ht="15.75" customHeight="1" x14ac:dyDescent="0.25">
      <c r="A279" s="4"/>
      <c r="B279" s="4"/>
      <c r="C279" s="4"/>
    </row>
    <row r="280" spans="1:3" ht="15.75" customHeight="1" x14ac:dyDescent="0.25">
      <c r="A280" s="4"/>
      <c r="B280" s="4"/>
      <c r="C280" s="4"/>
    </row>
    <row r="281" spans="1:3" ht="15.75" customHeight="1" x14ac:dyDescent="0.25">
      <c r="A281" s="4"/>
      <c r="B281" s="4"/>
      <c r="C281" s="4"/>
    </row>
    <row r="282" spans="1:3" ht="15.75" customHeight="1" x14ac:dyDescent="0.25">
      <c r="A282" s="4"/>
      <c r="B282" s="4"/>
      <c r="C282" s="4"/>
    </row>
    <row r="283" spans="1:3" ht="15.75" customHeight="1" x14ac:dyDescent="0.25">
      <c r="A283" s="4"/>
      <c r="B283" s="4"/>
      <c r="C283" s="4"/>
    </row>
    <row r="284" spans="1:3" ht="15.75" customHeight="1" x14ac:dyDescent="0.25">
      <c r="A284" s="4"/>
      <c r="B284" s="4"/>
      <c r="C284" s="4"/>
    </row>
    <row r="285" spans="1:3" ht="15.75" customHeight="1" x14ac:dyDescent="0.25">
      <c r="A285" s="4"/>
      <c r="B285" s="4"/>
      <c r="C285" s="4"/>
    </row>
    <row r="286" spans="1:3" ht="15.75" customHeight="1" x14ac:dyDescent="0.25">
      <c r="A286" s="4"/>
      <c r="B286" s="4"/>
      <c r="C286" s="4"/>
    </row>
    <row r="287" spans="1:3" ht="15.75" customHeight="1" x14ac:dyDescent="0.25">
      <c r="A287" s="4"/>
      <c r="B287" s="4"/>
      <c r="C287" s="4"/>
    </row>
    <row r="288" spans="1:3" ht="15.75" customHeight="1" x14ac:dyDescent="0.25">
      <c r="A288" s="4"/>
      <c r="B288" s="4"/>
      <c r="C288" s="4"/>
    </row>
    <row r="289" spans="1:3" ht="15.75" customHeight="1" x14ac:dyDescent="0.25">
      <c r="A289" s="4"/>
      <c r="B289" s="4"/>
      <c r="C289" s="4"/>
    </row>
    <row r="290" spans="1:3" ht="15.75" customHeight="1" x14ac:dyDescent="0.25">
      <c r="A290" s="4"/>
      <c r="B290" s="4"/>
      <c r="C290" s="4"/>
    </row>
    <row r="291" spans="1:3" ht="15.75" customHeight="1" x14ac:dyDescent="0.25">
      <c r="A291" s="4"/>
      <c r="B291" s="4"/>
      <c r="C291" s="4"/>
    </row>
    <row r="292" spans="1:3" ht="15.75" customHeight="1" x14ac:dyDescent="0.25">
      <c r="A292" s="4"/>
      <c r="B292" s="4"/>
      <c r="C292" s="4"/>
    </row>
    <row r="293" spans="1:3" ht="15.75" customHeight="1" x14ac:dyDescent="0.25">
      <c r="A293" s="4"/>
      <c r="B293" s="4"/>
      <c r="C293" s="4"/>
    </row>
    <row r="294" spans="1:3" ht="15.75" customHeight="1" x14ac:dyDescent="0.25">
      <c r="A294" s="4"/>
      <c r="B294" s="4"/>
      <c r="C294" s="4"/>
    </row>
    <row r="295" spans="1:3" ht="15.75" customHeight="1" x14ac:dyDescent="0.25">
      <c r="A295" s="4"/>
      <c r="B295" s="4"/>
      <c r="C295" s="4"/>
    </row>
    <row r="296" spans="1:3" ht="15.75" customHeight="1" x14ac:dyDescent="0.25">
      <c r="A296" s="4"/>
      <c r="B296" s="4"/>
      <c r="C296" s="4"/>
    </row>
    <row r="297" spans="1:3" ht="15.75" customHeight="1" x14ac:dyDescent="0.25">
      <c r="A297" s="4"/>
      <c r="B297" s="4"/>
      <c r="C297" s="4"/>
    </row>
    <row r="298" spans="1:3" ht="15.75" customHeight="1" x14ac:dyDescent="0.25">
      <c r="A298" s="4"/>
      <c r="B298" s="4"/>
      <c r="C298" s="4"/>
    </row>
    <row r="299" spans="1:3" ht="15.75" customHeight="1" x14ac:dyDescent="0.25">
      <c r="A299" s="4"/>
      <c r="B299" s="4"/>
      <c r="C299" s="4"/>
    </row>
    <row r="300" spans="1:3" ht="15.75" customHeight="1" x14ac:dyDescent="0.25">
      <c r="A300" s="4"/>
      <c r="B300" s="4"/>
      <c r="C300" s="4"/>
    </row>
    <row r="301" spans="1:3" ht="15.75" customHeight="1" x14ac:dyDescent="0.25">
      <c r="A301" s="4"/>
      <c r="B301" s="4"/>
      <c r="C301" s="4"/>
    </row>
    <row r="302" spans="1:3" ht="15.75" customHeight="1" x14ac:dyDescent="0.25">
      <c r="A302" s="4"/>
      <c r="B302" s="4"/>
      <c r="C302" s="4"/>
    </row>
    <row r="303" spans="1:3" ht="15.75" customHeight="1" x14ac:dyDescent="0.25">
      <c r="A303" s="4"/>
      <c r="B303" s="4"/>
      <c r="C303" s="4"/>
    </row>
    <row r="304" spans="1:3" ht="15.75" customHeight="1" x14ac:dyDescent="0.25">
      <c r="A304" s="4"/>
      <c r="B304" s="4"/>
      <c r="C304" s="4"/>
    </row>
    <row r="305" spans="1:3" ht="15.75" customHeight="1" x14ac:dyDescent="0.25">
      <c r="A305" s="4"/>
      <c r="B305" s="4"/>
      <c r="C305" s="4"/>
    </row>
    <row r="306" spans="1:3" ht="15.75" customHeight="1" x14ac:dyDescent="0.25">
      <c r="A306" s="4"/>
      <c r="B306" s="4"/>
      <c r="C306" s="4"/>
    </row>
    <row r="307" spans="1:3" ht="15.75" customHeight="1" x14ac:dyDescent="0.25">
      <c r="A307" s="4"/>
      <c r="B307" s="4"/>
      <c r="C307" s="4"/>
    </row>
    <row r="308" spans="1:3" ht="15.75" customHeight="1" x14ac:dyDescent="0.25">
      <c r="A308" s="4"/>
      <c r="B308" s="4"/>
      <c r="C308" s="4"/>
    </row>
    <row r="309" spans="1:3" ht="15.75" customHeight="1" x14ac:dyDescent="0.25">
      <c r="A309" s="4"/>
      <c r="B309" s="4"/>
      <c r="C309" s="4"/>
    </row>
    <row r="310" spans="1:3" ht="15.75" customHeight="1" x14ac:dyDescent="0.25">
      <c r="A310" s="4"/>
      <c r="B310" s="4"/>
      <c r="C310" s="4"/>
    </row>
    <row r="311" spans="1:3" ht="15.75" customHeight="1" x14ac:dyDescent="0.25">
      <c r="A311" s="4"/>
      <c r="B311" s="4"/>
      <c r="C311" s="4"/>
    </row>
    <row r="312" spans="1:3" ht="15.75" customHeight="1" x14ac:dyDescent="0.25">
      <c r="A312" s="4"/>
      <c r="B312" s="4"/>
      <c r="C312" s="4"/>
    </row>
    <row r="313" spans="1:3" ht="15.75" customHeight="1" x14ac:dyDescent="0.25">
      <c r="A313" s="4"/>
      <c r="B313" s="4"/>
      <c r="C313" s="4"/>
    </row>
    <row r="314" spans="1:3" ht="15.75" customHeight="1" x14ac:dyDescent="0.25">
      <c r="A314" s="4"/>
      <c r="B314" s="4"/>
      <c r="C314" s="4"/>
    </row>
    <row r="315" spans="1:3" ht="15.75" customHeight="1" x14ac:dyDescent="0.25">
      <c r="A315" s="4"/>
      <c r="B315" s="4"/>
      <c r="C315" s="4"/>
    </row>
    <row r="316" spans="1:3" ht="15.75" customHeight="1" x14ac:dyDescent="0.25">
      <c r="A316" s="4"/>
      <c r="B316" s="4"/>
      <c r="C316" s="4"/>
    </row>
    <row r="317" spans="1:3" ht="15.75" customHeight="1" x14ac:dyDescent="0.25">
      <c r="A317" s="4"/>
      <c r="B317" s="4"/>
      <c r="C317" s="4"/>
    </row>
    <row r="318" spans="1:3" ht="15.75" customHeight="1" x14ac:dyDescent="0.25">
      <c r="A318" s="4"/>
      <c r="B318" s="4"/>
      <c r="C318" s="4"/>
    </row>
    <row r="319" spans="1:3" ht="15.75" customHeight="1" x14ac:dyDescent="0.25">
      <c r="A319" s="4"/>
      <c r="B319" s="4"/>
      <c r="C319" s="4"/>
    </row>
    <row r="320" spans="1:3" ht="15.75" customHeight="1" x14ac:dyDescent="0.25">
      <c r="A320" s="4"/>
      <c r="B320" s="4"/>
      <c r="C320" s="4"/>
    </row>
    <row r="321" spans="1:3" ht="15.75" customHeight="1" x14ac:dyDescent="0.25">
      <c r="A321" s="4"/>
      <c r="B321" s="4"/>
      <c r="C321" s="4"/>
    </row>
    <row r="322" spans="1:3" ht="15.75" customHeight="1" x14ac:dyDescent="0.25">
      <c r="A322" s="4"/>
      <c r="B322" s="4"/>
      <c r="C322" s="4"/>
    </row>
    <row r="323" spans="1:3" ht="15.75" customHeight="1" x14ac:dyDescent="0.25">
      <c r="A323" s="4"/>
      <c r="B323" s="4"/>
      <c r="C323" s="4"/>
    </row>
    <row r="324" spans="1:3" ht="15.75" customHeight="1" x14ac:dyDescent="0.25">
      <c r="A324" s="4"/>
      <c r="B324" s="4"/>
      <c r="C324" s="4"/>
    </row>
    <row r="325" spans="1:3" ht="15.75" customHeight="1" x14ac:dyDescent="0.25">
      <c r="A325" s="4"/>
      <c r="B325" s="4"/>
      <c r="C325" s="4"/>
    </row>
    <row r="326" spans="1:3" ht="15.75" customHeight="1" x14ac:dyDescent="0.25">
      <c r="A326" s="4"/>
      <c r="B326" s="4"/>
      <c r="C326" s="4"/>
    </row>
    <row r="327" spans="1:3" ht="15.75" customHeight="1" x14ac:dyDescent="0.25">
      <c r="A327" s="4"/>
      <c r="B327" s="4"/>
      <c r="C327" s="4"/>
    </row>
    <row r="328" spans="1:3" ht="15.75" customHeight="1" x14ac:dyDescent="0.25">
      <c r="A328" s="4"/>
      <c r="B328" s="4"/>
      <c r="C328" s="4"/>
    </row>
    <row r="329" spans="1:3" ht="15.75" customHeight="1" x14ac:dyDescent="0.25">
      <c r="A329" s="4"/>
      <c r="B329" s="4"/>
      <c r="C329" s="4"/>
    </row>
    <row r="330" spans="1:3" ht="15.75" customHeight="1" x14ac:dyDescent="0.25">
      <c r="A330" s="4"/>
      <c r="B330" s="4"/>
      <c r="C330" s="4"/>
    </row>
    <row r="331" spans="1:3" ht="15.75" customHeight="1" x14ac:dyDescent="0.25">
      <c r="A331" s="4"/>
      <c r="B331" s="4"/>
      <c r="C331" s="4"/>
    </row>
    <row r="332" spans="1:3" ht="15.75" customHeight="1" x14ac:dyDescent="0.25">
      <c r="A332" s="4"/>
      <c r="B332" s="4"/>
      <c r="C332" s="4"/>
    </row>
    <row r="333" spans="1:3" ht="15.75" customHeight="1" x14ac:dyDescent="0.25">
      <c r="A333" s="4"/>
      <c r="B333" s="4"/>
      <c r="C333" s="4"/>
    </row>
    <row r="334" spans="1:3" ht="15.75" customHeight="1" x14ac:dyDescent="0.25">
      <c r="A334" s="4"/>
      <c r="B334" s="4"/>
      <c r="C334" s="4"/>
    </row>
    <row r="335" spans="1:3" ht="15.75" customHeight="1" x14ac:dyDescent="0.25">
      <c r="A335" s="4"/>
      <c r="B335" s="4"/>
      <c r="C335" s="4"/>
    </row>
    <row r="336" spans="1:3" ht="15.75" customHeight="1" x14ac:dyDescent="0.25">
      <c r="A336" s="4"/>
      <c r="B336" s="4"/>
      <c r="C336" s="4"/>
    </row>
    <row r="337" spans="1:3" ht="15.75" customHeight="1" x14ac:dyDescent="0.25">
      <c r="A337" s="4"/>
      <c r="B337" s="4"/>
      <c r="C337" s="4"/>
    </row>
    <row r="338" spans="1:3" ht="15.75" customHeight="1" x14ac:dyDescent="0.25">
      <c r="A338" s="4"/>
      <c r="B338" s="4"/>
      <c r="C338" s="4"/>
    </row>
    <row r="339" spans="1:3" ht="15.75" customHeight="1" x14ac:dyDescent="0.25">
      <c r="A339" s="4"/>
      <c r="B339" s="4"/>
      <c r="C339" s="4"/>
    </row>
    <row r="340" spans="1:3" ht="15.75" customHeight="1" x14ac:dyDescent="0.25">
      <c r="A340" s="4"/>
      <c r="B340" s="4"/>
      <c r="C340" s="4"/>
    </row>
    <row r="341" spans="1:3" ht="15.75" customHeight="1" x14ac:dyDescent="0.25">
      <c r="A341" s="4"/>
      <c r="B341" s="4"/>
      <c r="C341" s="4"/>
    </row>
    <row r="342" spans="1:3" ht="15.75" customHeight="1" x14ac:dyDescent="0.25">
      <c r="A342" s="4"/>
      <c r="B342" s="4"/>
      <c r="C342" s="4"/>
    </row>
    <row r="343" spans="1:3" ht="15.75" customHeight="1" x14ac:dyDescent="0.25">
      <c r="A343" s="4"/>
      <c r="B343" s="4"/>
      <c r="C343" s="4"/>
    </row>
    <row r="344" spans="1:3" ht="15.75" customHeight="1" x14ac:dyDescent="0.25">
      <c r="A344" s="4"/>
      <c r="B344" s="4"/>
      <c r="C344" s="4"/>
    </row>
    <row r="345" spans="1:3" ht="15.75" customHeight="1" x14ac:dyDescent="0.25">
      <c r="A345" s="4"/>
      <c r="B345" s="4"/>
      <c r="C345" s="4"/>
    </row>
    <row r="346" spans="1:3" ht="15.75" customHeight="1" x14ac:dyDescent="0.25">
      <c r="A346" s="4"/>
      <c r="B346" s="4"/>
      <c r="C346" s="4"/>
    </row>
    <row r="347" spans="1:3" ht="15.75" customHeight="1" x14ac:dyDescent="0.25">
      <c r="A347" s="4"/>
      <c r="B347" s="4"/>
      <c r="C347" s="4"/>
    </row>
    <row r="348" spans="1:3" ht="15.75" customHeight="1" x14ac:dyDescent="0.25">
      <c r="A348" s="4"/>
      <c r="B348" s="4"/>
      <c r="C348" s="4"/>
    </row>
    <row r="349" spans="1:3" ht="15.75" customHeight="1" x14ac:dyDescent="0.25">
      <c r="A349" s="4"/>
      <c r="B349" s="4"/>
      <c r="C349" s="4"/>
    </row>
    <row r="350" spans="1:3" ht="15.75" customHeight="1" x14ac:dyDescent="0.25">
      <c r="A350" s="4"/>
      <c r="B350" s="4"/>
      <c r="C350" s="4"/>
    </row>
    <row r="351" spans="1:3" ht="15.75" customHeight="1" x14ac:dyDescent="0.25">
      <c r="A351" s="4"/>
      <c r="B351" s="4"/>
      <c r="C351" s="4"/>
    </row>
    <row r="352" spans="1:3" ht="15.75" customHeight="1" x14ac:dyDescent="0.25">
      <c r="A352" s="4"/>
      <c r="B352" s="4"/>
      <c r="C352" s="4"/>
    </row>
    <row r="353" spans="1:3" ht="15.75" customHeight="1" x14ac:dyDescent="0.25">
      <c r="A353" s="4"/>
      <c r="B353" s="4"/>
      <c r="C353" s="4"/>
    </row>
    <row r="354" spans="1:3" ht="15.75" customHeight="1" x14ac:dyDescent="0.25">
      <c r="A354" s="4"/>
      <c r="B354" s="4"/>
      <c r="C354" s="4"/>
    </row>
    <row r="355" spans="1:3" ht="15.75" customHeight="1" x14ac:dyDescent="0.25">
      <c r="A355" s="4"/>
      <c r="B355" s="4"/>
      <c r="C355" s="4"/>
    </row>
    <row r="356" spans="1:3" ht="15.75" customHeight="1" x14ac:dyDescent="0.25">
      <c r="A356" s="4"/>
      <c r="B356" s="4"/>
      <c r="C356" s="4"/>
    </row>
    <row r="357" spans="1:3" ht="15.75" customHeight="1" x14ac:dyDescent="0.25">
      <c r="A357" s="4"/>
      <c r="B357" s="4"/>
      <c r="C357" s="4"/>
    </row>
    <row r="358" spans="1:3" ht="15.75" customHeight="1" x14ac:dyDescent="0.25">
      <c r="A358" s="4"/>
      <c r="B358" s="4"/>
      <c r="C358" s="4"/>
    </row>
    <row r="359" spans="1:3" ht="15.75" customHeight="1" x14ac:dyDescent="0.25">
      <c r="A359" s="4"/>
      <c r="B359" s="4"/>
      <c r="C359" s="4"/>
    </row>
    <row r="360" spans="1:3" ht="15.75" customHeight="1" x14ac:dyDescent="0.25">
      <c r="A360" s="4"/>
      <c r="B360" s="4"/>
      <c r="C360" s="4"/>
    </row>
    <row r="361" spans="1:3" ht="15.75" customHeight="1" x14ac:dyDescent="0.25">
      <c r="A361" s="4"/>
      <c r="B361" s="4"/>
      <c r="C361" s="4"/>
    </row>
    <row r="362" spans="1:3" ht="15.75" customHeight="1" x14ac:dyDescent="0.25">
      <c r="A362" s="4"/>
      <c r="B362" s="4"/>
      <c r="C362" s="4"/>
    </row>
    <row r="363" spans="1:3" ht="15.75" customHeight="1" x14ac:dyDescent="0.25">
      <c r="A363" s="4"/>
      <c r="B363" s="4"/>
      <c r="C363" s="4"/>
    </row>
    <row r="364" spans="1:3" ht="15.75" customHeight="1" x14ac:dyDescent="0.25">
      <c r="A364" s="4"/>
      <c r="B364" s="4"/>
      <c r="C364" s="4"/>
    </row>
    <row r="365" spans="1:3" ht="15.75" customHeight="1" x14ac:dyDescent="0.25">
      <c r="A365" s="4"/>
      <c r="B365" s="4"/>
      <c r="C365" s="4"/>
    </row>
    <row r="366" spans="1:3" ht="15.75" customHeight="1" x14ac:dyDescent="0.25">
      <c r="A366" s="4"/>
      <c r="B366" s="4"/>
      <c r="C366" s="4"/>
    </row>
    <row r="367" spans="1:3" ht="15.75" customHeight="1" x14ac:dyDescent="0.25">
      <c r="A367" s="4"/>
      <c r="B367" s="4"/>
      <c r="C367" s="4"/>
    </row>
    <row r="368" spans="1:3" ht="15.75" customHeight="1" x14ac:dyDescent="0.25">
      <c r="A368" s="4"/>
      <c r="B368" s="4"/>
      <c r="C368" s="4"/>
    </row>
    <row r="369" spans="1:3" ht="15.75" customHeight="1" x14ac:dyDescent="0.25">
      <c r="A369" s="4"/>
      <c r="B369" s="4"/>
      <c r="C369" s="4"/>
    </row>
    <row r="370" spans="1:3" ht="15.75" customHeight="1" x14ac:dyDescent="0.25">
      <c r="A370" s="4"/>
      <c r="B370" s="4"/>
      <c r="C370" s="4"/>
    </row>
    <row r="371" spans="1:3" ht="15.75" customHeight="1" x14ac:dyDescent="0.25">
      <c r="A371" s="4"/>
      <c r="B371" s="4"/>
      <c r="C371" s="4"/>
    </row>
    <row r="372" spans="1:3" ht="15.75" customHeight="1" x14ac:dyDescent="0.25">
      <c r="A372" s="4"/>
      <c r="B372" s="4"/>
      <c r="C372" s="4"/>
    </row>
    <row r="373" spans="1:3" ht="15.75" customHeight="1" x14ac:dyDescent="0.25">
      <c r="A373" s="4"/>
      <c r="B373" s="4"/>
      <c r="C373" s="4"/>
    </row>
    <row r="374" spans="1:3" ht="15.75" customHeight="1" x14ac:dyDescent="0.25">
      <c r="A374" s="4"/>
      <c r="B374" s="4"/>
      <c r="C374" s="4"/>
    </row>
    <row r="375" spans="1:3" ht="15.75" customHeight="1" x14ac:dyDescent="0.25">
      <c r="A375" s="4"/>
      <c r="B375" s="4"/>
      <c r="C375" s="4"/>
    </row>
    <row r="376" spans="1:3" ht="15.75" customHeight="1" x14ac:dyDescent="0.25">
      <c r="A376" s="4"/>
      <c r="B376" s="4"/>
      <c r="C376" s="4"/>
    </row>
    <row r="377" spans="1:3" ht="15.75" customHeight="1" x14ac:dyDescent="0.25">
      <c r="A377" s="4"/>
      <c r="B377" s="4"/>
      <c r="C377" s="4"/>
    </row>
    <row r="378" spans="1:3" ht="15.75" customHeight="1" x14ac:dyDescent="0.25">
      <c r="A378" s="4"/>
      <c r="B378" s="4"/>
      <c r="C378" s="4"/>
    </row>
    <row r="379" spans="1:3" ht="15.75" customHeight="1" x14ac:dyDescent="0.25">
      <c r="A379" s="4"/>
      <c r="B379" s="4"/>
      <c r="C379" s="4"/>
    </row>
    <row r="380" spans="1:3" ht="15.75" customHeight="1" x14ac:dyDescent="0.25">
      <c r="A380" s="4"/>
      <c r="B380" s="4"/>
      <c r="C380" s="4"/>
    </row>
    <row r="381" spans="1:3" ht="15.75" customHeight="1" x14ac:dyDescent="0.25">
      <c r="A381" s="4"/>
      <c r="B381" s="4"/>
      <c r="C381" s="4"/>
    </row>
    <row r="382" spans="1:3" ht="15.75" customHeight="1" x14ac:dyDescent="0.25">
      <c r="A382" s="4"/>
      <c r="B382" s="4"/>
      <c r="C382" s="4"/>
    </row>
    <row r="383" spans="1:3" ht="15.75" customHeight="1" x14ac:dyDescent="0.25">
      <c r="A383" s="4"/>
      <c r="B383" s="4"/>
      <c r="C383" s="4"/>
    </row>
    <row r="384" spans="1:3" ht="15.75" customHeight="1" x14ac:dyDescent="0.25">
      <c r="A384" s="4"/>
      <c r="B384" s="4"/>
      <c r="C384" s="4"/>
    </row>
    <row r="385" spans="1:3" ht="15.75" customHeight="1" x14ac:dyDescent="0.25">
      <c r="A385" s="4"/>
      <c r="B385" s="4"/>
      <c r="C385" s="4"/>
    </row>
    <row r="386" spans="1:3" ht="15.75" customHeight="1" x14ac:dyDescent="0.25">
      <c r="A386" s="4"/>
      <c r="B386" s="4"/>
      <c r="C386" s="4"/>
    </row>
    <row r="387" spans="1:3" ht="15.75" customHeight="1" x14ac:dyDescent="0.25">
      <c r="A387" s="4"/>
      <c r="B387" s="4"/>
      <c r="C387" s="4"/>
    </row>
    <row r="388" spans="1:3" ht="15.75" customHeight="1" x14ac:dyDescent="0.25">
      <c r="A388" s="4"/>
      <c r="B388" s="4"/>
      <c r="C388" s="4"/>
    </row>
    <row r="389" spans="1:3" ht="15.75" customHeight="1" x14ac:dyDescent="0.25">
      <c r="A389" s="4"/>
      <c r="B389" s="4"/>
      <c r="C389" s="4"/>
    </row>
    <row r="390" spans="1:3" ht="15.75" customHeight="1" x14ac:dyDescent="0.25">
      <c r="A390" s="4"/>
      <c r="B390" s="4"/>
      <c r="C390" s="4"/>
    </row>
    <row r="391" spans="1:3" ht="15.75" customHeight="1" x14ac:dyDescent="0.25">
      <c r="A391" s="4"/>
      <c r="B391" s="4"/>
      <c r="C391" s="4"/>
    </row>
    <row r="392" spans="1:3" ht="15.75" customHeight="1" x14ac:dyDescent="0.25">
      <c r="A392" s="4"/>
      <c r="B392" s="4"/>
      <c r="C392" s="4"/>
    </row>
    <row r="393" spans="1:3" ht="15.75" customHeight="1" x14ac:dyDescent="0.25">
      <c r="A393" s="4"/>
      <c r="B393" s="4"/>
      <c r="C393" s="4"/>
    </row>
    <row r="394" spans="1:3" ht="15.75" customHeight="1" x14ac:dyDescent="0.25">
      <c r="A394" s="4"/>
      <c r="B394" s="4"/>
      <c r="C394" s="4"/>
    </row>
    <row r="395" spans="1:3" ht="15.75" customHeight="1" x14ac:dyDescent="0.25">
      <c r="A395" s="4"/>
      <c r="B395" s="4"/>
      <c r="C395" s="4"/>
    </row>
    <row r="396" spans="1:3" ht="15.75" customHeight="1" x14ac:dyDescent="0.25">
      <c r="A396" s="4"/>
      <c r="B396" s="4"/>
      <c r="C396" s="4"/>
    </row>
    <row r="397" spans="1:3" ht="15.75" customHeight="1" x14ac:dyDescent="0.25">
      <c r="A397" s="4"/>
      <c r="B397" s="4"/>
      <c r="C397" s="4"/>
    </row>
    <row r="398" spans="1:3" ht="15.75" customHeight="1" x14ac:dyDescent="0.25">
      <c r="A398" s="4"/>
      <c r="B398" s="4"/>
      <c r="C398" s="4"/>
    </row>
    <row r="399" spans="1:3" ht="15.75" customHeight="1" x14ac:dyDescent="0.25">
      <c r="A399" s="4"/>
      <c r="B399" s="4"/>
      <c r="C399" s="4"/>
    </row>
    <row r="400" spans="1:3" ht="15.75" customHeight="1" x14ac:dyDescent="0.25">
      <c r="A400" s="4"/>
      <c r="B400" s="4"/>
      <c r="C400" s="4"/>
    </row>
    <row r="401" spans="1:3" ht="15.75" customHeight="1" x14ac:dyDescent="0.25">
      <c r="A401" s="4"/>
      <c r="B401" s="4"/>
      <c r="C401" s="4"/>
    </row>
    <row r="402" spans="1:3" ht="15.75" customHeight="1" x14ac:dyDescent="0.25">
      <c r="A402" s="4"/>
      <c r="B402" s="4"/>
      <c r="C402" s="4"/>
    </row>
    <row r="403" spans="1:3" ht="15.75" customHeight="1" x14ac:dyDescent="0.25">
      <c r="A403" s="4"/>
      <c r="B403" s="4"/>
      <c r="C403" s="4"/>
    </row>
    <row r="404" spans="1:3" ht="15.75" customHeight="1" x14ac:dyDescent="0.25">
      <c r="A404" s="4"/>
      <c r="B404" s="4"/>
      <c r="C404" s="4"/>
    </row>
    <row r="405" spans="1:3" ht="15.75" customHeight="1" x14ac:dyDescent="0.25">
      <c r="A405" s="4"/>
      <c r="B405" s="4"/>
      <c r="C405" s="4"/>
    </row>
    <row r="406" spans="1:3" ht="15.75" customHeight="1" x14ac:dyDescent="0.25">
      <c r="A406" s="4"/>
      <c r="B406" s="4"/>
      <c r="C406" s="4"/>
    </row>
    <row r="407" spans="1:3" ht="15.75" customHeight="1" x14ac:dyDescent="0.25">
      <c r="A407" s="4"/>
      <c r="B407" s="4"/>
      <c r="C407" s="4"/>
    </row>
    <row r="408" spans="1:3" ht="15.75" customHeight="1" x14ac:dyDescent="0.25">
      <c r="A408" s="4"/>
      <c r="B408" s="4"/>
      <c r="C408" s="4"/>
    </row>
    <row r="409" spans="1:3" ht="15.75" customHeight="1" x14ac:dyDescent="0.25">
      <c r="A409" s="4"/>
      <c r="B409" s="4"/>
      <c r="C409" s="4"/>
    </row>
    <row r="410" spans="1:3" ht="15.75" customHeight="1" x14ac:dyDescent="0.25">
      <c r="A410" s="4"/>
      <c r="B410" s="4"/>
      <c r="C410" s="4"/>
    </row>
    <row r="411" spans="1:3" ht="15.75" customHeight="1" x14ac:dyDescent="0.25">
      <c r="A411" s="4"/>
      <c r="B411" s="4"/>
      <c r="C411" s="4"/>
    </row>
    <row r="412" spans="1:3" ht="15.75" customHeight="1" x14ac:dyDescent="0.25">
      <c r="A412" s="4"/>
      <c r="B412" s="4"/>
      <c r="C412" s="4"/>
    </row>
    <row r="413" spans="1:3" ht="15.75" customHeight="1" x14ac:dyDescent="0.25">
      <c r="A413" s="4"/>
      <c r="B413" s="4"/>
      <c r="C413" s="4"/>
    </row>
    <row r="414" spans="1:3" ht="15.75" customHeight="1" x14ac:dyDescent="0.25">
      <c r="A414" s="4"/>
      <c r="B414" s="4"/>
      <c r="C414" s="4"/>
    </row>
    <row r="415" spans="1:3" ht="15.75" customHeight="1" x14ac:dyDescent="0.25">
      <c r="A415" s="4"/>
      <c r="B415" s="4"/>
      <c r="C415" s="4"/>
    </row>
    <row r="416" spans="1:3" ht="15.75" customHeight="1" x14ac:dyDescent="0.25">
      <c r="A416" s="4"/>
      <c r="B416" s="4"/>
      <c r="C416" s="4"/>
    </row>
    <row r="417" spans="1:3" ht="15.75" customHeight="1" x14ac:dyDescent="0.25">
      <c r="A417" s="4"/>
      <c r="B417" s="4"/>
      <c r="C417" s="4"/>
    </row>
    <row r="418" spans="1:3" ht="15.75" customHeight="1" x14ac:dyDescent="0.25">
      <c r="A418" s="4"/>
      <c r="B418" s="4"/>
      <c r="C418" s="4"/>
    </row>
    <row r="419" spans="1:3" ht="15.75" customHeight="1" x14ac:dyDescent="0.25">
      <c r="A419" s="4"/>
      <c r="B419" s="4"/>
      <c r="C419" s="4"/>
    </row>
    <row r="420" spans="1:3" ht="15.75" customHeight="1" x14ac:dyDescent="0.25">
      <c r="A420" s="4"/>
      <c r="B420" s="4"/>
      <c r="C420" s="4"/>
    </row>
    <row r="421" spans="1:3" ht="15.75" customHeight="1" x14ac:dyDescent="0.25">
      <c r="A421" s="4"/>
      <c r="B421" s="4"/>
      <c r="C421" s="4"/>
    </row>
    <row r="422" spans="1:3" ht="15.75" customHeight="1" x14ac:dyDescent="0.25">
      <c r="A422" s="4"/>
      <c r="B422" s="4"/>
      <c r="C422" s="4"/>
    </row>
    <row r="423" spans="1:3" ht="15.75" customHeight="1" x14ac:dyDescent="0.25">
      <c r="A423" s="4"/>
      <c r="B423" s="4"/>
      <c r="C423" s="4"/>
    </row>
    <row r="424" spans="1:3" ht="15.75" customHeight="1" x14ac:dyDescent="0.25">
      <c r="A424" s="4"/>
      <c r="B424" s="4"/>
      <c r="C424" s="4"/>
    </row>
    <row r="425" spans="1:3" ht="15.75" customHeight="1" x14ac:dyDescent="0.25">
      <c r="A425" s="4"/>
      <c r="B425" s="4"/>
      <c r="C425" s="4"/>
    </row>
    <row r="426" spans="1:3" ht="15.75" customHeight="1" x14ac:dyDescent="0.25">
      <c r="A426" s="4"/>
      <c r="B426" s="4"/>
      <c r="C426" s="4"/>
    </row>
    <row r="427" spans="1:3" ht="15.75" customHeight="1" x14ac:dyDescent="0.25">
      <c r="A427" s="4"/>
      <c r="B427" s="4"/>
      <c r="C427" s="4"/>
    </row>
    <row r="428" spans="1:3" ht="15.75" customHeight="1" x14ac:dyDescent="0.25">
      <c r="A428" s="4"/>
      <c r="B428" s="4"/>
      <c r="C428" s="4"/>
    </row>
    <row r="429" spans="1:3" ht="15.75" customHeight="1" x14ac:dyDescent="0.25">
      <c r="A429" s="4"/>
      <c r="B429" s="4"/>
      <c r="C429" s="4"/>
    </row>
    <row r="430" spans="1:3" ht="15.75" customHeight="1" x14ac:dyDescent="0.25">
      <c r="A430" s="4"/>
      <c r="B430" s="4"/>
      <c r="C430" s="4"/>
    </row>
    <row r="431" spans="1:3" ht="15.75" customHeight="1" x14ac:dyDescent="0.25">
      <c r="A431" s="4"/>
      <c r="B431" s="4"/>
      <c r="C431" s="4"/>
    </row>
    <row r="432" spans="1:3" ht="15.75" customHeight="1" x14ac:dyDescent="0.25">
      <c r="A432" s="4"/>
      <c r="B432" s="4"/>
      <c r="C432" s="4"/>
    </row>
    <row r="433" spans="1:3" ht="15.75" customHeight="1" x14ac:dyDescent="0.25">
      <c r="A433" s="4"/>
      <c r="B433" s="4"/>
      <c r="C433" s="4"/>
    </row>
    <row r="434" spans="1:3" ht="15.75" customHeight="1" x14ac:dyDescent="0.25">
      <c r="A434" s="4"/>
      <c r="B434" s="4"/>
      <c r="C434" s="4"/>
    </row>
    <row r="435" spans="1:3" ht="15.75" customHeight="1" x14ac:dyDescent="0.25">
      <c r="A435" s="4"/>
      <c r="B435" s="4"/>
      <c r="C435" s="4"/>
    </row>
    <row r="436" spans="1:3" ht="15.75" customHeight="1" x14ac:dyDescent="0.25">
      <c r="A436" s="4"/>
      <c r="B436" s="4"/>
      <c r="C436" s="4"/>
    </row>
    <row r="437" spans="1:3" ht="15.75" customHeight="1" x14ac:dyDescent="0.25">
      <c r="A437" s="4"/>
      <c r="B437" s="4"/>
      <c r="C437" s="4"/>
    </row>
    <row r="438" spans="1:3" ht="15.75" customHeight="1" x14ac:dyDescent="0.25">
      <c r="A438" s="4"/>
      <c r="B438" s="4"/>
      <c r="C438" s="4"/>
    </row>
    <row r="439" spans="1:3" ht="15.75" customHeight="1" x14ac:dyDescent="0.25">
      <c r="A439" s="4"/>
      <c r="B439" s="4"/>
      <c r="C439" s="4"/>
    </row>
    <row r="440" spans="1:3" ht="15.75" customHeight="1" x14ac:dyDescent="0.25">
      <c r="A440" s="4"/>
      <c r="B440" s="4"/>
      <c r="C440" s="4"/>
    </row>
    <row r="441" spans="1:3" ht="15.75" customHeight="1" x14ac:dyDescent="0.25">
      <c r="A441" s="4"/>
      <c r="B441" s="4"/>
      <c r="C441" s="4"/>
    </row>
    <row r="442" spans="1:3" ht="15.75" customHeight="1" x14ac:dyDescent="0.25">
      <c r="A442" s="4"/>
      <c r="B442" s="4"/>
      <c r="C442" s="4"/>
    </row>
    <row r="443" spans="1:3" ht="15.75" customHeight="1" x14ac:dyDescent="0.25">
      <c r="A443" s="4"/>
      <c r="B443" s="4"/>
      <c r="C443" s="4"/>
    </row>
    <row r="444" spans="1:3" ht="15.75" customHeight="1" x14ac:dyDescent="0.25">
      <c r="A444" s="4"/>
      <c r="B444" s="4"/>
      <c r="C444" s="4"/>
    </row>
    <row r="445" spans="1:3" ht="15.75" customHeight="1" x14ac:dyDescent="0.25">
      <c r="A445" s="4"/>
      <c r="B445" s="4"/>
      <c r="C445" s="4"/>
    </row>
    <row r="446" spans="1:3" ht="15.75" customHeight="1" x14ac:dyDescent="0.25">
      <c r="A446" s="4"/>
      <c r="B446" s="4"/>
      <c r="C446" s="4"/>
    </row>
    <row r="447" spans="1:3" ht="15.75" customHeight="1" x14ac:dyDescent="0.25">
      <c r="A447" s="4"/>
      <c r="B447" s="4"/>
      <c r="C447" s="4"/>
    </row>
    <row r="448" spans="1:3" ht="15.75" customHeight="1" x14ac:dyDescent="0.25">
      <c r="A448" s="4"/>
      <c r="B448" s="4"/>
      <c r="C448" s="4"/>
    </row>
    <row r="449" spans="1:3" ht="15.75" customHeight="1" x14ac:dyDescent="0.25">
      <c r="A449" s="4"/>
      <c r="B449" s="4"/>
      <c r="C449" s="4"/>
    </row>
    <row r="450" spans="1:3" ht="15.75" customHeight="1" x14ac:dyDescent="0.25">
      <c r="A450" s="4"/>
      <c r="B450" s="4"/>
      <c r="C450" s="4"/>
    </row>
    <row r="451" spans="1:3" ht="15.75" customHeight="1" x14ac:dyDescent="0.25">
      <c r="A451" s="4"/>
      <c r="B451" s="4"/>
      <c r="C451" s="4"/>
    </row>
    <row r="452" spans="1:3" ht="15.75" customHeight="1" x14ac:dyDescent="0.25">
      <c r="A452" s="4"/>
      <c r="B452" s="4"/>
      <c r="C452" s="4"/>
    </row>
    <row r="453" spans="1:3" ht="15.75" customHeight="1" x14ac:dyDescent="0.25">
      <c r="A453" s="4"/>
      <c r="B453" s="4"/>
      <c r="C453" s="4"/>
    </row>
    <row r="454" spans="1:3" ht="15.75" customHeight="1" x14ac:dyDescent="0.25">
      <c r="A454" s="4"/>
      <c r="B454" s="4"/>
      <c r="C454" s="4"/>
    </row>
    <row r="455" spans="1:3" ht="15.75" customHeight="1" x14ac:dyDescent="0.25">
      <c r="A455" s="4"/>
      <c r="B455" s="4"/>
      <c r="C455" s="4"/>
    </row>
    <row r="456" spans="1:3" ht="15.75" customHeight="1" x14ac:dyDescent="0.25">
      <c r="A456" s="4"/>
      <c r="B456" s="4"/>
      <c r="C456" s="4"/>
    </row>
    <row r="457" spans="1:3" ht="15.75" customHeight="1" x14ac:dyDescent="0.25">
      <c r="A457" s="4"/>
      <c r="B457" s="4"/>
      <c r="C457" s="4"/>
    </row>
    <row r="458" spans="1:3" ht="15.75" customHeight="1" x14ac:dyDescent="0.25">
      <c r="A458" s="4"/>
      <c r="B458" s="4"/>
      <c r="C458" s="4"/>
    </row>
    <row r="459" spans="1:3" ht="15.75" customHeight="1" x14ac:dyDescent="0.25">
      <c r="A459" s="4"/>
      <c r="B459" s="4"/>
      <c r="C459" s="4"/>
    </row>
    <row r="460" spans="1:3" ht="15.75" customHeight="1" x14ac:dyDescent="0.25">
      <c r="A460" s="4"/>
      <c r="B460" s="4"/>
      <c r="C460" s="4"/>
    </row>
    <row r="461" spans="1:3" ht="15.75" customHeight="1" x14ac:dyDescent="0.25">
      <c r="A461" s="4"/>
      <c r="B461" s="4"/>
      <c r="C461" s="4"/>
    </row>
    <row r="462" spans="1:3" ht="15.75" customHeight="1" x14ac:dyDescent="0.25">
      <c r="A462" s="4"/>
      <c r="B462" s="4"/>
      <c r="C462" s="4"/>
    </row>
    <row r="463" spans="1:3" ht="15.75" customHeight="1" x14ac:dyDescent="0.25">
      <c r="A463" s="4"/>
      <c r="B463" s="4"/>
      <c r="C463" s="4"/>
    </row>
    <row r="464" spans="1:3" ht="15.75" customHeight="1" x14ac:dyDescent="0.25">
      <c r="A464" s="4"/>
      <c r="B464" s="4"/>
      <c r="C464" s="4"/>
    </row>
    <row r="465" spans="1:3" ht="15.75" customHeight="1" x14ac:dyDescent="0.25">
      <c r="A465" s="4"/>
      <c r="B465" s="4"/>
      <c r="C465" s="4"/>
    </row>
    <row r="466" spans="1:3" ht="15.75" customHeight="1" x14ac:dyDescent="0.25">
      <c r="A466" s="4"/>
      <c r="B466" s="4"/>
      <c r="C466" s="4"/>
    </row>
    <row r="467" spans="1:3" ht="15.75" customHeight="1" x14ac:dyDescent="0.25">
      <c r="A467" s="4"/>
      <c r="B467" s="4"/>
      <c r="C467" s="4"/>
    </row>
    <row r="468" spans="1:3" ht="15.75" customHeight="1" x14ac:dyDescent="0.25">
      <c r="A468" s="4"/>
      <c r="B468" s="4"/>
      <c r="C468" s="4"/>
    </row>
    <row r="469" spans="1:3" ht="15.75" customHeight="1" x14ac:dyDescent="0.25">
      <c r="A469" s="4"/>
      <c r="B469" s="4"/>
      <c r="C469" s="4"/>
    </row>
    <row r="470" spans="1:3" ht="15.75" customHeight="1" x14ac:dyDescent="0.25">
      <c r="A470" s="4"/>
      <c r="B470" s="4"/>
      <c r="C470" s="4"/>
    </row>
    <row r="471" spans="1:3" ht="15.75" customHeight="1" x14ac:dyDescent="0.25">
      <c r="A471" s="4"/>
      <c r="B471" s="4"/>
      <c r="C471" s="4"/>
    </row>
    <row r="472" spans="1:3" ht="15.75" customHeight="1" x14ac:dyDescent="0.25">
      <c r="A472" s="4"/>
      <c r="B472" s="4"/>
      <c r="C472" s="4"/>
    </row>
    <row r="473" spans="1:3" ht="15.75" customHeight="1" x14ac:dyDescent="0.25">
      <c r="A473" s="4"/>
      <c r="B473" s="4"/>
      <c r="C473" s="4"/>
    </row>
    <row r="474" spans="1:3" ht="15.75" customHeight="1" x14ac:dyDescent="0.25">
      <c r="A474" s="4"/>
      <c r="B474" s="4"/>
      <c r="C474" s="4"/>
    </row>
    <row r="475" spans="1:3" ht="15.75" customHeight="1" x14ac:dyDescent="0.25">
      <c r="A475" s="4"/>
      <c r="B475" s="4"/>
      <c r="C475" s="4"/>
    </row>
    <row r="476" spans="1:3" ht="15.75" customHeight="1" x14ac:dyDescent="0.25">
      <c r="A476" s="4"/>
      <c r="B476" s="4"/>
      <c r="C476" s="4"/>
    </row>
    <row r="477" spans="1:3" ht="15.75" customHeight="1" x14ac:dyDescent="0.25">
      <c r="A477" s="4"/>
      <c r="B477" s="4"/>
      <c r="C477" s="4"/>
    </row>
    <row r="478" spans="1:3" ht="15.75" customHeight="1" x14ac:dyDescent="0.25">
      <c r="A478" s="4"/>
      <c r="B478" s="4"/>
      <c r="C478" s="4"/>
    </row>
    <row r="479" spans="1:3" ht="15.75" customHeight="1" x14ac:dyDescent="0.25">
      <c r="A479" s="4"/>
      <c r="B479" s="4"/>
      <c r="C479" s="4"/>
    </row>
    <row r="480" spans="1:3" ht="15.75" customHeight="1" x14ac:dyDescent="0.25">
      <c r="A480" s="4"/>
      <c r="B480" s="4"/>
      <c r="C480" s="4"/>
    </row>
    <row r="481" spans="1:3" ht="15.75" customHeight="1" x14ac:dyDescent="0.25">
      <c r="A481" s="4"/>
      <c r="B481" s="4"/>
      <c r="C481" s="4"/>
    </row>
    <row r="482" spans="1:3" ht="15.75" customHeight="1" x14ac:dyDescent="0.25">
      <c r="A482" s="4"/>
      <c r="B482" s="4"/>
      <c r="C482" s="4"/>
    </row>
    <row r="483" spans="1:3" ht="15.75" customHeight="1" x14ac:dyDescent="0.25">
      <c r="A483" s="4"/>
      <c r="B483" s="4"/>
      <c r="C483" s="4"/>
    </row>
    <row r="484" spans="1:3" ht="15.75" customHeight="1" x14ac:dyDescent="0.25">
      <c r="A484" s="4"/>
      <c r="B484" s="4"/>
      <c r="C484" s="4"/>
    </row>
    <row r="485" spans="1:3" ht="15.75" customHeight="1" x14ac:dyDescent="0.25">
      <c r="A485" s="4"/>
      <c r="B485" s="4"/>
      <c r="C485" s="4"/>
    </row>
    <row r="486" spans="1:3" ht="15.75" customHeight="1" x14ac:dyDescent="0.25">
      <c r="A486" s="4"/>
      <c r="B486" s="4"/>
      <c r="C486" s="4"/>
    </row>
    <row r="487" spans="1:3" ht="15.75" customHeight="1" x14ac:dyDescent="0.25">
      <c r="A487" s="4"/>
      <c r="B487" s="4"/>
      <c r="C487" s="4"/>
    </row>
    <row r="488" spans="1:3" ht="15.75" customHeight="1" x14ac:dyDescent="0.25">
      <c r="A488" s="4"/>
      <c r="B488" s="4"/>
      <c r="C488" s="4"/>
    </row>
    <row r="489" spans="1:3" ht="15.75" customHeight="1" x14ac:dyDescent="0.25">
      <c r="A489" s="4"/>
      <c r="B489" s="4"/>
      <c r="C489" s="4"/>
    </row>
    <row r="490" spans="1:3" ht="15.75" customHeight="1" x14ac:dyDescent="0.25">
      <c r="A490" s="4"/>
      <c r="B490" s="4"/>
      <c r="C490" s="4"/>
    </row>
    <row r="491" spans="1:3" ht="15.75" customHeight="1" x14ac:dyDescent="0.25">
      <c r="A491" s="4"/>
      <c r="B491" s="4"/>
      <c r="C491" s="4"/>
    </row>
    <row r="492" spans="1:3" ht="15.75" customHeight="1" x14ac:dyDescent="0.25">
      <c r="A492" s="4"/>
      <c r="B492" s="4"/>
      <c r="C492" s="4"/>
    </row>
    <row r="493" spans="1:3" ht="15.75" customHeight="1" x14ac:dyDescent="0.25">
      <c r="A493" s="4"/>
      <c r="B493" s="4"/>
      <c r="C493" s="4"/>
    </row>
    <row r="494" spans="1:3" ht="15.75" customHeight="1" x14ac:dyDescent="0.25">
      <c r="A494" s="4"/>
      <c r="B494" s="4"/>
      <c r="C494" s="4"/>
    </row>
    <row r="495" spans="1:3" ht="15.75" customHeight="1" x14ac:dyDescent="0.25">
      <c r="A495" s="4"/>
      <c r="B495" s="4"/>
      <c r="C495" s="4"/>
    </row>
    <row r="496" spans="1:3" ht="15.75" customHeight="1" x14ac:dyDescent="0.25">
      <c r="A496" s="4"/>
      <c r="B496" s="4"/>
      <c r="C496" s="4"/>
    </row>
    <row r="497" spans="1:3" ht="15.75" customHeight="1" x14ac:dyDescent="0.25">
      <c r="A497" s="4"/>
      <c r="B497" s="4"/>
      <c r="C497" s="4"/>
    </row>
    <row r="498" spans="1:3" ht="15.75" customHeight="1" x14ac:dyDescent="0.25">
      <c r="A498" s="4"/>
      <c r="B498" s="4"/>
      <c r="C498" s="4"/>
    </row>
    <row r="499" spans="1:3" ht="15.75" customHeight="1" x14ac:dyDescent="0.25">
      <c r="A499" s="4"/>
      <c r="B499" s="4"/>
      <c r="C499" s="4"/>
    </row>
    <row r="500" spans="1:3" ht="15.75" customHeight="1" x14ac:dyDescent="0.25">
      <c r="A500" s="4"/>
      <c r="B500" s="4"/>
      <c r="C500" s="4"/>
    </row>
    <row r="501" spans="1:3" ht="15.75" customHeight="1" x14ac:dyDescent="0.25">
      <c r="A501" s="4"/>
      <c r="B501" s="4"/>
      <c r="C501" s="4"/>
    </row>
    <row r="502" spans="1:3" ht="15.75" customHeight="1" x14ac:dyDescent="0.25">
      <c r="A502" s="4"/>
      <c r="B502" s="4"/>
      <c r="C502" s="4"/>
    </row>
    <row r="503" spans="1:3" ht="15.75" customHeight="1" x14ac:dyDescent="0.25">
      <c r="A503" s="4"/>
      <c r="B503" s="4"/>
      <c r="C503" s="4"/>
    </row>
    <row r="504" spans="1:3" ht="15.75" customHeight="1" x14ac:dyDescent="0.25">
      <c r="A504" s="4"/>
      <c r="B504" s="4"/>
      <c r="C504" s="4"/>
    </row>
    <row r="505" spans="1:3" ht="15.75" customHeight="1" x14ac:dyDescent="0.25">
      <c r="A505" s="4"/>
      <c r="B505" s="4"/>
      <c r="C505" s="4"/>
    </row>
    <row r="506" spans="1:3" ht="15.75" customHeight="1" x14ac:dyDescent="0.25">
      <c r="A506" s="4"/>
      <c r="B506" s="4"/>
      <c r="C506" s="4"/>
    </row>
    <row r="507" spans="1:3" ht="15.75" customHeight="1" x14ac:dyDescent="0.25">
      <c r="A507" s="4"/>
      <c r="B507" s="4"/>
      <c r="C507" s="4"/>
    </row>
    <row r="508" spans="1:3" ht="15.75" customHeight="1" x14ac:dyDescent="0.25">
      <c r="A508" s="4"/>
      <c r="B508" s="4"/>
      <c r="C508" s="4"/>
    </row>
    <row r="509" spans="1:3" ht="15.75" customHeight="1" x14ac:dyDescent="0.25">
      <c r="A509" s="4"/>
      <c r="B509" s="4"/>
      <c r="C509" s="4"/>
    </row>
    <row r="510" spans="1:3" ht="15.75" customHeight="1" x14ac:dyDescent="0.25">
      <c r="A510" s="4"/>
      <c r="B510" s="4"/>
      <c r="C510" s="4"/>
    </row>
    <row r="511" spans="1:3" ht="15.75" customHeight="1" x14ac:dyDescent="0.25">
      <c r="A511" s="4"/>
      <c r="B511" s="4"/>
      <c r="C511" s="4"/>
    </row>
    <row r="512" spans="1:3" ht="15.75" customHeight="1" x14ac:dyDescent="0.25">
      <c r="A512" s="4"/>
      <c r="B512" s="4"/>
      <c r="C512" s="4"/>
    </row>
    <row r="513" spans="1:3" ht="15.75" customHeight="1" x14ac:dyDescent="0.25">
      <c r="A513" s="4"/>
      <c r="B513" s="4"/>
      <c r="C513" s="4"/>
    </row>
    <row r="514" spans="1:3" ht="15.75" customHeight="1" x14ac:dyDescent="0.25">
      <c r="A514" s="4"/>
      <c r="B514" s="4"/>
      <c r="C514" s="4"/>
    </row>
    <row r="515" spans="1:3" ht="15.75" customHeight="1" x14ac:dyDescent="0.25">
      <c r="A515" s="4"/>
      <c r="B515" s="4"/>
      <c r="C515" s="4"/>
    </row>
    <row r="516" spans="1:3" ht="15.75" customHeight="1" x14ac:dyDescent="0.25">
      <c r="A516" s="4"/>
      <c r="B516" s="4"/>
      <c r="C516" s="4"/>
    </row>
    <row r="517" spans="1:3" ht="15.75" customHeight="1" x14ac:dyDescent="0.25">
      <c r="A517" s="4"/>
      <c r="B517" s="4"/>
      <c r="C517" s="4"/>
    </row>
    <row r="518" spans="1:3" ht="15.75" customHeight="1" x14ac:dyDescent="0.25">
      <c r="A518" s="4"/>
      <c r="B518" s="4"/>
      <c r="C518" s="4"/>
    </row>
    <row r="519" spans="1:3" ht="15.75" customHeight="1" x14ac:dyDescent="0.25">
      <c r="A519" s="4"/>
      <c r="B519" s="4"/>
      <c r="C519" s="4"/>
    </row>
    <row r="520" spans="1:3" ht="15.75" customHeight="1" x14ac:dyDescent="0.25">
      <c r="A520" s="4"/>
      <c r="B520" s="4"/>
      <c r="C520" s="4"/>
    </row>
    <row r="521" spans="1:3" ht="15.75" customHeight="1" x14ac:dyDescent="0.25">
      <c r="A521" s="4"/>
      <c r="B521" s="4"/>
      <c r="C521" s="4"/>
    </row>
    <row r="522" spans="1:3" ht="15.75" customHeight="1" x14ac:dyDescent="0.25">
      <c r="A522" s="4"/>
      <c r="B522" s="4"/>
      <c r="C522" s="4"/>
    </row>
    <row r="523" spans="1:3" ht="15.75" customHeight="1" x14ac:dyDescent="0.25">
      <c r="A523" s="4"/>
      <c r="B523" s="4"/>
      <c r="C523" s="4"/>
    </row>
    <row r="524" spans="1:3" ht="15.75" customHeight="1" x14ac:dyDescent="0.25">
      <c r="A524" s="4"/>
      <c r="B524" s="4"/>
      <c r="C524" s="4"/>
    </row>
    <row r="525" spans="1:3" ht="15.75" customHeight="1" x14ac:dyDescent="0.25">
      <c r="A525" s="4"/>
      <c r="B525" s="4"/>
      <c r="C525" s="4"/>
    </row>
    <row r="526" spans="1:3" ht="15.75" customHeight="1" x14ac:dyDescent="0.25">
      <c r="A526" s="4"/>
      <c r="B526" s="4"/>
      <c r="C526" s="4"/>
    </row>
    <row r="527" spans="1:3" ht="15.75" customHeight="1" x14ac:dyDescent="0.25">
      <c r="A527" s="4"/>
      <c r="B527" s="4"/>
      <c r="C527" s="4"/>
    </row>
    <row r="528" spans="1:3" ht="15.75" customHeight="1" x14ac:dyDescent="0.25">
      <c r="A528" s="4"/>
      <c r="B528" s="4"/>
      <c r="C528" s="4"/>
    </row>
    <row r="529" spans="1:3" ht="15.75" customHeight="1" x14ac:dyDescent="0.25">
      <c r="A529" s="4"/>
      <c r="B529" s="4"/>
      <c r="C529" s="4"/>
    </row>
    <row r="530" spans="1:3" ht="15.75" customHeight="1" x14ac:dyDescent="0.25">
      <c r="A530" s="4"/>
      <c r="B530" s="4"/>
      <c r="C530" s="4"/>
    </row>
    <row r="531" spans="1:3" ht="15.75" customHeight="1" x14ac:dyDescent="0.25">
      <c r="A531" s="4"/>
      <c r="B531" s="4"/>
      <c r="C531" s="4"/>
    </row>
    <row r="532" spans="1:3" ht="15.75" customHeight="1" x14ac:dyDescent="0.25">
      <c r="A532" s="4"/>
      <c r="B532" s="4"/>
      <c r="C532" s="4"/>
    </row>
    <row r="533" spans="1:3" ht="15.75" customHeight="1" x14ac:dyDescent="0.25">
      <c r="A533" s="4"/>
      <c r="B533" s="4"/>
      <c r="C533" s="4"/>
    </row>
    <row r="534" spans="1:3" ht="15.75" customHeight="1" x14ac:dyDescent="0.25">
      <c r="A534" s="4"/>
      <c r="B534" s="4"/>
      <c r="C534" s="4"/>
    </row>
    <row r="535" spans="1:3" ht="15.75" customHeight="1" x14ac:dyDescent="0.25">
      <c r="A535" s="4"/>
      <c r="B535" s="4"/>
      <c r="C535" s="4"/>
    </row>
    <row r="536" spans="1:3" ht="15.75" customHeight="1" x14ac:dyDescent="0.25">
      <c r="A536" s="4"/>
      <c r="B536" s="4"/>
      <c r="C536" s="4"/>
    </row>
    <row r="537" spans="1:3" ht="15.75" customHeight="1" x14ac:dyDescent="0.25">
      <c r="A537" s="4"/>
      <c r="B537" s="4"/>
      <c r="C537" s="4"/>
    </row>
    <row r="538" spans="1:3" ht="15.75" customHeight="1" x14ac:dyDescent="0.25">
      <c r="A538" s="4"/>
      <c r="B538" s="4"/>
      <c r="C538" s="4"/>
    </row>
    <row r="539" spans="1:3" ht="15.75" customHeight="1" x14ac:dyDescent="0.25">
      <c r="A539" s="4"/>
      <c r="B539" s="4"/>
      <c r="C539" s="4"/>
    </row>
    <row r="540" spans="1:3" ht="15.75" customHeight="1" x14ac:dyDescent="0.25">
      <c r="A540" s="4"/>
      <c r="B540" s="4"/>
      <c r="C540" s="4"/>
    </row>
    <row r="541" spans="1:3" ht="15.75" customHeight="1" x14ac:dyDescent="0.25">
      <c r="A541" s="4"/>
      <c r="B541" s="4"/>
      <c r="C541" s="4"/>
    </row>
    <row r="542" spans="1:3" ht="15.75" customHeight="1" x14ac:dyDescent="0.25">
      <c r="A542" s="4"/>
      <c r="B542" s="4"/>
      <c r="C542" s="4"/>
    </row>
    <row r="543" spans="1:3" ht="15.75" customHeight="1" x14ac:dyDescent="0.25">
      <c r="A543" s="4"/>
      <c r="B543" s="4"/>
      <c r="C543" s="4"/>
    </row>
    <row r="544" spans="1:3" ht="15.75" customHeight="1" x14ac:dyDescent="0.25">
      <c r="A544" s="4"/>
      <c r="B544" s="4"/>
      <c r="C544" s="4"/>
    </row>
    <row r="545" spans="1:3" ht="15.75" customHeight="1" x14ac:dyDescent="0.25">
      <c r="A545" s="4"/>
      <c r="B545" s="4"/>
      <c r="C545" s="4"/>
    </row>
    <row r="546" spans="1:3" ht="15.75" customHeight="1" x14ac:dyDescent="0.25">
      <c r="A546" s="4"/>
      <c r="B546" s="4"/>
      <c r="C546" s="4"/>
    </row>
    <row r="547" spans="1:3" ht="15.75" customHeight="1" x14ac:dyDescent="0.25">
      <c r="A547" s="4"/>
      <c r="B547" s="4"/>
      <c r="C547" s="4"/>
    </row>
    <row r="548" spans="1:3" ht="15.75" customHeight="1" x14ac:dyDescent="0.25">
      <c r="A548" s="4"/>
      <c r="B548" s="4"/>
      <c r="C548" s="4"/>
    </row>
    <row r="549" spans="1:3" ht="15.75" customHeight="1" x14ac:dyDescent="0.25">
      <c r="A549" s="4"/>
      <c r="B549" s="4"/>
      <c r="C549" s="4"/>
    </row>
    <row r="550" spans="1:3" ht="15.75" customHeight="1" x14ac:dyDescent="0.25">
      <c r="A550" s="4"/>
      <c r="B550" s="4"/>
      <c r="C550" s="4"/>
    </row>
    <row r="551" spans="1:3" ht="15.75" customHeight="1" x14ac:dyDescent="0.25">
      <c r="A551" s="4"/>
      <c r="B551" s="4"/>
      <c r="C551" s="4"/>
    </row>
    <row r="552" spans="1:3" ht="15.75" customHeight="1" x14ac:dyDescent="0.25">
      <c r="A552" s="4"/>
      <c r="B552" s="4"/>
      <c r="C552" s="4"/>
    </row>
    <row r="553" spans="1:3" ht="15.75" customHeight="1" x14ac:dyDescent="0.25">
      <c r="A553" s="4"/>
      <c r="B553" s="4"/>
      <c r="C553" s="4"/>
    </row>
    <row r="554" spans="1:3" ht="15.75" customHeight="1" x14ac:dyDescent="0.25">
      <c r="A554" s="4"/>
      <c r="B554" s="4"/>
      <c r="C554" s="4"/>
    </row>
    <row r="555" spans="1:3" ht="15.75" customHeight="1" x14ac:dyDescent="0.25">
      <c r="A555" s="4"/>
      <c r="B555" s="4"/>
      <c r="C555" s="4"/>
    </row>
    <row r="556" spans="1:3" ht="15.75" customHeight="1" x14ac:dyDescent="0.25">
      <c r="A556" s="4"/>
      <c r="B556" s="4"/>
      <c r="C556" s="4"/>
    </row>
    <row r="557" spans="1:3" ht="15.75" customHeight="1" x14ac:dyDescent="0.25">
      <c r="A557" s="4"/>
      <c r="B557" s="4"/>
      <c r="C557" s="4"/>
    </row>
    <row r="558" spans="1:3" ht="15.75" customHeight="1" x14ac:dyDescent="0.25">
      <c r="A558" s="4"/>
      <c r="B558" s="4"/>
      <c r="C558" s="4"/>
    </row>
    <row r="559" spans="1:3" ht="15.75" customHeight="1" x14ac:dyDescent="0.25">
      <c r="A559" s="4"/>
      <c r="B559" s="4"/>
      <c r="C559" s="4"/>
    </row>
    <row r="560" spans="1:3" ht="15.75" customHeight="1" x14ac:dyDescent="0.25">
      <c r="A560" s="4"/>
      <c r="B560" s="4"/>
      <c r="C560" s="4"/>
    </row>
    <row r="561" spans="1:3" ht="15.75" customHeight="1" x14ac:dyDescent="0.25">
      <c r="A561" s="4"/>
      <c r="B561" s="4"/>
      <c r="C561" s="4"/>
    </row>
    <row r="562" spans="1:3" ht="15.75" customHeight="1" x14ac:dyDescent="0.25">
      <c r="A562" s="4"/>
      <c r="B562" s="4"/>
      <c r="C562" s="4"/>
    </row>
    <row r="563" spans="1:3" ht="15.75" customHeight="1" x14ac:dyDescent="0.25">
      <c r="A563" s="4"/>
      <c r="B563" s="4"/>
      <c r="C563" s="4"/>
    </row>
    <row r="564" spans="1:3" ht="15.75" customHeight="1" x14ac:dyDescent="0.25">
      <c r="A564" s="4"/>
      <c r="B564" s="4"/>
      <c r="C564" s="4"/>
    </row>
    <row r="565" spans="1:3" ht="15.75" customHeight="1" x14ac:dyDescent="0.25">
      <c r="A565" s="4"/>
      <c r="B565" s="4"/>
      <c r="C565" s="4"/>
    </row>
    <row r="566" spans="1:3" ht="15.75" customHeight="1" x14ac:dyDescent="0.25">
      <c r="A566" s="4"/>
      <c r="B566" s="4"/>
      <c r="C566" s="4"/>
    </row>
    <row r="567" spans="1:3" ht="15.75" customHeight="1" x14ac:dyDescent="0.25">
      <c r="A567" s="4"/>
      <c r="B567" s="4"/>
      <c r="C567" s="4"/>
    </row>
    <row r="568" spans="1:3" ht="15.75" customHeight="1" x14ac:dyDescent="0.25">
      <c r="A568" s="4"/>
      <c r="B568" s="4"/>
      <c r="C568" s="4"/>
    </row>
    <row r="569" spans="1:3" ht="15.75" customHeight="1" x14ac:dyDescent="0.25">
      <c r="A569" s="4"/>
      <c r="B569" s="4"/>
      <c r="C569" s="4"/>
    </row>
    <row r="570" spans="1:3" ht="15.75" customHeight="1" x14ac:dyDescent="0.25">
      <c r="A570" s="4"/>
      <c r="B570" s="4"/>
      <c r="C570" s="4"/>
    </row>
    <row r="571" spans="1:3" ht="15.75" customHeight="1" x14ac:dyDescent="0.25">
      <c r="A571" s="4"/>
      <c r="B571" s="4"/>
      <c r="C571" s="4"/>
    </row>
    <row r="572" spans="1:3" ht="15.75" customHeight="1" x14ac:dyDescent="0.25">
      <c r="A572" s="4"/>
      <c r="B572" s="4"/>
      <c r="C572" s="4"/>
    </row>
    <row r="573" spans="1:3" ht="15.75" customHeight="1" x14ac:dyDescent="0.25">
      <c r="A573" s="4"/>
      <c r="B573" s="4"/>
      <c r="C573" s="4"/>
    </row>
    <row r="574" spans="1:3" ht="15.75" customHeight="1" x14ac:dyDescent="0.25">
      <c r="A574" s="4"/>
      <c r="B574" s="4"/>
      <c r="C574" s="4"/>
    </row>
    <row r="575" spans="1:3" ht="15.75" customHeight="1" x14ac:dyDescent="0.25">
      <c r="A575" s="4"/>
      <c r="B575" s="4"/>
      <c r="C575" s="4"/>
    </row>
    <row r="576" spans="1:3" ht="15.75" customHeight="1" x14ac:dyDescent="0.25">
      <c r="A576" s="4"/>
      <c r="B576" s="4"/>
      <c r="C576" s="4"/>
    </row>
    <row r="577" spans="1:3" ht="15.75" customHeight="1" x14ac:dyDescent="0.25">
      <c r="A577" s="4"/>
      <c r="B577" s="4"/>
      <c r="C577" s="4"/>
    </row>
    <row r="578" spans="1:3" ht="15.75" customHeight="1" x14ac:dyDescent="0.25">
      <c r="A578" s="4"/>
      <c r="B578" s="4"/>
      <c r="C578" s="4"/>
    </row>
    <row r="579" spans="1:3" ht="15.75" customHeight="1" x14ac:dyDescent="0.25">
      <c r="A579" s="4"/>
      <c r="B579" s="4"/>
      <c r="C579" s="4"/>
    </row>
    <row r="580" spans="1:3" ht="15.75" customHeight="1" x14ac:dyDescent="0.25">
      <c r="A580" s="4"/>
      <c r="B580" s="4"/>
      <c r="C580" s="4"/>
    </row>
    <row r="581" spans="1:3" ht="15.75" customHeight="1" x14ac:dyDescent="0.25">
      <c r="A581" s="4"/>
      <c r="B581" s="4"/>
      <c r="C581" s="4"/>
    </row>
    <row r="582" spans="1:3" ht="15.75" customHeight="1" x14ac:dyDescent="0.25">
      <c r="A582" s="4"/>
      <c r="B582" s="4"/>
      <c r="C582" s="4"/>
    </row>
    <row r="583" spans="1:3" ht="15.75" customHeight="1" x14ac:dyDescent="0.25">
      <c r="A583" s="4"/>
      <c r="B583" s="4"/>
      <c r="C583" s="4"/>
    </row>
    <row r="584" spans="1:3" ht="15.75" customHeight="1" x14ac:dyDescent="0.25">
      <c r="A584" s="4"/>
      <c r="B584" s="4"/>
      <c r="C584" s="4"/>
    </row>
    <row r="585" spans="1:3" ht="15.75" customHeight="1" x14ac:dyDescent="0.25">
      <c r="A585" s="4"/>
      <c r="B585" s="4"/>
      <c r="C585" s="4"/>
    </row>
    <row r="586" spans="1:3" ht="15.75" customHeight="1" x14ac:dyDescent="0.25">
      <c r="A586" s="4"/>
      <c r="B586" s="4"/>
      <c r="C586" s="4"/>
    </row>
    <row r="587" spans="1:3" ht="15.75" customHeight="1" x14ac:dyDescent="0.25">
      <c r="A587" s="4"/>
      <c r="B587" s="4"/>
      <c r="C587" s="4"/>
    </row>
    <row r="588" spans="1:3" ht="15.75" customHeight="1" x14ac:dyDescent="0.25">
      <c r="A588" s="4"/>
      <c r="B588" s="4"/>
      <c r="C588" s="4"/>
    </row>
    <row r="589" spans="1:3" ht="15.75" customHeight="1" x14ac:dyDescent="0.25">
      <c r="A589" s="4"/>
      <c r="B589" s="4"/>
      <c r="C589" s="4"/>
    </row>
    <row r="590" spans="1:3" ht="15.75" customHeight="1" x14ac:dyDescent="0.25">
      <c r="A590" s="4"/>
      <c r="B590" s="4"/>
      <c r="C590" s="4"/>
    </row>
    <row r="591" spans="1:3" ht="15.75" customHeight="1" x14ac:dyDescent="0.25">
      <c r="A591" s="4"/>
      <c r="B591" s="4"/>
      <c r="C591" s="4"/>
    </row>
    <row r="592" spans="1:3" ht="15.75" customHeight="1" x14ac:dyDescent="0.25">
      <c r="A592" s="4"/>
      <c r="B592" s="4"/>
      <c r="C592" s="4"/>
    </row>
    <row r="593" spans="1:3" ht="15.75" customHeight="1" x14ac:dyDescent="0.25">
      <c r="A593" s="4"/>
      <c r="B593" s="4"/>
      <c r="C593" s="4"/>
    </row>
    <row r="594" spans="1:3" ht="15.75" customHeight="1" x14ac:dyDescent="0.25">
      <c r="A594" s="4"/>
      <c r="B594" s="4"/>
      <c r="C594" s="4"/>
    </row>
    <row r="595" spans="1:3" ht="15.75" customHeight="1" x14ac:dyDescent="0.25">
      <c r="A595" s="4"/>
      <c r="B595" s="4"/>
      <c r="C595" s="4"/>
    </row>
    <row r="596" spans="1:3" ht="15.75" customHeight="1" x14ac:dyDescent="0.25">
      <c r="A596" s="4"/>
      <c r="B596" s="4"/>
      <c r="C596" s="4"/>
    </row>
    <row r="597" spans="1:3" ht="15.75" customHeight="1" x14ac:dyDescent="0.25">
      <c r="A597" s="4"/>
      <c r="B597" s="4"/>
      <c r="C597" s="4"/>
    </row>
    <row r="598" spans="1:3" ht="15.75" customHeight="1" x14ac:dyDescent="0.25">
      <c r="A598" s="4"/>
      <c r="B598" s="4"/>
      <c r="C598" s="4"/>
    </row>
    <row r="599" spans="1:3" ht="15.75" customHeight="1" x14ac:dyDescent="0.25">
      <c r="A599" s="4"/>
      <c r="B599" s="4"/>
      <c r="C599" s="4"/>
    </row>
    <row r="600" spans="1:3" ht="15.75" customHeight="1" x14ac:dyDescent="0.25">
      <c r="A600" s="4"/>
      <c r="B600" s="4"/>
      <c r="C600" s="4"/>
    </row>
    <row r="601" spans="1:3" ht="15.75" customHeight="1" x14ac:dyDescent="0.25">
      <c r="A601" s="4"/>
      <c r="B601" s="4"/>
      <c r="C601" s="4"/>
    </row>
    <row r="602" spans="1:3" ht="15.75" customHeight="1" x14ac:dyDescent="0.25">
      <c r="A602" s="4"/>
      <c r="B602" s="4"/>
      <c r="C602" s="4"/>
    </row>
    <row r="603" spans="1:3" ht="15.75" customHeight="1" x14ac:dyDescent="0.25">
      <c r="A603" s="4"/>
      <c r="B603" s="4"/>
      <c r="C603" s="4"/>
    </row>
    <row r="604" spans="1:3" ht="15.75" customHeight="1" x14ac:dyDescent="0.25">
      <c r="A604" s="4"/>
      <c r="B604" s="4"/>
      <c r="C604" s="4"/>
    </row>
    <row r="605" spans="1:3" ht="15.75" customHeight="1" x14ac:dyDescent="0.25">
      <c r="A605" s="4"/>
      <c r="B605" s="4"/>
      <c r="C605" s="4"/>
    </row>
    <row r="606" spans="1:3" ht="15.75" customHeight="1" x14ac:dyDescent="0.25">
      <c r="A606" s="4"/>
      <c r="B606" s="4"/>
      <c r="C606" s="4"/>
    </row>
    <row r="607" spans="1:3" ht="15.75" customHeight="1" x14ac:dyDescent="0.25">
      <c r="A607" s="4"/>
      <c r="B607" s="4"/>
      <c r="C607" s="4"/>
    </row>
    <row r="608" spans="1:3" ht="15.75" customHeight="1" x14ac:dyDescent="0.25">
      <c r="A608" s="4"/>
      <c r="B608" s="4"/>
      <c r="C608" s="4"/>
    </row>
    <row r="609" spans="1:3" ht="15.75" customHeight="1" x14ac:dyDescent="0.25">
      <c r="A609" s="4"/>
      <c r="B609" s="4"/>
      <c r="C609" s="4"/>
    </row>
    <row r="610" spans="1:3" ht="15.75" customHeight="1" x14ac:dyDescent="0.25">
      <c r="A610" s="4"/>
      <c r="B610" s="4"/>
      <c r="C610" s="4"/>
    </row>
    <row r="611" spans="1:3" ht="15.75" customHeight="1" x14ac:dyDescent="0.25">
      <c r="A611" s="4"/>
      <c r="B611" s="4"/>
      <c r="C611" s="4"/>
    </row>
    <row r="612" spans="1:3" ht="15.75" customHeight="1" x14ac:dyDescent="0.25">
      <c r="A612" s="4"/>
      <c r="B612" s="4"/>
      <c r="C612" s="4"/>
    </row>
    <row r="613" spans="1:3" ht="15.75" customHeight="1" x14ac:dyDescent="0.25">
      <c r="A613" s="4"/>
      <c r="B613" s="4"/>
      <c r="C613" s="4"/>
    </row>
    <row r="614" spans="1:3" ht="15.75" customHeight="1" x14ac:dyDescent="0.25">
      <c r="A614" s="4"/>
      <c r="B614" s="4"/>
      <c r="C614" s="4"/>
    </row>
    <row r="615" spans="1:3" ht="15.75" customHeight="1" x14ac:dyDescent="0.25">
      <c r="A615" s="4"/>
      <c r="B615" s="4"/>
      <c r="C615" s="4"/>
    </row>
    <row r="616" spans="1:3" ht="15.75" customHeight="1" x14ac:dyDescent="0.25">
      <c r="A616" s="4"/>
      <c r="B616" s="4"/>
      <c r="C616" s="4"/>
    </row>
    <row r="617" spans="1:3" ht="15.75" customHeight="1" x14ac:dyDescent="0.25">
      <c r="A617" s="4"/>
      <c r="B617" s="4"/>
      <c r="C617" s="4"/>
    </row>
    <row r="618" spans="1:3" ht="15.75" customHeight="1" x14ac:dyDescent="0.25">
      <c r="A618" s="4"/>
      <c r="B618" s="4"/>
      <c r="C618" s="4"/>
    </row>
    <row r="619" spans="1:3" ht="15.75" customHeight="1" x14ac:dyDescent="0.25">
      <c r="A619" s="4"/>
      <c r="B619" s="4"/>
      <c r="C619" s="4"/>
    </row>
    <row r="620" spans="1:3" ht="15.75" customHeight="1" x14ac:dyDescent="0.25">
      <c r="A620" s="4"/>
      <c r="B620" s="4"/>
      <c r="C620" s="4"/>
    </row>
    <row r="621" spans="1:3" ht="15.75" customHeight="1" x14ac:dyDescent="0.25">
      <c r="A621" s="4"/>
      <c r="B621" s="4"/>
      <c r="C621" s="4"/>
    </row>
    <row r="622" spans="1:3" ht="15.75" customHeight="1" x14ac:dyDescent="0.25">
      <c r="A622" s="4"/>
      <c r="B622" s="4"/>
      <c r="C622" s="4"/>
    </row>
    <row r="623" spans="1:3" ht="15.75" customHeight="1" x14ac:dyDescent="0.25">
      <c r="A623" s="4"/>
      <c r="B623" s="4"/>
      <c r="C623" s="4"/>
    </row>
    <row r="624" spans="1:3" ht="15.75" customHeight="1" x14ac:dyDescent="0.25">
      <c r="A624" s="4"/>
      <c r="B624" s="4"/>
      <c r="C624" s="4"/>
    </row>
    <row r="625" spans="1:3" ht="15.75" customHeight="1" x14ac:dyDescent="0.25">
      <c r="A625" s="4"/>
      <c r="B625" s="4"/>
      <c r="C625" s="4"/>
    </row>
    <row r="626" spans="1:3" ht="15.75" customHeight="1" x14ac:dyDescent="0.25">
      <c r="A626" s="4"/>
      <c r="B626" s="4"/>
      <c r="C626" s="4"/>
    </row>
    <row r="627" spans="1:3" ht="15.75" customHeight="1" x14ac:dyDescent="0.25">
      <c r="A627" s="4"/>
      <c r="B627" s="4"/>
      <c r="C627" s="4"/>
    </row>
    <row r="628" spans="1:3" ht="15.75" customHeight="1" x14ac:dyDescent="0.25">
      <c r="A628" s="4"/>
      <c r="B628" s="4"/>
      <c r="C628" s="4"/>
    </row>
    <row r="629" spans="1:3" ht="15.75" customHeight="1" x14ac:dyDescent="0.25">
      <c r="A629" s="4"/>
      <c r="B629" s="4"/>
      <c r="C629" s="4"/>
    </row>
    <row r="630" spans="1:3" ht="15.75" customHeight="1" x14ac:dyDescent="0.25">
      <c r="A630" s="4"/>
      <c r="B630" s="4"/>
      <c r="C630" s="4"/>
    </row>
    <row r="631" spans="1:3" ht="15.75" customHeight="1" x14ac:dyDescent="0.25">
      <c r="A631" s="4"/>
      <c r="B631" s="4"/>
      <c r="C631" s="4"/>
    </row>
    <row r="632" spans="1:3" ht="15.75" customHeight="1" x14ac:dyDescent="0.25">
      <c r="A632" s="4"/>
      <c r="B632" s="4"/>
      <c r="C632" s="4"/>
    </row>
    <row r="633" spans="1:3" ht="15.75" customHeight="1" x14ac:dyDescent="0.25">
      <c r="A633" s="4"/>
      <c r="B633" s="4"/>
      <c r="C633" s="4"/>
    </row>
    <row r="634" spans="1:3" ht="15.75" customHeight="1" x14ac:dyDescent="0.25">
      <c r="A634" s="4"/>
      <c r="B634" s="4"/>
      <c r="C634" s="4"/>
    </row>
    <row r="635" spans="1:3" ht="15.75" customHeight="1" x14ac:dyDescent="0.25">
      <c r="A635" s="4"/>
      <c r="B635" s="4"/>
      <c r="C635" s="4"/>
    </row>
    <row r="636" spans="1:3" ht="15.75" customHeight="1" x14ac:dyDescent="0.25">
      <c r="A636" s="4"/>
      <c r="B636" s="4"/>
      <c r="C636" s="4"/>
    </row>
    <row r="637" spans="1:3" ht="15.75" customHeight="1" x14ac:dyDescent="0.25">
      <c r="A637" s="4"/>
      <c r="B637" s="4"/>
      <c r="C637" s="4"/>
    </row>
    <row r="638" spans="1:3" ht="15.75" customHeight="1" x14ac:dyDescent="0.25">
      <c r="A638" s="4"/>
      <c r="B638" s="4"/>
      <c r="C638" s="4"/>
    </row>
    <row r="639" spans="1:3" ht="15.75" customHeight="1" x14ac:dyDescent="0.25">
      <c r="A639" s="4"/>
      <c r="B639" s="4"/>
      <c r="C639" s="4"/>
    </row>
    <row r="640" spans="1:3" ht="15.75" customHeight="1" x14ac:dyDescent="0.25">
      <c r="A640" s="4"/>
      <c r="B640" s="4"/>
      <c r="C640" s="4"/>
    </row>
    <row r="641" spans="1:3" ht="15.75" customHeight="1" x14ac:dyDescent="0.25">
      <c r="A641" s="4"/>
      <c r="B641" s="4"/>
      <c r="C641" s="4"/>
    </row>
    <row r="642" spans="1:3" ht="15.75" customHeight="1" x14ac:dyDescent="0.25">
      <c r="A642" s="4"/>
      <c r="B642" s="4"/>
      <c r="C642" s="4"/>
    </row>
    <row r="643" spans="1:3" ht="15.75" customHeight="1" x14ac:dyDescent="0.25">
      <c r="A643" s="4"/>
      <c r="B643" s="4"/>
      <c r="C643" s="4"/>
    </row>
    <row r="644" spans="1:3" ht="15.75" customHeight="1" x14ac:dyDescent="0.25">
      <c r="A644" s="4"/>
      <c r="B644" s="4"/>
      <c r="C644" s="4"/>
    </row>
    <row r="645" spans="1:3" ht="15.75" customHeight="1" x14ac:dyDescent="0.25">
      <c r="A645" s="4"/>
      <c r="B645" s="4"/>
      <c r="C645" s="4"/>
    </row>
    <row r="646" spans="1:3" ht="15.75" customHeight="1" x14ac:dyDescent="0.25">
      <c r="A646" s="4"/>
      <c r="B646" s="4"/>
      <c r="C646" s="4"/>
    </row>
    <row r="647" spans="1:3" ht="15.75" customHeight="1" x14ac:dyDescent="0.25">
      <c r="A647" s="4"/>
      <c r="B647" s="4"/>
      <c r="C647" s="4"/>
    </row>
    <row r="648" spans="1:3" ht="15.75" customHeight="1" x14ac:dyDescent="0.25">
      <c r="A648" s="4"/>
      <c r="B648" s="4"/>
      <c r="C648" s="4"/>
    </row>
    <row r="649" spans="1:3" ht="15.75" customHeight="1" x14ac:dyDescent="0.25">
      <c r="A649" s="4"/>
      <c r="B649" s="4"/>
      <c r="C649" s="4"/>
    </row>
    <row r="650" spans="1:3" ht="15.75" customHeight="1" x14ac:dyDescent="0.25">
      <c r="A650" s="4"/>
      <c r="B650" s="4"/>
      <c r="C650" s="4"/>
    </row>
    <row r="651" spans="1:3" ht="15.75" customHeight="1" x14ac:dyDescent="0.25">
      <c r="A651" s="4"/>
      <c r="B651" s="4"/>
      <c r="C651" s="4"/>
    </row>
    <row r="652" spans="1:3" ht="15.75" customHeight="1" x14ac:dyDescent="0.25">
      <c r="A652" s="4"/>
      <c r="B652" s="4"/>
      <c r="C652" s="4"/>
    </row>
    <row r="653" spans="1:3" ht="15.75" customHeight="1" x14ac:dyDescent="0.25">
      <c r="A653" s="4"/>
      <c r="B653" s="4"/>
      <c r="C653" s="4"/>
    </row>
    <row r="654" spans="1:3" ht="15.75" customHeight="1" x14ac:dyDescent="0.25">
      <c r="A654" s="4"/>
      <c r="B654" s="4"/>
      <c r="C654" s="4"/>
    </row>
    <row r="655" spans="1:3" ht="15.75" customHeight="1" x14ac:dyDescent="0.25">
      <c r="A655" s="4"/>
      <c r="B655" s="4"/>
      <c r="C655" s="4"/>
    </row>
    <row r="656" spans="1:3" ht="15.75" customHeight="1" x14ac:dyDescent="0.25">
      <c r="A656" s="4"/>
      <c r="B656" s="4"/>
      <c r="C656" s="4"/>
    </row>
    <row r="657" spans="1:3" ht="15.75" customHeight="1" x14ac:dyDescent="0.25">
      <c r="A657" s="4"/>
      <c r="B657" s="4"/>
      <c r="C657" s="4"/>
    </row>
    <row r="658" spans="1:3" ht="15.75" customHeight="1" x14ac:dyDescent="0.25">
      <c r="A658" s="4"/>
      <c r="B658" s="4"/>
      <c r="C658" s="4"/>
    </row>
    <row r="659" spans="1:3" ht="15.75" customHeight="1" x14ac:dyDescent="0.25">
      <c r="A659" s="4"/>
      <c r="B659" s="4"/>
      <c r="C659" s="4"/>
    </row>
    <row r="660" spans="1:3" ht="15.75" customHeight="1" x14ac:dyDescent="0.25">
      <c r="A660" s="4"/>
      <c r="B660" s="4"/>
      <c r="C660" s="4"/>
    </row>
    <row r="661" spans="1:3" ht="15.75" customHeight="1" x14ac:dyDescent="0.25">
      <c r="A661" s="4"/>
      <c r="B661" s="4"/>
      <c r="C661" s="4"/>
    </row>
    <row r="662" spans="1:3" ht="15.75" customHeight="1" x14ac:dyDescent="0.25">
      <c r="A662" s="4"/>
      <c r="B662" s="4"/>
      <c r="C662" s="4"/>
    </row>
    <row r="663" spans="1:3" ht="15.75" customHeight="1" x14ac:dyDescent="0.25">
      <c r="A663" s="4"/>
      <c r="B663" s="4"/>
      <c r="C663" s="4"/>
    </row>
    <row r="664" spans="1:3" ht="15.75" customHeight="1" x14ac:dyDescent="0.25">
      <c r="A664" s="4"/>
      <c r="B664" s="4"/>
      <c r="C664" s="4"/>
    </row>
    <row r="665" spans="1:3" ht="15.75" customHeight="1" x14ac:dyDescent="0.25">
      <c r="A665" s="4"/>
      <c r="B665" s="4"/>
      <c r="C665" s="4"/>
    </row>
    <row r="666" spans="1:3" ht="15.75" customHeight="1" x14ac:dyDescent="0.25">
      <c r="A666" s="4"/>
      <c r="B666" s="4"/>
      <c r="C666" s="4"/>
    </row>
    <row r="667" spans="1:3" ht="15.75" customHeight="1" x14ac:dyDescent="0.25">
      <c r="A667" s="4"/>
      <c r="B667" s="4"/>
      <c r="C667" s="4"/>
    </row>
    <row r="668" spans="1:3" ht="15.75" customHeight="1" x14ac:dyDescent="0.25">
      <c r="A668" s="4"/>
      <c r="B668" s="4"/>
      <c r="C668" s="4"/>
    </row>
    <row r="669" spans="1:3" ht="15.75" customHeight="1" x14ac:dyDescent="0.25">
      <c r="A669" s="4"/>
      <c r="B669" s="4"/>
      <c r="C669" s="4"/>
    </row>
    <row r="670" spans="1:3" ht="15.75" customHeight="1" x14ac:dyDescent="0.25">
      <c r="A670" s="4"/>
      <c r="B670" s="4"/>
      <c r="C670" s="4"/>
    </row>
    <row r="671" spans="1:3" ht="15.75" customHeight="1" x14ac:dyDescent="0.25">
      <c r="A671" s="4"/>
      <c r="B671" s="4"/>
      <c r="C671" s="4"/>
    </row>
    <row r="672" spans="1:3" ht="15.75" customHeight="1" x14ac:dyDescent="0.25">
      <c r="A672" s="4"/>
      <c r="B672" s="4"/>
      <c r="C672" s="4"/>
    </row>
    <row r="673" spans="1:3" ht="15.75" customHeight="1" x14ac:dyDescent="0.25">
      <c r="A673" s="4"/>
      <c r="B673" s="4"/>
      <c r="C673" s="4"/>
    </row>
    <row r="674" spans="1:3" ht="15.75" customHeight="1" x14ac:dyDescent="0.25">
      <c r="A674" s="4"/>
      <c r="B674" s="4"/>
      <c r="C674" s="4"/>
    </row>
    <row r="675" spans="1:3" ht="15.75" customHeight="1" x14ac:dyDescent="0.25">
      <c r="A675" s="4"/>
      <c r="B675" s="4"/>
      <c r="C675" s="4"/>
    </row>
    <row r="676" spans="1:3" ht="15.75" customHeight="1" x14ac:dyDescent="0.25">
      <c r="A676" s="4"/>
      <c r="B676" s="4"/>
      <c r="C676" s="4"/>
    </row>
    <row r="677" spans="1:3" ht="15.75" customHeight="1" x14ac:dyDescent="0.25">
      <c r="A677" s="4"/>
      <c r="B677" s="4"/>
      <c r="C677" s="4"/>
    </row>
    <row r="678" spans="1:3" ht="15.75" customHeight="1" x14ac:dyDescent="0.25">
      <c r="A678" s="4"/>
      <c r="B678" s="4"/>
      <c r="C678" s="4"/>
    </row>
    <row r="679" spans="1:3" ht="15.75" customHeight="1" x14ac:dyDescent="0.25">
      <c r="A679" s="4"/>
      <c r="B679" s="4"/>
      <c r="C679" s="4"/>
    </row>
    <row r="680" spans="1:3" ht="15.75" customHeight="1" x14ac:dyDescent="0.25">
      <c r="A680" s="4"/>
      <c r="B680" s="4"/>
      <c r="C680" s="4"/>
    </row>
    <row r="681" spans="1:3" ht="15.75" customHeight="1" x14ac:dyDescent="0.25">
      <c r="A681" s="4"/>
      <c r="B681" s="4"/>
      <c r="C681" s="4"/>
    </row>
    <row r="682" spans="1:3" ht="15.75" customHeight="1" x14ac:dyDescent="0.25">
      <c r="A682" s="4"/>
      <c r="B682" s="4"/>
      <c r="C682" s="4"/>
    </row>
    <row r="683" spans="1:3" ht="15.75" customHeight="1" x14ac:dyDescent="0.25">
      <c r="A683" s="4"/>
      <c r="B683" s="4"/>
      <c r="C683" s="4"/>
    </row>
    <row r="684" spans="1:3" ht="15.75" customHeight="1" x14ac:dyDescent="0.25">
      <c r="A684" s="4"/>
      <c r="B684" s="4"/>
      <c r="C684" s="4"/>
    </row>
    <row r="685" spans="1:3" ht="15.75" customHeight="1" x14ac:dyDescent="0.25">
      <c r="A685" s="4"/>
      <c r="B685" s="4"/>
      <c r="C685" s="4"/>
    </row>
    <row r="686" spans="1:3" ht="15.75" customHeight="1" x14ac:dyDescent="0.25">
      <c r="A686" s="4"/>
      <c r="B686" s="4"/>
      <c r="C686" s="4"/>
    </row>
    <row r="687" spans="1:3" ht="15.75" customHeight="1" x14ac:dyDescent="0.25">
      <c r="A687" s="4"/>
      <c r="B687" s="4"/>
      <c r="C687" s="4"/>
    </row>
    <row r="688" spans="1:3" ht="15.75" customHeight="1" x14ac:dyDescent="0.25">
      <c r="A688" s="4"/>
      <c r="B688" s="4"/>
      <c r="C688" s="4"/>
    </row>
    <row r="689" spans="1:3" ht="15.75" customHeight="1" x14ac:dyDescent="0.25">
      <c r="A689" s="4"/>
      <c r="B689" s="4"/>
      <c r="C689" s="4"/>
    </row>
    <row r="690" spans="1:3" ht="15.75" customHeight="1" x14ac:dyDescent="0.25">
      <c r="A690" s="4"/>
      <c r="B690" s="4"/>
      <c r="C690" s="4"/>
    </row>
    <row r="691" spans="1:3" ht="15.75" customHeight="1" x14ac:dyDescent="0.25">
      <c r="A691" s="4"/>
      <c r="B691" s="4"/>
      <c r="C691" s="4"/>
    </row>
    <row r="692" spans="1:3" ht="15.75" customHeight="1" x14ac:dyDescent="0.25">
      <c r="A692" s="4"/>
      <c r="B692" s="4"/>
      <c r="C692" s="4"/>
    </row>
    <row r="693" spans="1:3" ht="15.75" customHeight="1" x14ac:dyDescent="0.25">
      <c r="A693" s="4"/>
      <c r="B693" s="4"/>
      <c r="C693" s="4"/>
    </row>
    <row r="694" spans="1:3" ht="15.75" customHeight="1" x14ac:dyDescent="0.25">
      <c r="A694" s="4"/>
      <c r="B694" s="4"/>
      <c r="C694" s="4"/>
    </row>
    <row r="695" spans="1:3" ht="15.75" customHeight="1" x14ac:dyDescent="0.25">
      <c r="A695" s="4"/>
      <c r="B695" s="4"/>
      <c r="C695" s="4"/>
    </row>
    <row r="696" spans="1:3" ht="15.75" customHeight="1" x14ac:dyDescent="0.25">
      <c r="A696" s="4"/>
      <c r="B696" s="4"/>
      <c r="C696" s="4"/>
    </row>
    <row r="697" spans="1:3" ht="15.75" customHeight="1" x14ac:dyDescent="0.25">
      <c r="A697" s="4"/>
      <c r="B697" s="4"/>
      <c r="C697" s="4"/>
    </row>
    <row r="698" spans="1:3" ht="15.75" customHeight="1" x14ac:dyDescent="0.25">
      <c r="A698" s="4"/>
      <c r="B698" s="4"/>
      <c r="C698" s="4"/>
    </row>
    <row r="699" spans="1:3" ht="15.75" customHeight="1" x14ac:dyDescent="0.25">
      <c r="A699" s="4"/>
      <c r="B699" s="4"/>
      <c r="C699" s="4"/>
    </row>
    <row r="700" spans="1:3" ht="15.75" customHeight="1" x14ac:dyDescent="0.25">
      <c r="A700" s="4"/>
      <c r="B700" s="4"/>
      <c r="C700" s="4"/>
    </row>
    <row r="701" spans="1:3" ht="15.75" customHeight="1" x14ac:dyDescent="0.25">
      <c r="A701" s="4"/>
      <c r="B701" s="4"/>
      <c r="C701" s="4"/>
    </row>
    <row r="702" spans="1:3" ht="15.75" customHeight="1" x14ac:dyDescent="0.25">
      <c r="A702" s="4"/>
      <c r="B702" s="4"/>
      <c r="C702" s="4"/>
    </row>
    <row r="703" spans="1:3" ht="15.75" customHeight="1" x14ac:dyDescent="0.25">
      <c r="A703" s="4"/>
      <c r="B703" s="4"/>
      <c r="C703" s="4"/>
    </row>
    <row r="704" spans="1:3" ht="15.75" customHeight="1" x14ac:dyDescent="0.25">
      <c r="A704" s="4"/>
      <c r="B704" s="4"/>
      <c r="C704" s="4"/>
    </row>
    <row r="705" spans="1:3" ht="15.75" customHeight="1" x14ac:dyDescent="0.25">
      <c r="A705" s="4"/>
      <c r="B705" s="4"/>
      <c r="C705" s="4"/>
    </row>
    <row r="706" spans="1:3" ht="15.75" customHeight="1" x14ac:dyDescent="0.25">
      <c r="A706" s="4"/>
      <c r="B706" s="4"/>
      <c r="C706" s="4"/>
    </row>
    <row r="707" spans="1:3" ht="15.75" customHeight="1" x14ac:dyDescent="0.25">
      <c r="A707" s="4"/>
      <c r="B707" s="4"/>
      <c r="C707" s="4"/>
    </row>
    <row r="708" spans="1:3" ht="15.75" customHeight="1" x14ac:dyDescent="0.25">
      <c r="A708" s="4"/>
      <c r="B708" s="4"/>
      <c r="C708" s="4"/>
    </row>
    <row r="709" spans="1:3" ht="15.75" customHeight="1" x14ac:dyDescent="0.25">
      <c r="A709" s="4"/>
      <c r="B709" s="4"/>
      <c r="C709" s="4"/>
    </row>
    <row r="710" spans="1:3" ht="15.75" customHeight="1" x14ac:dyDescent="0.25">
      <c r="A710" s="4"/>
      <c r="B710" s="4"/>
      <c r="C710" s="4"/>
    </row>
    <row r="711" spans="1:3" ht="15.75" customHeight="1" x14ac:dyDescent="0.25">
      <c r="A711" s="4"/>
      <c r="B711" s="4"/>
      <c r="C711" s="4"/>
    </row>
    <row r="712" spans="1:3" ht="15.75" customHeight="1" x14ac:dyDescent="0.25">
      <c r="A712" s="4"/>
      <c r="B712" s="4"/>
      <c r="C712" s="4"/>
    </row>
    <row r="713" spans="1:3" ht="15.75" customHeight="1" x14ac:dyDescent="0.25">
      <c r="A713" s="4"/>
      <c r="B713" s="4"/>
      <c r="C713" s="4"/>
    </row>
    <row r="714" spans="1:3" ht="15.75" customHeight="1" x14ac:dyDescent="0.25">
      <c r="A714" s="4"/>
      <c r="B714" s="4"/>
      <c r="C714" s="4"/>
    </row>
    <row r="715" spans="1:3" ht="15.75" customHeight="1" x14ac:dyDescent="0.25">
      <c r="A715" s="4"/>
      <c r="B715" s="4"/>
      <c r="C715" s="4"/>
    </row>
    <row r="716" spans="1:3" ht="15.75" customHeight="1" x14ac:dyDescent="0.25">
      <c r="A716" s="4"/>
      <c r="B716" s="4"/>
      <c r="C716" s="4"/>
    </row>
    <row r="717" spans="1:3" ht="15.75" customHeight="1" x14ac:dyDescent="0.25">
      <c r="A717" s="4"/>
      <c r="B717" s="4"/>
      <c r="C717" s="4"/>
    </row>
    <row r="718" spans="1:3" ht="15.75" customHeight="1" x14ac:dyDescent="0.25">
      <c r="A718" s="4"/>
      <c r="B718" s="4"/>
      <c r="C718" s="4"/>
    </row>
    <row r="719" spans="1:3" ht="15.75" customHeight="1" x14ac:dyDescent="0.25">
      <c r="A719" s="4"/>
      <c r="B719" s="4"/>
      <c r="C719" s="4"/>
    </row>
    <row r="720" spans="1:3" ht="15.75" customHeight="1" x14ac:dyDescent="0.25">
      <c r="A720" s="4"/>
      <c r="B720" s="4"/>
      <c r="C720" s="4"/>
    </row>
    <row r="721" spans="1:3" ht="15.75" customHeight="1" x14ac:dyDescent="0.25">
      <c r="A721" s="4"/>
      <c r="B721" s="4"/>
      <c r="C721" s="4"/>
    </row>
    <row r="722" spans="1:3" ht="15.75" customHeight="1" x14ac:dyDescent="0.25">
      <c r="A722" s="4"/>
      <c r="B722" s="4"/>
      <c r="C722" s="4"/>
    </row>
    <row r="723" spans="1:3" ht="15.75" customHeight="1" x14ac:dyDescent="0.25">
      <c r="A723" s="4"/>
      <c r="B723" s="4"/>
      <c r="C723" s="4"/>
    </row>
    <row r="724" spans="1:3" ht="15.75" customHeight="1" x14ac:dyDescent="0.25">
      <c r="A724" s="4"/>
      <c r="B724" s="4"/>
      <c r="C724" s="4"/>
    </row>
    <row r="725" spans="1:3" ht="15.75" customHeight="1" x14ac:dyDescent="0.25">
      <c r="A725" s="4"/>
      <c r="B725" s="4"/>
      <c r="C725" s="4"/>
    </row>
    <row r="726" spans="1:3" ht="15.75" customHeight="1" x14ac:dyDescent="0.25">
      <c r="A726" s="4"/>
      <c r="B726" s="4"/>
      <c r="C726" s="4"/>
    </row>
    <row r="727" spans="1:3" ht="15.75" customHeight="1" x14ac:dyDescent="0.25">
      <c r="A727" s="4"/>
      <c r="B727" s="4"/>
      <c r="C727" s="4"/>
    </row>
    <row r="728" spans="1:3" ht="15.75" customHeight="1" x14ac:dyDescent="0.25">
      <c r="A728" s="4"/>
      <c r="B728" s="4"/>
      <c r="C728" s="4"/>
    </row>
    <row r="729" spans="1:3" ht="15.75" customHeight="1" x14ac:dyDescent="0.25">
      <c r="A729" s="4"/>
      <c r="B729" s="4"/>
      <c r="C729" s="4"/>
    </row>
    <row r="730" spans="1:3" ht="15.75" customHeight="1" x14ac:dyDescent="0.25">
      <c r="A730" s="4"/>
      <c r="B730" s="4"/>
      <c r="C730" s="4"/>
    </row>
    <row r="731" spans="1:3" ht="15.75" customHeight="1" x14ac:dyDescent="0.25">
      <c r="A731" s="4"/>
      <c r="B731" s="4"/>
      <c r="C731" s="4"/>
    </row>
    <row r="732" spans="1:3" ht="15.75" customHeight="1" x14ac:dyDescent="0.25">
      <c r="A732" s="4"/>
      <c r="B732" s="4"/>
      <c r="C732" s="4"/>
    </row>
    <row r="733" spans="1:3" ht="15.75" customHeight="1" x14ac:dyDescent="0.25">
      <c r="A733" s="4"/>
      <c r="B733" s="4"/>
      <c r="C733" s="4"/>
    </row>
    <row r="734" spans="1:3" ht="15.75" customHeight="1" x14ac:dyDescent="0.25">
      <c r="A734" s="4"/>
      <c r="B734" s="4"/>
      <c r="C734" s="4"/>
    </row>
    <row r="735" spans="1:3" ht="15.75" customHeight="1" x14ac:dyDescent="0.25">
      <c r="A735" s="4"/>
      <c r="B735" s="4"/>
      <c r="C735" s="4"/>
    </row>
    <row r="736" spans="1:3" ht="15.75" customHeight="1" x14ac:dyDescent="0.25">
      <c r="A736" s="4"/>
      <c r="B736" s="4"/>
      <c r="C736" s="4"/>
    </row>
    <row r="737" spans="1:3" ht="15.75" customHeight="1" x14ac:dyDescent="0.25">
      <c r="A737" s="4"/>
      <c r="B737" s="4"/>
      <c r="C737" s="4"/>
    </row>
    <row r="738" spans="1:3" ht="15.75" customHeight="1" x14ac:dyDescent="0.25">
      <c r="A738" s="4"/>
      <c r="B738" s="4"/>
      <c r="C738" s="4"/>
    </row>
    <row r="739" spans="1:3" ht="15.75" customHeight="1" x14ac:dyDescent="0.25">
      <c r="A739" s="4"/>
      <c r="B739" s="4"/>
      <c r="C739" s="4"/>
    </row>
    <row r="740" spans="1:3" ht="15.75" customHeight="1" x14ac:dyDescent="0.25">
      <c r="A740" s="4"/>
      <c r="B740" s="4"/>
      <c r="C740" s="4"/>
    </row>
    <row r="741" spans="1:3" ht="15.75" customHeight="1" x14ac:dyDescent="0.25">
      <c r="A741" s="4"/>
      <c r="B741" s="4"/>
      <c r="C741" s="4"/>
    </row>
    <row r="742" spans="1:3" ht="15.75" customHeight="1" x14ac:dyDescent="0.25">
      <c r="A742" s="4"/>
      <c r="B742" s="4"/>
      <c r="C742" s="4"/>
    </row>
    <row r="743" spans="1:3" ht="15.75" customHeight="1" x14ac:dyDescent="0.25">
      <c r="A743" s="4"/>
      <c r="B743" s="4"/>
      <c r="C743" s="4"/>
    </row>
    <row r="744" spans="1:3" ht="15.75" customHeight="1" x14ac:dyDescent="0.25">
      <c r="A744" s="4"/>
      <c r="B744" s="4"/>
      <c r="C744" s="4"/>
    </row>
    <row r="745" spans="1:3" ht="15.75" customHeight="1" x14ac:dyDescent="0.25">
      <c r="A745" s="4"/>
      <c r="B745" s="4"/>
      <c r="C745" s="4"/>
    </row>
    <row r="746" spans="1:3" ht="15.75" customHeight="1" x14ac:dyDescent="0.25">
      <c r="A746" s="4"/>
      <c r="B746" s="4"/>
      <c r="C746" s="4"/>
    </row>
    <row r="747" spans="1:3" ht="15.75" customHeight="1" x14ac:dyDescent="0.25">
      <c r="A747" s="4"/>
      <c r="B747" s="4"/>
      <c r="C747" s="4"/>
    </row>
    <row r="748" spans="1:3" ht="15.75" customHeight="1" x14ac:dyDescent="0.25">
      <c r="A748" s="4"/>
      <c r="B748" s="4"/>
      <c r="C748" s="4"/>
    </row>
    <row r="749" spans="1:3" ht="15.75" customHeight="1" x14ac:dyDescent="0.25">
      <c r="A749" s="4"/>
      <c r="B749" s="4"/>
      <c r="C749" s="4"/>
    </row>
    <row r="750" spans="1:3" ht="15.75" customHeight="1" x14ac:dyDescent="0.25">
      <c r="A750" s="4"/>
      <c r="B750" s="4"/>
      <c r="C750" s="4"/>
    </row>
    <row r="751" spans="1:3" ht="15.75" customHeight="1" x14ac:dyDescent="0.25">
      <c r="A751" s="4"/>
      <c r="B751" s="4"/>
      <c r="C751" s="4"/>
    </row>
    <row r="752" spans="1:3" ht="15.75" customHeight="1" x14ac:dyDescent="0.25">
      <c r="A752" s="4"/>
      <c r="B752" s="4"/>
      <c r="C752" s="4"/>
    </row>
    <row r="753" spans="1:3" ht="15.75" customHeight="1" x14ac:dyDescent="0.25">
      <c r="A753" s="4"/>
      <c r="B753" s="4"/>
      <c r="C753" s="4"/>
    </row>
    <row r="754" spans="1:3" ht="15.75" customHeight="1" x14ac:dyDescent="0.25">
      <c r="A754" s="4"/>
      <c r="B754" s="4"/>
      <c r="C754" s="4"/>
    </row>
    <row r="755" spans="1:3" ht="15.75" customHeight="1" x14ac:dyDescent="0.25">
      <c r="A755" s="4"/>
      <c r="B755" s="4"/>
      <c r="C755" s="4"/>
    </row>
    <row r="756" spans="1:3" ht="15.75" customHeight="1" x14ac:dyDescent="0.25">
      <c r="A756" s="4"/>
      <c r="B756" s="4"/>
      <c r="C756" s="4"/>
    </row>
    <row r="757" spans="1:3" ht="15.75" customHeight="1" x14ac:dyDescent="0.25">
      <c r="A757" s="4"/>
      <c r="B757" s="4"/>
      <c r="C757" s="4"/>
    </row>
    <row r="758" spans="1:3" ht="15.75" customHeight="1" x14ac:dyDescent="0.25">
      <c r="A758" s="4"/>
      <c r="B758" s="4"/>
      <c r="C758" s="4"/>
    </row>
    <row r="759" spans="1:3" ht="15.75" customHeight="1" x14ac:dyDescent="0.25">
      <c r="A759" s="4"/>
      <c r="B759" s="4"/>
      <c r="C759" s="4"/>
    </row>
    <row r="760" spans="1:3" ht="15.75" customHeight="1" x14ac:dyDescent="0.25">
      <c r="A760" s="4"/>
      <c r="B760" s="4"/>
      <c r="C760" s="4"/>
    </row>
    <row r="761" spans="1:3" ht="15.75" customHeight="1" x14ac:dyDescent="0.25">
      <c r="A761" s="4"/>
      <c r="B761" s="4"/>
      <c r="C761" s="4"/>
    </row>
    <row r="762" spans="1:3" ht="15.75" customHeight="1" x14ac:dyDescent="0.25">
      <c r="A762" s="4"/>
      <c r="B762" s="4"/>
      <c r="C762" s="4"/>
    </row>
    <row r="763" spans="1:3" ht="15.75" customHeight="1" x14ac:dyDescent="0.25">
      <c r="A763" s="4"/>
      <c r="B763" s="4"/>
      <c r="C763" s="4"/>
    </row>
    <row r="764" spans="1:3" ht="15.75" customHeight="1" x14ac:dyDescent="0.25">
      <c r="A764" s="4"/>
      <c r="B764" s="4"/>
      <c r="C764" s="4"/>
    </row>
    <row r="765" spans="1:3" ht="15.75" customHeight="1" x14ac:dyDescent="0.25">
      <c r="A765" s="4"/>
      <c r="B765" s="4"/>
      <c r="C765" s="4"/>
    </row>
    <row r="766" spans="1:3" ht="15.75" customHeight="1" x14ac:dyDescent="0.25">
      <c r="A766" s="4"/>
      <c r="B766" s="4"/>
      <c r="C766" s="4"/>
    </row>
    <row r="767" spans="1:3" ht="15.75" customHeight="1" x14ac:dyDescent="0.25">
      <c r="A767" s="4"/>
      <c r="B767" s="4"/>
      <c r="C767" s="4"/>
    </row>
    <row r="768" spans="1:3" ht="15.75" customHeight="1" x14ac:dyDescent="0.25">
      <c r="A768" s="4"/>
      <c r="B768" s="4"/>
      <c r="C768" s="4"/>
    </row>
    <row r="769" spans="1:3" ht="15.75" customHeight="1" x14ac:dyDescent="0.25">
      <c r="A769" s="4"/>
      <c r="B769" s="4"/>
      <c r="C769" s="4"/>
    </row>
    <row r="770" spans="1:3" ht="15.75" customHeight="1" x14ac:dyDescent="0.25">
      <c r="A770" s="4"/>
      <c r="B770" s="4"/>
      <c r="C770" s="4"/>
    </row>
    <row r="771" spans="1:3" ht="15.75" customHeight="1" x14ac:dyDescent="0.25">
      <c r="A771" s="4"/>
      <c r="B771" s="4"/>
      <c r="C771" s="4"/>
    </row>
    <row r="772" spans="1:3" ht="15.75" customHeight="1" x14ac:dyDescent="0.25">
      <c r="A772" s="4"/>
      <c r="B772" s="4"/>
      <c r="C772" s="4"/>
    </row>
    <row r="773" spans="1:3" ht="15.75" customHeight="1" x14ac:dyDescent="0.25">
      <c r="A773" s="4"/>
      <c r="B773" s="4"/>
      <c r="C773" s="4"/>
    </row>
    <row r="774" spans="1:3" ht="15.75" customHeight="1" x14ac:dyDescent="0.25">
      <c r="A774" s="4"/>
      <c r="B774" s="4"/>
      <c r="C774" s="4"/>
    </row>
    <row r="775" spans="1:3" ht="15.75" customHeight="1" x14ac:dyDescent="0.25">
      <c r="A775" s="4"/>
      <c r="B775" s="4"/>
      <c r="C775" s="4"/>
    </row>
    <row r="776" spans="1:3" ht="15.75" customHeight="1" x14ac:dyDescent="0.25">
      <c r="A776" s="4"/>
      <c r="B776" s="4"/>
      <c r="C776" s="4"/>
    </row>
    <row r="777" spans="1:3" ht="15.75" customHeight="1" x14ac:dyDescent="0.25">
      <c r="A777" s="4"/>
      <c r="B777" s="4"/>
      <c r="C777" s="4"/>
    </row>
    <row r="778" spans="1:3" ht="15.75" customHeight="1" x14ac:dyDescent="0.25">
      <c r="A778" s="4"/>
      <c r="B778" s="4"/>
      <c r="C778" s="4"/>
    </row>
    <row r="779" spans="1:3" ht="15.75" customHeight="1" x14ac:dyDescent="0.25">
      <c r="A779" s="4"/>
      <c r="B779" s="4"/>
      <c r="C779" s="4"/>
    </row>
    <row r="780" spans="1:3" ht="15.75" customHeight="1" x14ac:dyDescent="0.25">
      <c r="A780" s="4"/>
      <c r="B780" s="4"/>
      <c r="C780" s="4"/>
    </row>
    <row r="781" spans="1:3" ht="15.75" customHeight="1" x14ac:dyDescent="0.25">
      <c r="A781" s="4"/>
      <c r="B781" s="4"/>
      <c r="C781" s="4"/>
    </row>
    <row r="782" spans="1:3" ht="15.75" customHeight="1" x14ac:dyDescent="0.25">
      <c r="A782" s="4"/>
      <c r="B782" s="4"/>
      <c r="C782" s="4"/>
    </row>
    <row r="783" spans="1:3" ht="15.75" customHeight="1" x14ac:dyDescent="0.25">
      <c r="A783" s="4"/>
      <c r="B783" s="4"/>
      <c r="C783" s="4"/>
    </row>
    <row r="784" spans="1:3" ht="15.75" customHeight="1" x14ac:dyDescent="0.25">
      <c r="A784" s="4"/>
      <c r="B784" s="4"/>
      <c r="C784" s="4"/>
    </row>
    <row r="785" spans="1:3" ht="15.75" customHeight="1" x14ac:dyDescent="0.25">
      <c r="A785" s="4"/>
      <c r="B785" s="4"/>
      <c r="C785" s="4"/>
    </row>
    <row r="786" spans="1:3" ht="15.75" customHeight="1" x14ac:dyDescent="0.25">
      <c r="A786" s="4"/>
      <c r="B786" s="4"/>
      <c r="C786" s="4"/>
    </row>
    <row r="787" spans="1:3" ht="15.75" customHeight="1" x14ac:dyDescent="0.25">
      <c r="A787" s="4"/>
      <c r="B787" s="4"/>
      <c r="C787" s="4"/>
    </row>
    <row r="788" spans="1:3" ht="15.75" customHeight="1" x14ac:dyDescent="0.25">
      <c r="A788" s="4"/>
      <c r="B788" s="4"/>
      <c r="C788" s="4"/>
    </row>
    <row r="789" spans="1:3" ht="15.75" customHeight="1" x14ac:dyDescent="0.25">
      <c r="A789" s="4"/>
      <c r="B789" s="4"/>
      <c r="C789" s="4"/>
    </row>
    <row r="790" spans="1:3" ht="15.75" customHeight="1" x14ac:dyDescent="0.25">
      <c r="A790" s="4"/>
      <c r="B790" s="4"/>
      <c r="C790" s="4"/>
    </row>
    <row r="791" spans="1:3" ht="15.75" customHeight="1" x14ac:dyDescent="0.25">
      <c r="A791" s="4"/>
      <c r="B791" s="4"/>
      <c r="C791" s="4"/>
    </row>
    <row r="792" spans="1:3" ht="15.75" customHeight="1" x14ac:dyDescent="0.25">
      <c r="A792" s="4"/>
      <c r="B792" s="4"/>
      <c r="C792" s="4"/>
    </row>
    <row r="793" spans="1:3" ht="15.75" customHeight="1" x14ac:dyDescent="0.25">
      <c r="A793" s="4"/>
      <c r="B793" s="4"/>
      <c r="C793" s="4"/>
    </row>
    <row r="794" spans="1:3" ht="15.75" customHeight="1" x14ac:dyDescent="0.25">
      <c r="A794" s="4"/>
      <c r="B794" s="4"/>
      <c r="C794" s="4"/>
    </row>
    <row r="795" spans="1:3" ht="15.75" customHeight="1" x14ac:dyDescent="0.25">
      <c r="A795" s="4"/>
      <c r="B795" s="4"/>
      <c r="C795" s="4"/>
    </row>
    <row r="796" spans="1:3" ht="15.75" customHeight="1" x14ac:dyDescent="0.25">
      <c r="A796" s="4"/>
      <c r="B796" s="4"/>
      <c r="C796" s="4"/>
    </row>
    <row r="797" spans="1:3" ht="15.75" customHeight="1" x14ac:dyDescent="0.25">
      <c r="A797" s="4"/>
      <c r="B797" s="4"/>
      <c r="C797" s="4"/>
    </row>
    <row r="798" spans="1:3" ht="15.75" customHeight="1" x14ac:dyDescent="0.25">
      <c r="A798" s="4"/>
      <c r="B798" s="4"/>
      <c r="C798" s="4"/>
    </row>
    <row r="799" spans="1:3" ht="15.75" customHeight="1" x14ac:dyDescent="0.25">
      <c r="A799" s="4"/>
      <c r="B799" s="4"/>
      <c r="C799" s="4"/>
    </row>
    <row r="800" spans="1:3" ht="15.75" customHeight="1" x14ac:dyDescent="0.25">
      <c r="A800" s="4"/>
      <c r="B800" s="4"/>
      <c r="C800" s="4"/>
    </row>
    <row r="801" spans="1:3" ht="15.75" customHeight="1" x14ac:dyDescent="0.25">
      <c r="A801" s="4"/>
      <c r="B801" s="4"/>
      <c r="C801" s="4"/>
    </row>
    <row r="802" spans="1:3" ht="15.75" customHeight="1" x14ac:dyDescent="0.25">
      <c r="A802" s="4"/>
      <c r="B802" s="4"/>
      <c r="C802" s="4"/>
    </row>
    <row r="803" spans="1:3" ht="15.75" customHeight="1" x14ac:dyDescent="0.25">
      <c r="A803" s="4"/>
      <c r="B803" s="4"/>
      <c r="C803" s="4"/>
    </row>
    <row r="804" spans="1:3" ht="15.75" customHeight="1" x14ac:dyDescent="0.25">
      <c r="A804" s="4"/>
      <c r="B804" s="4"/>
      <c r="C804" s="4"/>
    </row>
    <row r="805" spans="1:3" ht="15.75" customHeight="1" x14ac:dyDescent="0.25">
      <c r="A805" s="4"/>
      <c r="B805" s="4"/>
      <c r="C805" s="4"/>
    </row>
    <row r="806" spans="1:3" ht="15.75" customHeight="1" x14ac:dyDescent="0.25">
      <c r="A806" s="4"/>
      <c r="B806" s="4"/>
      <c r="C806" s="4"/>
    </row>
    <row r="807" spans="1:3" ht="15.75" customHeight="1" x14ac:dyDescent="0.25">
      <c r="A807" s="4"/>
      <c r="B807" s="4"/>
      <c r="C807" s="4"/>
    </row>
    <row r="808" spans="1:3" ht="15.75" customHeight="1" x14ac:dyDescent="0.25">
      <c r="A808" s="4"/>
      <c r="B808" s="4"/>
      <c r="C808" s="4"/>
    </row>
    <row r="809" spans="1:3" ht="15.75" customHeight="1" x14ac:dyDescent="0.25">
      <c r="A809" s="4"/>
      <c r="B809" s="4"/>
      <c r="C809" s="4"/>
    </row>
    <row r="810" spans="1:3" ht="15.75" customHeight="1" x14ac:dyDescent="0.25">
      <c r="A810" s="4"/>
      <c r="B810" s="4"/>
      <c r="C810" s="4"/>
    </row>
    <row r="811" spans="1:3" ht="15.75" customHeight="1" x14ac:dyDescent="0.25">
      <c r="A811" s="4"/>
      <c r="B811" s="4"/>
      <c r="C811" s="4"/>
    </row>
    <row r="812" spans="1:3" ht="15.75" customHeight="1" x14ac:dyDescent="0.25">
      <c r="A812" s="4"/>
      <c r="B812" s="4"/>
      <c r="C812" s="4"/>
    </row>
    <row r="813" spans="1:3" ht="15.75" customHeight="1" x14ac:dyDescent="0.25">
      <c r="A813" s="4"/>
      <c r="B813" s="4"/>
      <c r="C813" s="4"/>
    </row>
    <row r="814" spans="1:3" ht="15.75" customHeight="1" x14ac:dyDescent="0.25">
      <c r="A814" s="4"/>
      <c r="B814" s="4"/>
      <c r="C814" s="4"/>
    </row>
    <row r="815" spans="1:3" ht="15.75" customHeight="1" x14ac:dyDescent="0.25">
      <c r="A815" s="4"/>
      <c r="B815" s="4"/>
      <c r="C815" s="4"/>
    </row>
    <row r="816" spans="1:3" ht="15.75" customHeight="1" x14ac:dyDescent="0.25">
      <c r="A816" s="4"/>
      <c r="B816" s="4"/>
      <c r="C816" s="4"/>
    </row>
    <row r="817" spans="1:3" ht="15.75" customHeight="1" x14ac:dyDescent="0.25">
      <c r="A817" s="4"/>
      <c r="B817" s="4"/>
      <c r="C817" s="4"/>
    </row>
    <row r="818" spans="1:3" ht="15.75" customHeight="1" x14ac:dyDescent="0.25">
      <c r="A818" s="4"/>
      <c r="B818" s="4"/>
      <c r="C818" s="4"/>
    </row>
    <row r="819" spans="1:3" ht="15.75" customHeight="1" x14ac:dyDescent="0.25">
      <c r="A819" s="4"/>
      <c r="B819" s="4"/>
      <c r="C819" s="4"/>
    </row>
    <row r="820" spans="1:3" ht="15.75" customHeight="1" x14ac:dyDescent="0.25">
      <c r="A820" s="4"/>
      <c r="B820" s="4"/>
      <c r="C820" s="4"/>
    </row>
    <row r="821" spans="1:3" ht="15.75" customHeight="1" x14ac:dyDescent="0.25">
      <c r="A821" s="4"/>
      <c r="B821" s="4"/>
      <c r="C821" s="4"/>
    </row>
    <row r="822" spans="1:3" ht="15.75" customHeight="1" x14ac:dyDescent="0.25">
      <c r="A822" s="4"/>
      <c r="B822" s="4"/>
      <c r="C822" s="4"/>
    </row>
    <row r="823" spans="1:3" ht="15.75" customHeight="1" x14ac:dyDescent="0.25">
      <c r="A823" s="4"/>
      <c r="B823" s="4"/>
      <c r="C823" s="4"/>
    </row>
    <row r="824" spans="1:3" ht="15.75" customHeight="1" x14ac:dyDescent="0.25">
      <c r="A824" s="4"/>
      <c r="B824" s="4"/>
      <c r="C824" s="4"/>
    </row>
    <row r="825" spans="1:3" ht="15.75" customHeight="1" x14ac:dyDescent="0.25">
      <c r="A825" s="4"/>
      <c r="B825" s="4"/>
      <c r="C825" s="4"/>
    </row>
    <row r="826" spans="1:3" ht="15.75" customHeight="1" x14ac:dyDescent="0.25">
      <c r="A826" s="4"/>
      <c r="B826" s="4"/>
      <c r="C826" s="4"/>
    </row>
    <row r="827" spans="1:3" ht="15.75" customHeight="1" x14ac:dyDescent="0.25">
      <c r="A827" s="4"/>
      <c r="B827" s="4"/>
      <c r="C827" s="4"/>
    </row>
    <row r="828" spans="1:3" ht="15.75" customHeight="1" x14ac:dyDescent="0.25">
      <c r="A828" s="4"/>
      <c r="B828" s="4"/>
      <c r="C828" s="4"/>
    </row>
    <row r="829" spans="1:3" ht="15.75" customHeight="1" x14ac:dyDescent="0.25">
      <c r="A829" s="4"/>
      <c r="B829" s="4"/>
      <c r="C829" s="4"/>
    </row>
    <row r="830" spans="1:3" ht="15.75" customHeight="1" x14ac:dyDescent="0.25">
      <c r="A830" s="4"/>
      <c r="B830" s="4"/>
      <c r="C830" s="4"/>
    </row>
    <row r="831" spans="1:3" ht="15.75" customHeight="1" x14ac:dyDescent="0.25">
      <c r="A831" s="4"/>
      <c r="B831" s="4"/>
      <c r="C831" s="4"/>
    </row>
    <row r="832" spans="1:3" ht="15.75" customHeight="1" x14ac:dyDescent="0.25">
      <c r="A832" s="4"/>
      <c r="B832" s="4"/>
      <c r="C832" s="4"/>
    </row>
    <row r="833" spans="1:3" ht="15.75" customHeight="1" x14ac:dyDescent="0.25">
      <c r="A833" s="4"/>
      <c r="B833" s="4"/>
      <c r="C833" s="4"/>
    </row>
    <row r="834" spans="1:3" ht="15.75" customHeight="1" x14ac:dyDescent="0.25">
      <c r="A834" s="4"/>
      <c r="B834" s="4"/>
      <c r="C834" s="4"/>
    </row>
    <row r="835" spans="1:3" ht="15.75" customHeight="1" x14ac:dyDescent="0.25">
      <c r="A835" s="4"/>
      <c r="B835" s="4"/>
      <c r="C835" s="4"/>
    </row>
    <row r="836" spans="1:3" ht="15.75" customHeight="1" x14ac:dyDescent="0.25">
      <c r="A836" s="4"/>
      <c r="B836" s="4"/>
      <c r="C836" s="4"/>
    </row>
    <row r="837" spans="1:3" ht="15.75" customHeight="1" x14ac:dyDescent="0.25">
      <c r="A837" s="4"/>
      <c r="B837" s="4"/>
      <c r="C837" s="4"/>
    </row>
    <row r="838" spans="1:3" ht="15.75" customHeight="1" x14ac:dyDescent="0.25">
      <c r="A838" s="4"/>
      <c r="B838" s="4"/>
      <c r="C838" s="4"/>
    </row>
    <row r="839" spans="1:3" ht="15.75" customHeight="1" x14ac:dyDescent="0.25">
      <c r="A839" s="4"/>
      <c r="B839" s="4"/>
      <c r="C839" s="4"/>
    </row>
    <row r="840" spans="1:3" ht="15.75" customHeight="1" x14ac:dyDescent="0.25">
      <c r="A840" s="4"/>
      <c r="B840" s="4"/>
      <c r="C840" s="4"/>
    </row>
    <row r="841" spans="1:3" ht="15.75" customHeight="1" x14ac:dyDescent="0.25">
      <c r="A841" s="4"/>
      <c r="B841" s="4"/>
      <c r="C841" s="4"/>
    </row>
    <row r="842" spans="1:3" ht="15.75" customHeight="1" x14ac:dyDescent="0.25">
      <c r="A842" s="4"/>
      <c r="B842" s="4"/>
      <c r="C842" s="4"/>
    </row>
    <row r="843" spans="1:3" ht="15.75" customHeight="1" x14ac:dyDescent="0.25">
      <c r="A843" s="4"/>
      <c r="B843" s="4"/>
      <c r="C843" s="4"/>
    </row>
    <row r="844" spans="1:3" ht="15.75" customHeight="1" x14ac:dyDescent="0.25">
      <c r="A844" s="4"/>
      <c r="B844" s="4"/>
      <c r="C844" s="4"/>
    </row>
    <row r="845" spans="1:3" ht="15.75" customHeight="1" x14ac:dyDescent="0.25">
      <c r="A845" s="4"/>
      <c r="B845" s="4"/>
      <c r="C845" s="4"/>
    </row>
    <row r="846" spans="1:3" ht="15.75" customHeight="1" x14ac:dyDescent="0.25">
      <c r="A846" s="4"/>
      <c r="B846" s="4"/>
      <c r="C846" s="4"/>
    </row>
    <row r="847" spans="1:3" ht="15.75" customHeight="1" x14ac:dyDescent="0.25">
      <c r="A847" s="4"/>
      <c r="B847" s="4"/>
      <c r="C847" s="4"/>
    </row>
    <row r="848" spans="1:3" ht="15.75" customHeight="1" x14ac:dyDescent="0.25">
      <c r="A848" s="4"/>
      <c r="B848" s="4"/>
      <c r="C848" s="4"/>
    </row>
    <row r="849" spans="1:3" ht="15.75" customHeight="1" x14ac:dyDescent="0.25">
      <c r="A849" s="4"/>
      <c r="B849" s="4"/>
      <c r="C849" s="4"/>
    </row>
    <row r="850" spans="1:3" ht="15.75" customHeight="1" x14ac:dyDescent="0.25">
      <c r="A850" s="4"/>
      <c r="B850" s="4"/>
      <c r="C850" s="4"/>
    </row>
    <row r="851" spans="1:3" ht="15.75" customHeight="1" x14ac:dyDescent="0.25">
      <c r="A851" s="4"/>
      <c r="B851" s="4"/>
      <c r="C851" s="4"/>
    </row>
    <row r="852" spans="1:3" ht="15.75" customHeight="1" x14ac:dyDescent="0.25">
      <c r="A852" s="4"/>
      <c r="B852" s="4"/>
      <c r="C852" s="4"/>
    </row>
    <row r="853" spans="1:3" ht="15.75" customHeight="1" x14ac:dyDescent="0.25">
      <c r="A853" s="4"/>
      <c r="B853" s="4"/>
      <c r="C853" s="4"/>
    </row>
    <row r="854" spans="1:3" ht="15.75" customHeight="1" x14ac:dyDescent="0.25">
      <c r="A854" s="4"/>
      <c r="B854" s="4"/>
      <c r="C854" s="4"/>
    </row>
    <row r="855" spans="1:3" ht="15.75" customHeight="1" x14ac:dyDescent="0.25">
      <c r="A855" s="4"/>
      <c r="B855" s="4"/>
      <c r="C855" s="4"/>
    </row>
    <row r="856" spans="1:3" ht="15.75" customHeight="1" x14ac:dyDescent="0.25">
      <c r="A856" s="4"/>
      <c r="B856" s="4"/>
      <c r="C856" s="4"/>
    </row>
    <row r="857" spans="1:3" ht="15.75" customHeight="1" x14ac:dyDescent="0.25">
      <c r="A857" s="4"/>
      <c r="B857" s="4"/>
      <c r="C857" s="4"/>
    </row>
    <row r="858" spans="1:3" ht="15.75" customHeight="1" x14ac:dyDescent="0.25">
      <c r="A858" s="4"/>
      <c r="B858" s="4"/>
      <c r="C858" s="4"/>
    </row>
    <row r="859" spans="1:3" ht="15.75" customHeight="1" x14ac:dyDescent="0.25">
      <c r="A859" s="4"/>
      <c r="B859" s="4"/>
      <c r="C859" s="4"/>
    </row>
    <row r="860" spans="1:3" ht="15.75" customHeight="1" x14ac:dyDescent="0.25">
      <c r="A860" s="4"/>
      <c r="B860" s="4"/>
      <c r="C860" s="4"/>
    </row>
    <row r="861" spans="1:3" ht="15.75" customHeight="1" x14ac:dyDescent="0.25">
      <c r="A861" s="4"/>
      <c r="B861" s="4"/>
      <c r="C861" s="4"/>
    </row>
    <row r="862" spans="1:3" ht="15.75" customHeight="1" x14ac:dyDescent="0.25">
      <c r="A862" s="4"/>
      <c r="B862" s="4"/>
      <c r="C862" s="4"/>
    </row>
    <row r="863" spans="1:3" ht="15.75" customHeight="1" x14ac:dyDescent="0.25">
      <c r="A863" s="4"/>
      <c r="B863" s="4"/>
      <c r="C863" s="4"/>
    </row>
    <row r="864" spans="1:3" ht="15.75" customHeight="1" x14ac:dyDescent="0.25">
      <c r="A864" s="4"/>
      <c r="B864" s="4"/>
      <c r="C864" s="4"/>
    </row>
    <row r="865" spans="1:3" ht="15.75" customHeight="1" x14ac:dyDescent="0.25">
      <c r="A865" s="4"/>
      <c r="B865" s="4"/>
      <c r="C865" s="4"/>
    </row>
    <row r="866" spans="1:3" ht="15.75" customHeight="1" x14ac:dyDescent="0.25">
      <c r="A866" s="4"/>
      <c r="B866" s="4"/>
      <c r="C866" s="4"/>
    </row>
    <row r="867" spans="1:3" ht="15.75" customHeight="1" x14ac:dyDescent="0.25">
      <c r="A867" s="4"/>
      <c r="B867" s="4"/>
      <c r="C867" s="4"/>
    </row>
    <row r="868" spans="1:3" ht="15.75" customHeight="1" x14ac:dyDescent="0.25">
      <c r="A868" s="4"/>
      <c r="B868" s="4"/>
      <c r="C868" s="4"/>
    </row>
    <row r="869" spans="1:3" ht="15.75" customHeight="1" x14ac:dyDescent="0.25">
      <c r="A869" s="4"/>
      <c r="B869" s="4"/>
      <c r="C869" s="4"/>
    </row>
    <row r="870" spans="1:3" ht="15.75" customHeight="1" x14ac:dyDescent="0.25">
      <c r="A870" s="4"/>
      <c r="B870" s="4"/>
      <c r="C870" s="4"/>
    </row>
    <row r="871" spans="1:3" ht="15.75" customHeight="1" x14ac:dyDescent="0.25">
      <c r="A871" s="4"/>
      <c r="B871" s="4"/>
      <c r="C871" s="4"/>
    </row>
    <row r="872" spans="1:3" ht="15.75" customHeight="1" x14ac:dyDescent="0.25">
      <c r="A872" s="4"/>
      <c r="B872" s="4"/>
      <c r="C872" s="4"/>
    </row>
    <row r="873" spans="1:3" ht="15.75" customHeight="1" x14ac:dyDescent="0.25">
      <c r="A873" s="4"/>
      <c r="B873" s="4"/>
      <c r="C873" s="4"/>
    </row>
    <row r="874" spans="1:3" ht="15.75" customHeight="1" x14ac:dyDescent="0.25">
      <c r="A874" s="4"/>
      <c r="B874" s="4"/>
      <c r="C874" s="4"/>
    </row>
    <row r="875" spans="1:3" ht="15.75" customHeight="1" x14ac:dyDescent="0.25">
      <c r="A875" s="4"/>
      <c r="B875" s="4"/>
      <c r="C875" s="4"/>
    </row>
    <row r="876" spans="1:3" ht="15.75" customHeight="1" x14ac:dyDescent="0.25">
      <c r="A876" s="4"/>
      <c r="B876" s="4"/>
      <c r="C876" s="4"/>
    </row>
    <row r="877" spans="1:3" ht="15.75" customHeight="1" x14ac:dyDescent="0.25">
      <c r="A877" s="4"/>
      <c r="B877" s="4"/>
      <c r="C877" s="4"/>
    </row>
    <row r="878" spans="1:3" ht="15.75" customHeight="1" x14ac:dyDescent="0.25">
      <c r="A878" s="4"/>
      <c r="B878" s="4"/>
      <c r="C878" s="4"/>
    </row>
    <row r="879" spans="1:3" ht="15.75" customHeight="1" x14ac:dyDescent="0.25">
      <c r="A879" s="4"/>
      <c r="B879" s="4"/>
      <c r="C879" s="4"/>
    </row>
    <row r="880" spans="1:3" ht="15.75" customHeight="1" x14ac:dyDescent="0.25">
      <c r="A880" s="4"/>
      <c r="B880" s="4"/>
      <c r="C880" s="4"/>
    </row>
    <row r="881" spans="1:3" ht="15.75" customHeight="1" x14ac:dyDescent="0.25">
      <c r="A881" s="4"/>
      <c r="B881" s="4"/>
      <c r="C881" s="4"/>
    </row>
    <row r="882" spans="1:3" ht="15.75" customHeight="1" x14ac:dyDescent="0.25">
      <c r="A882" s="4"/>
      <c r="B882" s="4"/>
      <c r="C882" s="4"/>
    </row>
    <row r="883" spans="1:3" ht="15.75" customHeight="1" x14ac:dyDescent="0.25">
      <c r="A883" s="4"/>
      <c r="B883" s="4"/>
      <c r="C883" s="4"/>
    </row>
    <row r="884" spans="1:3" ht="15.75" customHeight="1" x14ac:dyDescent="0.25">
      <c r="A884" s="4"/>
      <c r="B884" s="4"/>
      <c r="C884" s="4"/>
    </row>
    <row r="885" spans="1:3" ht="15.75" customHeight="1" x14ac:dyDescent="0.25">
      <c r="A885" s="4"/>
      <c r="B885" s="4"/>
      <c r="C885" s="4"/>
    </row>
    <row r="886" spans="1:3" ht="15.75" customHeight="1" x14ac:dyDescent="0.25">
      <c r="A886" s="4"/>
      <c r="B886" s="4"/>
      <c r="C886" s="4"/>
    </row>
    <row r="887" spans="1:3" ht="15.75" customHeight="1" x14ac:dyDescent="0.25">
      <c r="A887" s="4"/>
      <c r="B887" s="4"/>
      <c r="C887" s="4"/>
    </row>
    <row r="888" spans="1:3" ht="15.75" customHeight="1" x14ac:dyDescent="0.25">
      <c r="A888" s="4"/>
      <c r="B888" s="4"/>
      <c r="C888" s="4"/>
    </row>
    <row r="889" spans="1:3" ht="15.75" customHeight="1" x14ac:dyDescent="0.25">
      <c r="A889" s="4"/>
      <c r="B889" s="4"/>
      <c r="C889" s="4"/>
    </row>
    <row r="890" spans="1:3" ht="15.75" customHeight="1" x14ac:dyDescent="0.25">
      <c r="A890" s="4"/>
      <c r="B890" s="4"/>
      <c r="C890" s="4"/>
    </row>
    <row r="891" spans="1:3" ht="15.75" customHeight="1" x14ac:dyDescent="0.25">
      <c r="A891" s="4"/>
      <c r="B891" s="4"/>
      <c r="C891" s="4"/>
    </row>
    <row r="892" spans="1:3" ht="15.75" customHeight="1" x14ac:dyDescent="0.25">
      <c r="A892" s="4"/>
      <c r="B892" s="4"/>
      <c r="C892" s="4"/>
    </row>
    <row r="893" spans="1:3" ht="15.75" customHeight="1" x14ac:dyDescent="0.25">
      <c r="A893" s="4"/>
      <c r="B893" s="4"/>
      <c r="C893" s="4"/>
    </row>
    <row r="894" spans="1:3" ht="15.75" customHeight="1" x14ac:dyDescent="0.25">
      <c r="A894" s="4"/>
      <c r="B894" s="4"/>
      <c r="C894" s="4"/>
    </row>
    <row r="895" spans="1:3" ht="15.75" customHeight="1" x14ac:dyDescent="0.25">
      <c r="A895" s="4"/>
      <c r="B895" s="4"/>
      <c r="C895" s="4"/>
    </row>
    <row r="896" spans="1:3" ht="15.75" customHeight="1" x14ac:dyDescent="0.25">
      <c r="A896" s="4"/>
      <c r="B896" s="4"/>
      <c r="C896" s="4"/>
    </row>
    <row r="897" spans="1:3" ht="15.75" customHeight="1" x14ac:dyDescent="0.25">
      <c r="A897" s="4"/>
      <c r="B897" s="4"/>
      <c r="C897" s="4"/>
    </row>
    <row r="898" spans="1:3" ht="15.75" customHeight="1" x14ac:dyDescent="0.25">
      <c r="A898" s="4"/>
      <c r="B898" s="4"/>
      <c r="C898" s="4"/>
    </row>
    <row r="899" spans="1:3" ht="15.75" customHeight="1" x14ac:dyDescent="0.25">
      <c r="A899" s="4"/>
      <c r="B899" s="4"/>
      <c r="C899" s="4"/>
    </row>
    <row r="900" spans="1:3" ht="15.75" customHeight="1" x14ac:dyDescent="0.25">
      <c r="A900" s="4"/>
      <c r="B900" s="4"/>
      <c r="C900" s="4"/>
    </row>
    <row r="901" spans="1:3" ht="15.75" customHeight="1" x14ac:dyDescent="0.25">
      <c r="A901" s="4"/>
      <c r="B901" s="4"/>
      <c r="C901" s="4"/>
    </row>
    <row r="902" spans="1:3" ht="15.75" customHeight="1" x14ac:dyDescent="0.25">
      <c r="A902" s="4"/>
      <c r="B902" s="4"/>
      <c r="C902" s="4"/>
    </row>
    <row r="903" spans="1:3" ht="15.75" customHeight="1" x14ac:dyDescent="0.25">
      <c r="A903" s="4"/>
      <c r="B903" s="4"/>
      <c r="C903" s="4"/>
    </row>
    <row r="904" spans="1:3" ht="15.75" customHeight="1" x14ac:dyDescent="0.25">
      <c r="A904" s="4"/>
      <c r="B904" s="4"/>
      <c r="C904" s="4"/>
    </row>
    <row r="905" spans="1:3" ht="15.75" customHeight="1" x14ac:dyDescent="0.25">
      <c r="A905" s="4"/>
      <c r="B905" s="4"/>
      <c r="C905" s="4"/>
    </row>
    <row r="906" spans="1:3" ht="15.75" customHeight="1" x14ac:dyDescent="0.25">
      <c r="A906" s="4"/>
      <c r="B906" s="4"/>
      <c r="C906" s="4"/>
    </row>
    <row r="907" spans="1:3" ht="15.75" customHeight="1" x14ac:dyDescent="0.25">
      <c r="A907" s="4"/>
      <c r="B907" s="4"/>
      <c r="C907" s="4"/>
    </row>
    <row r="908" spans="1:3" ht="15.75" customHeight="1" x14ac:dyDescent="0.25">
      <c r="A908" s="4"/>
      <c r="B908" s="4"/>
      <c r="C908" s="4"/>
    </row>
    <row r="909" spans="1:3" ht="15.75" customHeight="1" x14ac:dyDescent="0.25">
      <c r="A909" s="4"/>
      <c r="B909" s="4"/>
      <c r="C909" s="4"/>
    </row>
    <row r="910" spans="1:3" ht="15.75" customHeight="1" x14ac:dyDescent="0.25">
      <c r="A910" s="4"/>
      <c r="B910" s="4"/>
      <c r="C910" s="4"/>
    </row>
    <row r="911" spans="1:3" ht="15.75" customHeight="1" x14ac:dyDescent="0.25">
      <c r="A911" s="4"/>
      <c r="B911" s="4"/>
      <c r="C911" s="4"/>
    </row>
    <row r="912" spans="1:3" ht="15.75" customHeight="1" x14ac:dyDescent="0.25">
      <c r="A912" s="4"/>
      <c r="B912" s="4"/>
      <c r="C912" s="4"/>
    </row>
    <row r="913" spans="1:3" ht="15.75" customHeight="1" x14ac:dyDescent="0.25">
      <c r="A913" s="4"/>
      <c r="B913" s="4"/>
      <c r="C913" s="4"/>
    </row>
    <row r="914" spans="1:3" ht="15.75" customHeight="1" x14ac:dyDescent="0.25">
      <c r="A914" s="4"/>
      <c r="B914" s="4"/>
      <c r="C914" s="4"/>
    </row>
    <row r="915" spans="1:3" ht="15.75" customHeight="1" x14ac:dyDescent="0.25">
      <c r="A915" s="4"/>
      <c r="B915" s="4"/>
      <c r="C915" s="4"/>
    </row>
    <row r="916" spans="1:3" ht="15.75" customHeight="1" x14ac:dyDescent="0.25">
      <c r="A916" s="4"/>
      <c r="B916" s="4"/>
      <c r="C916" s="4"/>
    </row>
    <row r="917" spans="1:3" ht="15.75" customHeight="1" x14ac:dyDescent="0.25">
      <c r="A917" s="4"/>
      <c r="B917" s="4"/>
      <c r="C917" s="4"/>
    </row>
    <row r="918" spans="1:3" ht="15.75" customHeight="1" x14ac:dyDescent="0.25">
      <c r="A918" s="4"/>
      <c r="B918" s="4"/>
      <c r="C918" s="4"/>
    </row>
    <row r="919" spans="1:3" ht="15.75" customHeight="1" x14ac:dyDescent="0.25">
      <c r="A919" s="4"/>
      <c r="B919" s="4"/>
      <c r="C919" s="4"/>
    </row>
    <row r="920" spans="1:3" ht="15.75" customHeight="1" x14ac:dyDescent="0.25">
      <c r="A920" s="4"/>
      <c r="B920" s="4"/>
      <c r="C920" s="4"/>
    </row>
    <row r="921" spans="1:3" ht="15.75" customHeight="1" x14ac:dyDescent="0.25">
      <c r="A921" s="4"/>
      <c r="B921" s="4"/>
      <c r="C921" s="4"/>
    </row>
    <row r="922" spans="1:3" ht="15.75" customHeight="1" x14ac:dyDescent="0.25">
      <c r="A922" s="4"/>
      <c r="B922" s="4"/>
      <c r="C922" s="4"/>
    </row>
    <row r="923" spans="1:3" ht="15.75" customHeight="1" x14ac:dyDescent="0.25">
      <c r="A923" s="4"/>
      <c r="B923" s="4"/>
      <c r="C923" s="4"/>
    </row>
    <row r="924" spans="1:3" ht="15.75" customHeight="1" x14ac:dyDescent="0.25">
      <c r="A924" s="4"/>
      <c r="B924" s="4"/>
      <c r="C924" s="4"/>
    </row>
    <row r="925" spans="1:3" ht="15.75" customHeight="1" x14ac:dyDescent="0.25">
      <c r="A925" s="4"/>
      <c r="B925" s="4"/>
      <c r="C925" s="4"/>
    </row>
    <row r="926" spans="1:3" ht="15.75" customHeight="1" x14ac:dyDescent="0.25">
      <c r="A926" s="4"/>
      <c r="B926" s="4"/>
      <c r="C926" s="4"/>
    </row>
    <row r="927" spans="1:3" ht="15.75" customHeight="1" x14ac:dyDescent="0.25">
      <c r="A927" s="4"/>
      <c r="B927" s="4"/>
      <c r="C927" s="4"/>
    </row>
    <row r="928" spans="1:3" ht="15.75" customHeight="1" x14ac:dyDescent="0.25">
      <c r="A928" s="4"/>
      <c r="B928" s="4"/>
      <c r="C928" s="4"/>
    </row>
    <row r="929" spans="1:3" ht="15.75" customHeight="1" x14ac:dyDescent="0.25">
      <c r="A929" s="4"/>
      <c r="B929" s="4"/>
      <c r="C929" s="4"/>
    </row>
    <row r="930" spans="1:3" ht="15.75" customHeight="1" x14ac:dyDescent="0.25">
      <c r="A930" s="4"/>
      <c r="B930" s="4"/>
      <c r="C930" s="4"/>
    </row>
    <row r="931" spans="1:3" ht="15.75" customHeight="1" x14ac:dyDescent="0.25">
      <c r="A931" s="4"/>
      <c r="B931" s="4"/>
      <c r="C931" s="4"/>
    </row>
    <row r="932" spans="1:3" ht="15.75" customHeight="1" x14ac:dyDescent="0.25">
      <c r="A932" s="4"/>
      <c r="B932" s="4"/>
      <c r="C932" s="4"/>
    </row>
    <row r="933" spans="1:3" ht="15.75" customHeight="1" x14ac:dyDescent="0.25">
      <c r="A933" s="4"/>
      <c r="B933" s="4"/>
      <c r="C933" s="4"/>
    </row>
    <row r="934" spans="1:3" ht="15.75" customHeight="1" x14ac:dyDescent="0.25">
      <c r="A934" s="4"/>
      <c r="B934" s="4"/>
      <c r="C934" s="4"/>
    </row>
    <row r="935" spans="1:3" ht="15.75" customHeight="1" x14ac:dyDescent="0.25">
      <c r="A935" s="4"/>
      <c r="B935" s="4"/>
      <c r="C935" s="4"/>
    </row>
    <row r="936" spans="1:3" ht="15.75" customHeight="1" x14ac:dyDescent="0.25">
      <c r="A936" s="4"/>
      <c r="B936" s="4"/>
      <c r="C936" s="4"/>
    </row>
    <row r="937" spans="1:3" ht="15.75" customHeight="1" x14ac:dyDescent="0.25">
      <c r="A937" s="4"/>
      <c r="B937" s="4"/>
      <c r="C937" s="4"/>
    </row>
    <row r="938" spans="1:3" ht="15.75" customHeight="1" x14ac:dyDescent="0.25">
      <c r="A938" s="4"/>
      <c r="B938" s="4"/>
      <c r="C938" s="4"/>
    </row>
    <row r="939" spans="1:3" ht="15.75" customHeight="1" x14ac:dyDescent="0.25">
      <c r="A939" s="4"/>
      <c r="B939" s="4"/>
      <c r="C939" s="4"/>
    </row>
    <row r="940" spans="1:3" ht="15.75" customHeight="1" x14ac:dyDescent="0.25">
      <c r="A940" s="4"/>
      <c r="B940" s="4"/>
      <c r="C940" s="4"/>
    </row>
    <row r="941" spans="1:3" ht="15.75" customHeight="1" x14ac:dyDescent="0.25">
      <c r="A941" s="4"/>
      <c r="B941" s="4"/>
      <c r="C941" s="4"/>
    </row>
    <row r="942" spans="1:3" ht="15.75" customHeight="1" x14ac:dyDescent="0.25">
      <c r="A942" s="4"/>
      <c r="B942" s="4"/>
      <c r="C942" s="4"/>
    </row>
    <row r="943" spans="1:3" ht="15.75" customHeight="1" x14ac:dyDescent="0.25">
      <c r="A943" s="4"/>
      <c r="B943" s="4"/>
      <c r="C943" s="4"/>
    </row>
    <row r="944" spans="1:3" ht="15.75" customHeight="1" x14ac:dyDescent="0.25">
      <c r="A944" s="4"/>
      <c r="B944" s="4"/>
      <c r="C944" s="4"/>
    </row>
    <row r="945" spans="1:3" ht="15.75" customHeight="1" x14ac:dyDescent="0.25">
      <c r="A945" s="4"/>
      <c r="B945" s="4"/>
      <c r="C945" s="4"/>
    </row>
    <row r="946" spans="1:3" ht="15.75" customHeight="1" x14ac:dyDescent="0.25">
      <c r="A946" s="4"/>
      <c r="B946" s="4"/>
      <c r="C946" s="4"/>
    </row>
    <row r="947" spans="1:3" ht="15.75" customHeight="1" x14ac:dyDescent="0.25">
      <c r="A947" s="4"/>
      <c r="B947" s="4"/>
      <c r="C947" s="4"/>
    </row>
    <row r="948" spans="1:3" ht="15.75" customHeight="1" x14ac:dyDescent="0.25">
      <c r="A948" s="4"/>
      <c r="B948" s="4"/>
      <c r="C948" s="4"/>
    </row>
    <row r="949" spans="1:3" ht="15.75" customHeight="1" x14ac:dyDescent="0.25">
      <c r="A949" s="4"/>
      <c r="B949" s="4"/>
      <c r="C949" s="4"/>
    </row>
    <row r="950" spans="1:3" ht="15.75" customHeight="1" x14ac:dyDescent="0.25">
      <c r="A950" s="4"/>
      <c r="B950" s="4"/>
      <c r="C950" s="4"/>
    </row>
    <row r="951" spans="1:3" ht="15.75" customHeight="1" x14ac:dyDescent="0.25">
      <c r="A951" s="4"/>
      <c r="B951" s="4"/>
      <c r="C951" s="4"/>
    </row>
    <row r="952" spans="1:3" ht="15.75" customHeight="1" x14ac:dyDescent="0.25">
      <c r="A952" s="4"/>
      <c r="B952" s="4"/>
      <c r="C952" s="4"/>
    </row>
    <row r="953" spans="1:3" ht="15.75" customHeight="1" x14ac:dyDescent="0.25">
      <c r="A953" s="4"/>
      <c r="B953" s="4"/>
      <c r="C953" s="4"/>
    </row>
    <row r="954" spans="1:3" ht="15.75" customHeight="1" x14ac:dyDescent="0.25">
      <c r="A954" s="4"/>
      <c r="B954" s="4"/>
      <c r="C954" s="4"/>
    </row>
    <row r="955" spans="1:3" ht="15.75" customHeight="1" x14ac:dyDescent="0.25">
      <c r="A955" s="4"/>
      <c r="B955" s="4"/>
      <c r="C955" s="4"/>
    </row>
    <row r="956" spans="1:3" ht="15.75" customHeight="1" x14ac:dyDescent="0.25">
      <c r="A956" s="4"/>
      <c r="B956" s="4"/>
      <c r="C956" s="4"/>
    </row>
    <row r="957" spans="1:3" ht="15.75" customHeight="1" x14ac:dyDescent="0.25">
      <c r="A957" s="4"/>
      <c r="B957" s="4"/>
      <c r="C957" s="4"/>
    </row>
    <row r="958" spans="1:3" ht="15.75" customHeight="1" x14ac:dyDescent="0.25">
      <c r="A958" s="4"/>
      <c r="B958" s="4"/>
      <c r="C958" s="4"/>
    </row>
    <row r="959" spans="1:3" ht="15.75" customHeight="1" x14ac:dyDescent="0.25">
      <c r="A959" s="4"/>
      <c r="B959" s="4"/>
      <c r="C959" s="4"/>
    </row>
    <row r="960" spans="1:3" ht="15.75" customHeight="1" x14ac:dyDescent="0.25">
      <c r="A960" s="4"/>
      <c r="B960" s="4"/>
      <c r="C960" s="4"/>
    </row>
    <row r="961" spans="1:3" ht="15.75" customHeight="1" x14ac:dyDescent="0.25">
      <c r="A961" s="4"/>
      <c r="B961" s="4"/>
      <c r="C961" s="4"/>
    </row>
    <row r="962" spans="1:3" ht="15.75" customHeight="1" x14ac:dyDescent="0.25">
      <c r="A962" s="4"/>
      <c r="B962" s="4"/>
      <c r="C962" s="4"/>
    </row>
    <row r="963" spans="1:3" ht="15.75" customHeight="1" x14ac:dyDescent="0.25">
      <c r="A963" s="4"/>
      <c r="B963" s="4"/>
      <c r="C963" s="4"/>
    </row>
    <row r="964" spans="1:3" ht="15.75" customHeight="1" x14ac:dyDescent="0.25">
      <c r="A964" s="4"/>
      <c r="B964" s="4"/>
      <c r="C964" s="4"/>
    </row>
    <row r="965" spans="1:3" ht="15.75" customHeight="1" x14ac:dyDescent="0.25">
      <c r="A965" s="4"/>
      <c r="B965" s="4"/>
      <c r="C965" s="4"/>
    </row>
    <row r="966" spans="1:3" ht="15.75" customHeight="1" x14ac:dyDescent="0.25">
      <c r="A966" s="4"/>
      <c r="B966" s="4"/>
      <c r="C966" s="4"/>
    </row>
    <row r="967" spans="1:3" ht="15.75" customHeight="1" x14ac:dyDescent="0.25">
      <c r="A967" s="4"/>
      <c r="B967" s="4"/>
      <c r="C967" s="4"/>
    </row>
    <row r="968" spans="1:3" ht="15.75" customHeight="1" x14ac:dyDescent="0.25">
      <c r="A968" s="4"/>
      <c r="B968" s="4"/>
      <c r="C968" s="4"/>
    </row>
    <row r="969" spans="1:3" ht="15.75" customHeight="1" x14ac:dyDescent="0.25">
      <c r="A969" s="4"/>
      <c r="B969" s="4"/>
      <c r="C969" s="4"/>
    </row>
    <row r="970" spans="1:3" ht="15.75" customHeight="1" x14ac:dyDescent="0.25">
      <c r="A970" s="4"/>
      <c r="B970" s="4"/>
      <c r="C970" s="4"/>
    </row>
    <row r="971" spans="1:3" ht="15.75" customHeight="1" x14ac:dyDescent="0.25">
      <c r="A971" s="4"/>
      <c r="B971" s="4"/>
      <c r="C971" s="4"/>
    </row>
    <row r="972" spans="1:3" ht="15.75" customHeight="1" x14ac:dyDescent="0.25">
      <c r="A972" s="4"/>
      <c r="B972" s="4"/>
      <c r="C972" s="4"/>
    </row>
    <row r="973" spans="1:3" ht="15.75" customHeight="1" x14ac:dyDescent="0.25">
      <c r="A973" s="4"/>
      <c r="B973" s="4"/>
      <c r="C973" s="4"/>
    </row>
    <row r="974" spans="1:3" ht="15.75" customHeight="1" x14ac:dyDescent="0.25">
      <c r="A974" s="4"/>
      <c r="B974" s="4"/>
      <c r="C974" s="4"/>
    </row>
    <row r="975" spans="1:3" ht="15.75" customHeight="1" x14ac:dyDescent="0.25">
      <c r="A975" s="4"/>
      <c r="B975" s="4"/>
      <c r="C975" s="4"/>
    </row>
    <row r="976" spans="1:3" ht="15.75" customHeight="1" x14ac:dyDescent="0.25">
      <c r="A976" s="4"/>
      <c r="B976" s="4"/>
      <c r="C976" s="4"/>
    </row>
    <row r="977" spans="1:3" ht="15.75" customHeight="1" x14ac:dyDescent="0.25">
      <c r="A977" s="4"/>
      <c r="B977" s="4"/>
      <c r="C977" s="4"/>
    </row>
    <row r="978" spans="1:3" ht="15.75" customHeight="1" x14ac:dyDescent="0.25">
      <c r="A978" s="4"/>
      <c r="B978" s="4"/>
      <c r="C978" s="4"/>
    </row>
    <row r="979" spans="1:3" ht="15.75" customHeight="1" x14ac:dyDescent="0.25">
      <c r="A979" s="4"/>
      <c r="B979" s="4"/>
      <c r="C979" s="4"/>
    </row>
    <row r="980" spans="1:3" ht="15.75" customHeight="1" x14ac:dyDescent="0.25">
      <c r="A980" s="4"/>
      <c r="B980" s="4"/>
      <c r="C980" s="4"/>
    </row>
    <row r="981" spans="1:3" ht="15.75" customHeight="1" x14ac:dyDescent="0.25">
      <c r="A981" s="4"/>
      <c r="B981" s="4"/>
      <c r="C981" s="4"/>
    </row>
    <row r="982" spans="1:3" ht="15.75" customHeight="1" x14ac:dyDescent="0.25">
      <c r="A982" s="4"/>
      <c r="B982" s="4"/>
      <c r="C982" s="4"/>
    </row>
    <row r="983" spans="1:3" ht="15.75" customHeight="1" x14ac:dyDescent="0.25">
      <c r="A983" s="4"/>
      <c r="B983" s="4"/>
      <c r="C983" s="4"/>
    </row>
    <row r="984" spans="1:3" ht="15.75" customHeight="1" x14ac:dyDescent="0.25">
      <c r="A984" s="4"/>
      <c r="B984" s="4"/>
      <c r="C984" s="4"/>
    </row>
    <row r="985" spans="1:3" ht="15.75" customHeight="1" x14ac:dyDescent="0.25">
      <c r="A985" s="4"/>
      <c r="B985" s="4"/>
      <c r="C985" s="4"/>
    </row>
    <row r="986" spans="1:3" ht="15.75" customHeight="1" x14ac:dyDescent="0.25">
      <c r="A986" s="4"/>
      <c r="B986" s="4"/>
      <c r="C986" s="4"/>
    </row>
    <row r="987" spans="1:3" ht="15.75" customHeight="1" x14ac:dyDescent="0.25">
      <c r="A987" s="4"/>
      <c r="B987" s="4"/>
      <c r="C987" s="4"/>
    </row>
    <row r="988" spans="1:3" ht="15.75" customHeight="1" x14ac:dyDescent="0.25">
      <c r="A988" s="4"/>
      <c r="B988" s="4"/>
      <c r="C988" s="4"/>
    </row>
    <row r="989" spans="1:3" ht="15.75" customHeight="1" x14ac:dyDescent="0.25">
      <c r="A989" s="4"/>
      <c r="B989" s="4"/>
      <c r="C989" s="4"/>
    </row>
    <row r="990" spans="1:3" ht="15.75" customHeight="1" x14ac:dyDescent="0.25">
      <c r="A990" s="4"/>
      <c r="B990" s="4"/>
      <c r="C990" s="4"/>
    </row>
    <row r="991" spans="1:3" ht="15.75" customHeight="1" x14ac:dyDescent="0.25">
      <c r="A991" s="4"/>
      <c r="B991" s="4"/>
      <c r="C991" s="4"/>
    </row>
    <row r="992" spans="1:3" ht="15.75" customHeight="1" x14ac:dyDescent="0.25">
      <c r="A992" s="4"/>
      <c r="B992" s="4"/>
      <c r="C992" s="4"/>
    </row>
    <row r="993" spans="1:3" ht="15.75" customHeight="1" x14ac:dyDescent="0.25">
      <c r="A993" s="4"/>
      <c r="B993" s="4"/>
      <c r="C993" s="4"/>
    </row>
    <row r="994" spans="1:3" ht="15.75" customHeight="1" x14ac:dyDescent="0.25">
      <c r="A994" s="4"/>
      <c r="B994" s="4"/>
      <c r="C994" s="4"/>
    </row>
    <row r="995" spans="1:3" ht="15.75" customHeight="1" x14ac:dyDescent="0.25">
      <c r="A995" s="4"/>
      <c r="B995" s="4"/>
      <c r="C995" s="4"/>
    </row>
    <row r="996" spans="1:3" ht="15.75" customHeight="1" x14ac:dyDescent="0.25">
      <c r="A996" s="4"/>
      <c r="B996" s="4"/>
      <c r="C996" s="4"/>
    </row>
    <row r="997" spans="1:3" ht="15.75" customHeight="1" x14ac:dyDescent="0.25">
      <c r="A997" s="4"/>
      <c r="B997" s="4"/>
      <c r="C997" s="4"/>
    </row>
    <row r="998" spans="1:3" ht="15.75" customHeight="1" x14ac:dyDescent="0.25">
      <c r="A998" s="4"/>
      <c r="B998" s="4"/>
      <c r="C998" s="4"/>
    </row>
    <row r="999" spans="1:3" ht="15.75" customHeight="1" x14ac:dyDescent="0.25">
      <c r="A999" s="4"/>
      <c r="B999" s="4"/>
      <c r="C999" s="4"/>
    </row>
    <row r="1000" spans="1:3" ht="15.75" customHeight="1" x14ac:dyDescent="0.25">
      <c r="A1000" s="4"/>
      <c r="B1000" s="4"/>
      <c r="C1000" s="4"/>
    </row>
  </sheetData>
  <mergeCells count="12">
    <mergeCell ref="A2:C2"/>
    <mergeCell ref="A13:C13"/>
    <mergeCell ref="A14:C14"/>
    <mergeCell ref="A17:C17"/>
    <mergeCell ref="A20:C20"/>
    <mergeCell ref="A15:C15"/>
    <mergeCell ref="A18:C18"/>
    <mergeCell ref="A23:C23"/>
    <mergeCell ref="A26:C26"/>
    <mergeCell ref="A21:C21"/>
    <mergeCell ref="A24:C24"/>
    <mergeCell ref="A27:C27"/>
  </mergeCells>
  <pageMargins left="0.75" right="0.75" top="1" bottom="1"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workbookViewId="0"/>
  </sheetViews>
  <sheetFormatPr defaultColWidth="14.42578125" defaultRowHeight="15" customHeight="1" x14ac:dyDescent="0.25"/>
  <cols>
    <col min="1" max="1" width="28" customWidth="1"/>
    <col min="2" max="2" width="30" customWidth="1"/>
    <col min="3" max="3" width="80" customWidth="1"/>
    <col min="4" max="4" width="40" customWidth="1"/>
    <col min="5" max="26" width="8.7109375" customWidth="1"/>
  </cols>
  <sheetData>
    <row r="1" spans="1:4" ht="17.25" customHeight="1" x14ac:dyDescent="0.25">
      <c r="A1" s="1" t="s">
        <v>447</v>
      </c>
      <c r="B1" s="4"/>
      <c r="C1" s="4"/>
      <c r="D1" s="4"/>
    </row>
    <row r="2" spans="1:4" ht="15" customHeight="1" x14ac:dyDescent="0.25">
      <c r="A2" s="5" t="s">
        <v>448</v>
      </c>
      <c r="B2" s="4"/>
      <c r="C2" s="4"/>
      <c r="D2" s="4"/>
    </row>
    <row r="3" spans="1:4" x14ac:dyDescent="0.25">
      <c r="A3" s="4"/>
      <c r="B3" s="4"/>
      <c r="C3" s="4"/>
      <c r="D3" s="4"/>
    </row>
    <row r="4" spans="1:4" ht="15" customHeight="1" x14ac:dyDescent="0.25">
      <c r="A4" s="14" t="s">
        <v>449</v>
      </c>
      <c r="B4" s="14" t="s">
        <v>450</v>
      </c>
      <c r="C4" s="14" t="s">
        <v>451</v>
      </c>
      <c r="D4" s="14" t="s">
        <v>452</v>
      </c>
    </row>
    <row r="5" spans="1:4" ht="15" customHeight="1" x14ac:dyDescent="0.25">
      <c r="A5" s="22" t="s">
        <v>453</v>
      </c>
      <c r="B5" s="4">
        <v>10</v>
      </c>
      <c r="C5" s="3" t="s">
        <v>454</v>
      </c>
      <c r="D5" s="8"/>
    </row>
    <row r="6" spans="1:4" ht="15" customHeight="1" x14ac:dyDescent="0.25">
      <c r="A6" s="22" t="s">
        <v>455</v>
      </c>
      <c r="B6" s="4">
        <v>15</v>
      </c>
      <c r="C6" s="3" t="s">
        <v>456</v>
      </c>
      <c r="D6" s="8"/>
    </row>
    <row r="7" spans="1:4" ht="15" customHeight="1" x14ac:dyDescent="0.25">
      <c r="A7" s="22" t="s">
        <v>457</v>
      </c>
      <c r="B7" s="4">
        <v>15</v>
      </c>
      <c r="C7" s="3" t="s">
        <v>458</v>
      </c>
      <c r="D7" s="8"/>
    </row>
    <row r="8" spans="1:4" ht="15" customHeight="1" x14ac:dyDescent="0.25">
      <c r="A8" s="22" t="s">
        <v>459</v>
      </c>
      <c r="B8" s="4">
        <v>20</v>
      </c>
      <c r="C8" s="3" t="s">
        <v>460</v>
      </c>
      <c r="D8" s="8"/>
    </row>
    <row r="9" spans="1:4" ht="15" customHeight="1" x14ac:dyDescent="0.25">
      <c r="A9" s="22" t="s">
        <v>461</v>
      </c>
      <c r="B9" s="4">
        <v>20</v>
      </c>
      <c r="C9" s="3" t="s">
        <v>462</v>
      </c>
      <c r="D9" s="8"/>
    </row>
    <row r="10" spans="1:4" ht="15" customHeight="1" x14ac:dyDescent="0.25">
      <c r="A10" s="22" t="s">
        <v>463</v>
      </c>
      <c r="B10" s="4">
        <v>20</v>
      </c>
      <c r="C10" s="3" t="s">
        <v>464</v>
      </c>
      <c r="D10" s="8"/>
    </row>
    <row r="11" spans="1:4" ht="15" customHeight="1" x14ac:dyDescent="0.25">
      <c r="A11" s="7" t="s">
        <v>465</v>
      </c>
      <c r="B11" s="4">
        <f>SUM(B5:B10)</f>
        <v>100</v>
      </c>
      <c r="C11" s="4"/>
      <c r="D11" s="32">
        <f>SUM(D5:D10)</f>
        <v>0</v>
      </c>
    </row>
    <row r="12" spans="1:4" ht="15" customHeight="1" x14ac:dyDescent="0.25">
      <c r="A12" s="7" t="s">
        <v>466</v>
      </c>
      <c r="B12" s="4" t="s">
        <v>467</v>
      </c>
      <c r="C12" s="4" t="s">
        <v>468</v>
      </c>
      <c r="D12" s="8"/>
    </row>
    <row r="13" spans="1:4" x14ac:dyDescent="0.25">
      <c r="A13" s="4"/>
      <c r="B13" s="4"/>
      <c r="C13" s="4"/>
      <c r="D13" s="4"/>
    </row>
    <row r="14" spans="1:4" x14ac:dyDescent="0.25">
      <c r="A14" s="4"/>
      <c r="B14" s="4"/>
      <c r="C14" s="4"/>
      <c r="D14" s="4"/>
    </row>
    <row r="15" spans="1:4" ht="15" customHeight="1" x14ac:dyDescent="0.25">
      <c r="A15" s="71" t="s">
        <v>469</v>
      </c>
      <c r="B15" s="4"/>
      <c r="C15" s="4"/>
      <c r="D15" s="4"/>
    </row>
    <row r="16" spans="1:4" ht="15" customHeight="1" x14ac:dyDescent="0.25">
      <c r="A16" s="14" t="s">
        <v>449</v>
      </c>
      <c r="B16" s="14" t="s">
        <v>470</v>
      </c>
      <c r="C16" s="14" t="s">
        <v>471</v>
      </c>
      <c r="D16" s="14" t="s">
        <v>472</v>
      </c>
    </row>
    <row r="17" spans="1:4" ht="45.75" customHeight="1" x14ac:dyDescent="0.25">
      <c r="A17" s="21" t="s">
        <v>473</v>
      </c>
      <c r="B17" s="3" t="s">
        <v>474</v>
      </c>
      <c r="C17" s="3" t="s">
        <v>475</v>
      </c>
      <c r="D17" s="3" t="s">
        <v>476</v>
      </c>
    </row>
    <row r="18" spans="1:4" ht="45.75" customHeight="1" x14ac:dyDescent="0.25">
      <c r="A18" s="21" t="s">
        <v>477</v>
      </c>
      <c r="B18" s="3" t="s">
        <v>478</v>
      </c>
      <c r="C18" s="3" t="s">
        <v>479</v>
      </c>
      <c r="D18" s="3" t="s">
        <v>480</v>
      </c>
    </row>
    <row r="19" spans="1:4" ht="45.75" customHeight="1" x14ac:dyDescent="0.25">
      <c r="A19" s="21" t="s">
        <v>481</v>
      </c>
      <c r="B19" s="3" t="s">
        <v>482</v>
      </c>
      <c r="C19" s="3" t="s">
        <v>483</v>
      </c>
      <c r="D19" s="3" t="s">
        <v>484</v>
      </c>
    </row>
    <row r="20" spans="1:4" ht="45.75" customHeight="1" x14ac:dyDescent="0.25">
      <c r="A20" s="21" t="s">
        <v>485</v>
      </c>
      <c r="B20" s="3" t="s">
        <v>486</v>
      </c>
      <c r="C20" s="3" t="s">
        <v>487</v>
      </c>
      <c r="D20" s="3" t="s">
        <v>488</v>
      </c>
    </row>
    <row r="21" spans="1:4" ht="15.75" customHeight="1" x14ac:dyDescent="0.25">
      <c r="A21" s="4"/>
      <c r="B21" s="4"/>
      <c r="C21" s="4"/>
      <c r="D21" s="4"/>
    </row>
    <row r="22" spans="1:4" ht="15" customHeight="1" x14ac:dyDescent="0.25">
      <c r="A22" s="35" t="s">
        <v>489</v>
      </c>
      <c r="B22" s="4"/>
      <c r="C22" s="4"/>
      <c r="D22" s="4"/>
    </row>
    <row r="23" spans="1:4" ht="15.75" customHeight="1" x14ac:dyDescent="0.25">
      <c r="A23" s="4"/>
      <c r="B23" s="4"/>
      <c r="C23" s="4"/>
      <c r="D23" s="4"/>
    </row>
    <row r="24" spans="1:4" ht="15.75" customHeight="1" x14ac:dyDescent="0.25">
      <c r="A24" s="4"/>
      <c r="B24" s="4"/>
      <c r="C24" s="4"/>
      <c r="D24" s="4"/>
    </row>
    <row r="25" spans="1:4" ht="15.75" customHeight="1" x14ac:dyDescent="0.25">
      <c r="A25" s="4"/>
      <c r="B25" s="4"/>
      <c r="C25" s="4"/>
      <c r="D25" s="4"/>
    </row>
    <row r="26" spans="1:4" ht="15.75" customHeight="1" x14ac:dyDescent="0.25">
      <c r="A26" s="4"/>
      <c r="B26" s="4"/>
      <c r="C26" s="4"/>
      <c r="D26" s="4"/>
    </row>
    <row r="27" spans="1:4" ht="15.75" customHeight="1" x14ac:dyDescent="0.25">
      <c r="A27" s="4"/>
      <c r="B27" s="4"/>
      <c r="C27" s="4"/>
      <c r="D27" s="4"/>
    </row>
    <row r="28" spans="1:4" ht="15.75" customHeight="1" x14ac:dyDescent="0.25">
      <c r="A28" s="4"/>
      <c r="B28" s="4"/>
      <c r="C28" s="4"/>
      <c r="D28" s="4"/>
    </row>
    <row r="29" spans="1:4" ht="15.75" customHeight="1" x14ac:dyDescent="0.25">
      <c r="A29" s="4"/>
      <c r="B29" s="4"/>
      <c r="C29" s="4"/>
      <c r="D29" s="4"/>
    </row>
    <row r="30" spans="1:4" ht="15.75" customHeight="1" x14ac:dyDescent="0.25">
      <c r="A30" s="4"/>
      <c r="B30" s="4"/>
      <c r="C30" s="4"/>
      <c r="D30" s="4"/>
    </row>
    <row r="31" spans="1:4" ht="15.75" customHeight="1" x14ac:dyDescent="0.25">
      <c r="A31" s="4"/>
      <c r="B31" s="4"/>
      <c r="C31" s="4"/>
      <c r="D31" s="4"/>
    </row>
    <row r="32" spans="1:4" ht="15.75" customHeight="1" x14ac:dyDescent="0.25">
      <c r="A32" s="4"/>
      <c r="B32" s="4"/>
      <c r="C32" s="4"/>
      <c r="D32" s="4"/>
    </row>
    <row r="33" spans="1:4" ht="15.75" customHeight="1" x14ac:dyDescent="0.25">
      <c r="A33" s="4"/>
      <c r="B33" s="4"/>
      <c r="C33" s="4"/>
      <c r="D33" s="4"/>
    </row>
    <row r="34" spans="1:4" ht="15.75" customHeight="1" x14ac:dyDescent="0.25">
      <c r="A34" s="4"/>
      <c r="B34" s="4"/>
      <c r="C34" s="4"/>
      <c r="D34" s="4"/>
    </row>
    <row r="35" spans="1:4" ht="15.75" customHeight="1" x14ac:dyDescent="0.25">
      <c r="A35" s="4"/>
      <c r="B35" s="4"/>
      <c r="C35" s="4"/>
      <c r="D35" s="4"/>
    </row>
    <row r="36" spans="1:4" ht="15.75" customHeight="1" x14ac:dyDescent="0.25">
      <c r="A36" s="4"/>
      <c r="B36" s="4"/>
      <c r="C36" s="4"/>
      <c r="D36" s="4"/>
    </row>
    <row r="37" spans="1:4" ht="15.75" customHeight="1" x14ac:dyDescent="0.25">
      <c r="A37" s="4"/>
      <c r="B37" s="4"/>
      <c r="C37" s="4"/>
      <c r="D37" s="4"/>
    </row>
    <row r="38" spans="1:4" ht="15.75" customHeight="1" x14ac:dyDescent="0.25">
      <c r="A38" s="4"/>
      <c r="B38" s="4"/>
      <c r="C38" s="4"/>
      <c r="D38" s="4"/>
    </row>
    <row r="39" spans="1:4" ht="15.75" customHeight="1" x14ac:dyDescent="0.25">
      <c r="A39" s="4"/>
      <c r="B39" s="4"/>
      <c r="C39" s="4"/>
      <c r="D39" s="4"/>
    </row>
    <row r="40" spans="1:4" ht="15.75" customHeight="1" x14ac:dyDescent="0.25">
      <c r="A40" s="4"/>
      <c r="B40" s="4"/>
      <c r="C40" s="4"/>
      <c r="D40" s="4"/>
    </row>
    <row r="41" spans="1:4" ht="15.75" customHeight="1" x14ac:dyDescent="0.25">
      <c r="A41" s="4"/>
      <c r="B41" s="4"/>
      <c r="C41" s="4"/>
      <c r="D41" s="4"/>
    </row>
    <row r="42" spans="1:4" ht="15.75" customHeight="1" x14ac:dyDescent="0.25">
      <c r="A42" s="4"/>
      <c r="B42" s="4"/>
      <c r="C42" s="4"/>
      <c r="D42" s="4"/>
    </row>
    <row r="43" spans="1:4" ht="15.75" customHeight="1" x14ac:dyDescent="0.25">
      <c r="A43" s="4"/>
      <c r="B43" s="4"/>
      <c r="C43" s="4"/>
      <c r="D43" s="4"/>
    </row>
    <row r="44" spans="1:4" ht="15.75" customHeight="1" x14ac:dyDescent="0.25">
      <c r="A44" s="4"/>
      <c r="B44" s="4"/>
      <c r="C44" s="4"/>
      <c r="D44" s="4"/>
    </row>
    <row r="45" spans="1:4" ht="15.75" customHeight="1" x14ac:dyDescent="0.25">
      <c r="A45" s="4"/>
      <c r="B45" s="4"/>
      <c r="C45" s="4"/>
      <c r="D45" s="4"/>
    </row>
    <row r="46" spans="1:4" ht="15.75" customHeight="1" x14ac:dyDescent="0.25">
      <c r="A46" s="4"/>
      <c r="B46" s="4"/>
      <c r="C46" s="4"/>
      <c r="D46" s="4"/>
    </row>
    <row r="47" spans="1:4" ht="15.75" customHeight="1" x14ac:dyDescent="0.25">
      <c r="A47" s="4"/>
      <c r="B47" s="4"/>
      <c r="C47" s="4"/>
      <c r="D47" s="4"/>
    </row>
    <row r="48" spans="1:4" ht="15.75" customHeight="1" x14ac:dyDescent="0.25">
      <c r="A48" s="4"/>
      <c r="B48" s="4"/>
      <c r="C48" s="4"/>
      <c r="D48" s="4"/>
    </row>
    <row r="49" spans="1:4" ht="15.75" customHeight="1" x14ac:dyDescent="0.25">
      <c r="A49" s="4"/>
      <c r="B49" s="4"/>
      <c r="C49" s="4"/>
      <c r="D49" s="4"/>
    </row>
    <row r="50" spans="1:4" ht="15.75" customHeight="1" x14ac:dyDescent="0.25">
      <c r="A50" s="4"/>
      <c r="B50" s="4"/>
      <c r="C50" s="4"/>
      <c r="D50" s="4"/>
    </row>
    <row r="51" spans="1:4" ht="15.75" customHeight="1" x14ac:dyDescent="0.25">
      <c r="A51" s="4"/>
      <c r="B51" s="4"/>
      <c r="C51" s="4"/>
      <c r="D51" s="4"/>
    </row>
    <row r="52" spans="1:4" ht="15.75" customHeight="1" x14ac:dyDescent="0.25">
      <c r="A52" s="4"/>
      <c r="B52" s="4"/>
      <c r="C52" s="4"/>
      <c r="D52" s="4"/>
    </row>
    <row r="53" spans="1:4" ht="15.75" customHeight="1" x14ac:dyDescent="0.25">
      <c r="A53" s="4"/>
      <c r="B53" s="4"/>
      <c r="C53" s="4"/>
      <c r="D53" s="4"/>
    </row>
    <row r="54" spans="1:4" ht="15.75" customHeight="1" x14ac:dyDescent="0.25">
      <c r="A54" s="4"/>
      <c r="B54" s="4"/>
      <c r="C54" s="4"/>
      <c r="D54" s="4"/>
    </row>
    <row r="55" spans="1:4" ht="15.75" customHeight="1" x14ac:dyDescent="0.25">
      <c r="A55" s="4"/>
      <c r="B55" s="4"/>
      <c r="C55" s="4"/>
      <c r="D55" s="4"/>
    </row>
    <row r="56" spans="1:4" ht="15.75" customHeight="1" x14ac:dyDescent="0.25">
      <c r="A56" s="4"/>
      <c r="B56" s="4"/>
      <c r="C56" s="4"/>
      <c r="D56" s="4"/>
    </row>
    <row r="57" spans="1:4" ht="15.75" customHeight="1" x14ac:dyDescent="0.25">
      <c r="A57" s="4"/>
      <c r="B57" s="4"/>
      <c r="C57" s="4"/>
      <c r="D57" s="4"/>
    </row>
    <row r="58" spans="1:4" ht="15.75" customHeight="1" x14ac:dyDescent="0.25">
      <c r="A58" s="4"/>
      <c r="B58" s="4"/>
      <c r="C58" s="4"/>
      <c r="D58" s="4"/>
    </row>
    <row r="59" spans="1:4" ht="15.75" customHeight="1" x14ac:dyDescent="0.25">
      <c r="A59" s="4"/>
      <c r="B59" s="4"/>
      <c r="C59" s="4"/>
      <c r="D59" s="4"/>
    </row>
    <row r="60" spans="1:4" ht="15.75" customHeight="1" x14ac:dyDescent="0.25">
      <c r="A60" s="4"/>
      <c r="B60" s="4"/>
      <c r="C60" s="4"/>
      <c r="D60" s="4"/>
    </row>
    <row r="61" spans="1:4" ht="15.75" customHeight="1" x14ac:dyDescent="0.25">
      <c r="A61" s="4"/>
      <c r="B61" s="4"/>
      <c r="C61" s="4"/>
      <c r="D61" s="4"/>
    </row>
    <row r="62" spans="1:4" ht="15.75" customHeight="1" x14ac:dyDescent="0.25">
      <c r="A62" s="4"/>
      <c r="B62" s="4"/>
      <c r="C62" s="4"/>
      <c r="D62" s="4"/>
    </row>
    <row r="63" spans="1:4" ht="15.75" customHeight="1" x14ac:dyDescent="0.25">
      <c r="A63" s="4"/>
      <c r="B63" s="4"/>
      <c r="C63" s="4"/>
      <c r="D63" s="4"/>
    </row>
    <row r="64" spans="1:4" ht="15.75" customHeight="1" x14ac:dyDescent="0.25">
      <c r="A64" s="4"/>
      <c r="B64" s="4"/>
      <c r="C64" s="4"/>
      <c r="D64" s="4"/>
    </row>
    <row r="65" spans="1:4" ht="15.75" customHeight="1" x14ac:dyDescent="0.25">
      <c r="A65" s="4"/>
      <c r="B65" s="4"/>
      <c r="C65" s="4"/>
      <c r="D65" s="4"/>
    </row>
    <row r="66" spans="1:4" ht="15.75" customHeight="1" x14ac:dyDescent="0.25">
      <c r="A66" s="4"/>
      <c r="B66" s="4"/>
      <c r="C66" s="4"/>
      <c r="D66" s="4"/>
    </row>
    <row r="67" spans="1:4" ht="15.75" customHeight="1" x14ac:dyDescent="0.25">
      <c r="A67" s="4"/>
      <c r="B67" s="4"/>
      <c r="C67" s="4"/>
      <c r="D67" s="4"/>
    </row>
    <row r="68" spans="1:4" ht="15.75" customHeight="1" x14ac:dyDescent="0.25">
      <c r="A68" s="4"/>
      <c r="B68" s="4"/>
      <c r="C68" s="4"/>
      <c r="D68" s="4"/>
    </row>
    <row r="69" spans="1:4" ht="15.75" customHeight="1" x14ac:dyDescent="0.25">
      <c r="A69" s="4"/>
      <c r="B69" s="4"/>
      <c r="C69" s="4"/>
      <c r="D69" s="4"/>
    </row>
    <row r="70" spans="1:4" ht="15.75" customHeight="1" x14ac:dyDescent="0.25">
      <c r="A70" s="4"/>
      <c r="B70" s="4"/>
      <c r="C70" s="4"/>
      <c r="D70" s="4"/>
    </row>
    <row r="71" spans="1:4" ht="15.75" customHeight="1" x14ac:dyDescent="0.25">
      <c r="A71" s="4"/>
      <c r="B71" s="4"/>
      <c r="C71" s="4"/>
      <c r="D71" s="4"/>
    </row>
    <row r="72" spans="1:4" ht="15.75" customHeight="1" x14ac:dyDescent="0.25">
      <c r="A72" s="4"/>
      <c r="B72" s="4"/>
      <c r="C72" s="4"/>
      <c r="D72" s="4"/>
    </row>
    <row r="73" spans="1:4" ht="15.75" customHeight="1" x14ac:dyDescent="0.25">
      <c r="A73" s="4"/>
      <c r="B73" s="4"/>
      <c r="C73" s="4"/>
      <c r="D73" s="4"/>
    </row>
    <row r="74" spans="1:4" ht="15.75" customHeight="1" x14ac:dyDescent="0.25">
      <c r="A74" s="4"/>
      <c r="B74" s="4"/>
      <c r="C74" s="4"/>
      <c r="D74" s="4"/>
    </row>
    <row r="75" spans="1:4" ht="15.75" customHeight="1" x14ac:dyDescent="0.25">
      <c r="A75" s="4"/>
      <c r="B75" s="4"/>
      <c r="C75" s="4"/>
      <c r="D75" s="4"/>
    </row>
    <row r="76" spans="1:4" ht="15.75" customHeight="1" x14ac:dyDescent="0.25">
      <c r="A76" s="4"/>
      <c r="B76" s="4"/>
      <c r="C76" s="4"/>
      <c r="D76" s="4"/>
    </row>
    <row r="77" spans="1:4" ht="15.75" customHeight="1" x14ac:dyDescent="0.25">
      <c r="A77" s="4"/>
      <c r="B77" s="4"/>
      <c r="C77" s="4"/>
      <c r="D77" s="4"/>
    </row>
    <row r="78" spans="1:4" ht="15.75" customHeight="1" x14ac:dyDescent="0.25">
      <c r="A78" s="4"/>
      <c r="B78" s="4"/>
      <c r="C78" s="4"/>
      <c r="D78" s="4"/>
    </row>
    <row r="79" spans="1:4" ht="15.75" customHeight="1" x14ac:dyDescent="0.25">
      <c r="A79" s="4"/>
      <c r="B79" s="4"/>
      <c r="C79" s="4"/>
      <c r="D79" s="4"/>
    </row>
    <row r="80" spans="1:4" ht="15.75" customHeight="1" x14ac:dyDescent="0.25">
      <c r="A80" s="4"/>
      <c r="B80" s="4"/>
      <c r="C80" s="4"/>
      <c r="D80" s="4"/>
    </row>
    <row r="81" spans="1:4" ht="15.75" customHeight="1" x14ac:dyDescent="0.25">
      <c r="A81" s="4"/>
      <c r="B81" s="4"/>
      <c r="C81" s="4"/>
      <c r="D81" s="4"/>
    </row>
    <row r="82" spans="1:4" ht="15.75" customHeight="1" x14ac:dyDescent="0.25">
      <c r="A82" s="4"/>
      <c r="B82" s="4"/>
      <c r="C82" s="4"/>
      <c r="D82" s="4"/>
    </row>
    <row r="83" spans="1:4" ht="15.75" customHeight="1" x14ac:dyDescent="0.25">
      <c r="A83" s="4"/>
      <c r="B83" s="4"/>
      <c r="C83" s="4"/>
      <c r="D83" s="4"/>
    </row>
    <row r="84" spans="1:4" ht="15.75" customHeight="1" x14ac:dyDescent="0.25">
      <c r="A84" s="4"/>
      <c r="B84" s="4"/>
      <c r="C84" s="4"/>
      <c r="D84" s="4"/>
    </row>
    <row r="85" spans="1:4" ht="15.75" customHeight="1" x14ac:dyDescent="0.25">
      <c r="A85" s="4"/>
      <c r="B85" s="4"/>
      <c r="C85" s="4"/>
      <c r="D85" s="4"/>
    </row>
    <row r="86" spans="1:4" ht="15.75" customHeight="1" x14ac:dyDescent="0.25">
      <c r="A86" s="4"/>
      <c r="B86" s="4"/>
      <c r="C86" s="4"/>
      <c r="D86" s="4"/>
    </row>
    <row r="87" spans="1:4" ht="15.75" customHeight="1" x14ac:dyDescent="0.25">
      <c r="A87" s="4"/>
      <c r="B87" s="4"/>
      <c r="C87" s="4"/>
      <c r="D87" s="4"/>
    </row>
    <row r="88" spans="1:4" ht="15.75" customHeight="1" x14ac:dyDescent="0.25">
      <c r="A88" s="4"/>
      <c r="B88" s="4"/>
      <c r="C88" s="4"/>
      <c r="D88" s="4"/>
    </row>
    <row r="89" spans="1:4" ht="15.75" customHeight="1" x14ac:dyDescent="0.25">
      <c r="A89" s="4"/>
      <c r="B89" s="4"/>
      <c r="C89" s="4"/>
      <c r="D89" s="4"/>
    </row>
    <row r="90" spans="1:4" ht="15.75" customHeight="1" x14ac:dyDescent="0.25">
      <c r="A90" s="4"/>
      <c r="B90" s="4"/>
      <c r="C90" s="4"/>
      <c r="D90" s="4"/>
    </row>
    <row r="91" spans="1:4" ht="15.75" customHeight="1" x14ac:dyDescent="0.25">
      <c r="A91" s="4"/>
      <c r="B91" s="4"/>
      <c r="C91" s="4"/>
      <c r="D91" s="4"/>
    </row>
    <row r="92" spans="1:4" ht="15.75" customHeight="1" x14ac:dyDescent="0.25">
      <c r="A92" s="4"/>
      <c r="B92" s="4"/>
      <c r="C92" s="4"/>
      <c r="D92" s="4"/>
    </row>
    <row r="93" spans="1:4" ht="15.75" customHeight="1" x14ac:dyDescent="0.25">
      <c r="A93" s="4"/>
      <c r="B93" s="4"/>
      <c r="C93" s="4"/>
      <c r="D93" s="4"/>
    </row>
    <row r="94" spans="1:4" ht="15.75" customHeight="1" x14ac:dyDescent="0.25">
      <c r="A94" s="4"/>
      <c r="B94" s="4"/>
      <c r="C94" s="4"/>
      <c r="D94" s="4"/>
    </row>
    <row r="95" spans="1:4" ht="15.75" customHeight="1" x14ac:dyDescent="0.25">
      <c r="A95" s="4"/>
      <c r="B95" s="4"/>
      <c r="C95" s="4"/>
      <c r="D95" s="4"/>
    </row>
    <row r="96" spans="1:4" ht="15.75" customHeight="1" x14ac:dyDescent="0.25">
      <c r="A96" s="4"/>
      <c r="B96" s="4"/>
      <c r="C96" s="4"/>
      <c r="D96" s="4"/>
    </row>
    <row r="97" spans="1:4" ht="15.75" customHeight="1" x14ac:dyDescent="0.25">
      <c r="A97" s="4"/>
      <c r="B97" s="4"/>
      <c r="C97" s="4"/>
      <c r="D97" s="4"/>
    </row>
    <row r="98" spans="1:4" ht="15.75" customHeight="1" x14ac:dyDescent="0.25">
      <c r="A98" s="4"/>
      <c r="B98" s="4"/>
      <c r="C98" s="4"/>
      <c r="D98" s="4"/>
    </row>
    <row r="99" spans="1:4" ht="15.75" customHeight="1" x14ac:dyDescent="0.25">
      <c r="A99" s="4"/>
      <c r="B99" s="4"/>
      <c r="C99" s="4"/>
      <c r="D99" s="4"/>
    </row>
    <row r="100" spans="1:4" ht="15.75" customHeight="1" x14ac:dyDescent="0.25">
      <c r="A100" s="4"/>
      <c r="B100" s="4"/>
      <c r="C100" s="4"/>
      <c r="D100" s="4"/>
    </row>
    <row r="101" spans="1:4" ht="15.75" customHeight="1" x14ac:dyDescent="0.25">
      <c r="A101" s="4"/>
      <c r="B101" s="4"/>
      <c r="C101" s="4"/>
      <c r="D101" s="4"/>
    </row>
    <row r="102" spans="1:4" ht="15.75" customHeight="1" x14ac:dyDescent="0.25">
      <c r="A102" s="4"/>
      <c r="B102" s="4"/>
      <c r="C102" s="4"/>
      <c r="D102" s="4"/>
    </row>
    <row r="103" spans="1:4" ht="15.75" customHeight="1" x14ac:dyDescent="0.25">
      <c r="A103" s="4"/>
      <c r="B103" s="4"/>
      <c r="C103" s="4"/>
      <c r="D103" s="4"/>
    </row>
    <row r="104" spans="1:4" ht="15.75" customHeight="1" x14ac:dyDescent="0.25">
      <c r="A104" s="4"/>
      <c r="B104" s="4"/>
      <c r="C104" s="4"/>
      <c r="D104" s="4"/>
    </row>
    <row r="105" spans="1:4" ht="15.75" customHeight="1" x14ac:dyDescent="0.25">
      <c r="A105" s="4"/>
      <c r="B105" s="4"/>
      <c r="C105" s="4"/>
      <c r="D105" s="4"/>
    </row>
    <row r="106" spans="1:4" ht="15.75" customHeight="1" x14ac:dyDescent="0.25">
      <c r="A106" s="4"/>
      <c r="B106" s="4"/>
      <c r="C106" s="4"/>
      <c r="D106" s="4"/>
    </row>
    <row r="107" spans="1:4" ht="15.75" customHeight="1" x14ac:dyDescent="0.25">
      <c r="A107" s="4"/>
      <c r="B107" s="4"/>
      <c r="C107" s="4"/>
      <c r="D107" s="4"/>
    </row>
    <row r="108" spans="1:4" ht="15.75" customHeight="1" x14ac:dyDescent="0.25">
      <c r="A108" s="4"/>
      <c r="B108" s="4"/>
      <c r="C108" s="4"/>
      <c r="D108" s="4"/>
    </row>
    <row r="109" spans="1:4" ht="15.75" customHeight="1" x14ac:dyDescent="0.25">
      <c r="A109" s="4"/>
      <c r="B109" s="4"/>
      <c r="C109" s="4"/>
      <c r="D109" s="4"/>
    </row>
    <row r="110" spans="1:4" ht="15.75" customHeight="1" x14ac:dyDescent="0.25">
      <c r="A110" s="4"/>
      <c r="B110" s="4"/>
      <c r="C110" s="4"/>
      <c r="D110" s="4"/>
    </row>
    <row r="111" spans="1:4" ht="15.75" customHeight="1" x14ac:dyDescent="0.25">
      <c r="A111" s="4"/>
      <c r="B111" s="4"/>
      <c r="C111" s="4"/>
      <c r="D111" s="4"/>
    </row>
    <row r="112" spans="1:4" ht="15.75" customHeight="1" x14ac:dyDescent="0.25">
      <c r="A112" s="4"/>
      <c r="B112" s="4"/>
      <c r="C112" s="4"/>
      <c r="D112" s="4"/>
    </row>
    <row r="113" spans="1:4" ht="15.75" customHeight="1" x14ac:dyDescent="0.25">
      <c r="A113" s="4"/>
      <c r="B113" s="4"/>
      <c r="C113" s="4"/>
      <c r="D113" s="4"/>
    </row>
    <row r="114" spans="1:4" ht="15.75" customHeight="1" x14ac:dyDescent="0.25">
      <c r="A114" s="4"/>
      <c r="B114" s="4"/>
      <c r="C114" s="4"/>
      <c r="D114" s="4"/>
    </row>
    <row r="115" spans="1:4" ht="15.75" customHeight="1" x14ac:dyDescent="0.25">
      <c r="A115" s="4"/>
      <c r="B115" s="4"/>
      <c r="C115" s="4"/>
      <c r="D115" s="4"/>
    </row>
    <row r="116" spans="1:4" ht="15.75" customHeight="1" x14ac:dyDescent="0.25">
      <c r="A116" s="4"/>
      <c r="B116" s="4"/>
      <c r="C116" s="4"/>
      <c r="D116" s="4"/>
    </row>
    <row r="117" spans="1:4" ht="15.75" customHeight="1" x14ac:dyDescent="0.25">
      <c r="A117" s="4"/>
      <c r="B117" s="4"/>
      <c r="C117" s="4"/>
      <c r="D117" s="4"/>
    </row>
    <row r="118" spans="1:4" ht="15.75" customHeight="1" x14ac:dyDescent="0.25">
      <c r="A118" s="4"/>
      <c r="B118" s="4"/>
      <c r="C118" s="4"/>
      <c r="D118" s="4"/>
    </row>
    <row r="119" spans="1:4" ht="15.75" customHeight="1" x14ac:dyDescent="0.25">
      <c r="A119" s="4"/>
      <c r="B119" s="4"/>
      <c r="C119" s="4"/>
      <c r="D119" s="4"/>
    </row>
    <row r="120" spans="1:4" ht="15.75" customHeight="1" x14ac:dyDescent="0.25">
      <c r="A120" s="4"/>
      <c r="B120" s="4"/>
      <c r="C120" s="4"/>
      <c r="D120" s="4"/>
    </row>
    <row r="121" spans="1:4" ht="15.75" customHeight="1" x14ac:dyDescent="0.25">
      <c r="A121" s="4"/>
      <c r="B121" s="4"/>
      <c r="C121" s="4"/>
      <c r="D121" s="4"/>
    </row>
    <row r="122" spans="1:4" ht="15.75" customHeight="1" x14ac:dyDescent="0.25">
      <c r="A122" s="4"/>
      <c r="B122" s="4"/>
      <c r="C122" s="4"/>
      <c r="D122" s="4"/>
    </row>
    <row r="123" spans="1:4" ht="15.75" customHeight="1" x14ac:dyDescent="0.25">
      <c r="A123" s="4"/>
      <c r="B123" s="4"/>
      <c r="C123" s="4"/>
      <c r="D123" s="4"/>
    </row>
    <row r="124" spans="1:4" ht="15.75" customHeight="1" x14ac:dyDescent="0.25">
      <c r="A124" s="4"/>
      <c r="B124" s="4"/>
      <c r="C124" s="4"/>
      <c r="D124" s="4"/>
    </row>
    <row r="125" spans="1:4" ht="15.75" customHeight="1" x14ac:dyDescent="0.25">
      <c r="A125" s="4"/>
      <c r="B125" s="4"/>
      <c r="C125" s="4"/>
      <c r="D125" s="4"/>
    </row>
    <row r="126" spans="1:4" ht="15.75" customHeight="1" x14ac:dyDescent="0.25">
      <c r="A126" s="4"/>
      <c r="B126" s="4"/>
      <c r="C126" s="4"/>
      <c r="D126" s="4"/>
    </row>
    <row r="127" spans="1:4" ht="15.75" customHeight="1" x14ac:dyDescent="0.25">
      <c r="A127" s="4"/>
      <c r="B127" s="4"/>
      <c r="C127" s="4"/>
      <c r="D127" s="4"/>
    </row>
    <row r="128" spans="1:4" ht="15.75" customHeight="1" x14ac:dyDescent="0.25">
      <c r="A128" s="4"/>
      <c r="B128" s="4"/>
      <c r="C128" s="4"/>
      <c r="D128" s="4"/>
    </row>
    <row r="129" spans="1:4" ht="15.75" customHeight="1" x14ac:dyDescent="0.25">
      <c r="A129" s="4"/>
      <c r="B129" s="4"/>
      <c r="C129" s="4"/>
      <c r="D129" s="4"/>
    </row>
    <row r="130" spans="1:4" ht="15.75" customHeight="1" x14ac:dyDescent="0.25">
      <c r="A130" s="4"/>
      <c r="B130" s="4"/>
      <c r="C130" s="4"/>
      <c r="D130" s="4"/>
    </row>
    <row r="131" spans="1:4" ht="15.75" customHeight="1" x14ac:dyDescent="0.25">
      <c r="A131" s="4"/>
      <c r="B131" s="4"/>
      <c r="C131" s="4"/>
      <c r="D131" s="4"/>
    </row>
    <row r="132" spans="1:4" ht="15.75" customHeight="1" x14ac:dyDescent="0.25">
      <c r="A132" s="4"/>
      <c r="B132" s="4"/>
      <c r="C132" s="4"/>
      <c r="D132" s="4"/>
    </row>
    <row r="133" spans="1:4" ht="15.75" customHeight="1" x14ac:dyDescent="0.25">
      <c r="A133" s="4"/>
      <c r="B133" s="4"/>
      <c r="C133" s="4"/>
      <c r="D133" s="4"/>
    </row>
    <row r="134" spans="1:4" ht="15.75" customHeight="1" x14ac:dyDescent="0.25">
      <c r="A134" s="4"/>
      <c r="B134" s="4"/>
      <c r="C134" s="4"/>
      <c r="D134" s="4"/>
    </row>
    <row r="135" spans="1:4" ht="15.75" customHeight="1" x14ac:dyDescent="0.25">
      <c r="A135" s="4"/>
      <c r="B135" s="4"/>
      <c r="C135" s="4"/>
      <c r="D135" s="4"/>
    </row>
    <row r="136" spans="1:4" ht="15.75" customHeight="1" x14ac:dyDescent="0.25">
      <c r="A136" s="4"/>
      <c r="B136" s="4"/>
      <c r="C136" s="4"/>
      <c r="D136" s="4"/>
    </row>
    <row r="137" spans="1:4" ht="15.75" customHeight="1" x14ac:dyDescent="0.25">
      <c r="A137" s="4"/>
      <c r="B137" s="4"/>
      <c r="C137" s="4"/>
      <c r="D137" s="4"/>
    </row>
    <row r="138" spans="1:4" ht="15.75" customHeight="1" x14ac:dyDescent="0.25">
      <c r="A138" s="4"/>
      <c r="B138" s="4"/>
      <c r="C138" s="4"/>
      <c r="D138" s="4"/>
    </row>
    <row r="139" spans="1:4" ht="15.75" customHeight="1" x14ac:dyDescent="0.25">
      <c r="A139" s="4"/>
      <c r="B139" s="4"/>
      <c r="C139" s="4"/>
      <c r="D139" s="4"/>
    </row>
    <row r="140" spans="1:4" ht="15.75" customHeight="1" x14ac:dyDescent="0.25">
      <c r="A140" s="4"/>
      <c r="B140" s="4"/>
      <c r="C140" s="4"/>
      <c r="D140" s="4"/>
    </row>
    <row r="141" spans="1:4" ht="15.75" customHeight="1" x14ac:dyDescent="0.25">
      <c r="A141" s="4"/>
      <c r="B141" s="4"/>
      <c r="C141" s="4"/>
      <c r="D141" s="4"/>
    </row>
    <row r="142" spans="1:4" ht="15.75" customHeight="1" x14ac:dyDescent="0.25">
      <c r="A142" s="4"/>
      <c r="B142" s="4"/>
      <c r="C142" s="4"/>
      <c r="D142" s="4"/>
    </row>
    <row r="143" spans="1:4" ht="15.75" customHeight="1" x14ac:dyDescent="0.25">
      <c r="A143" s="4"/>
      <c r="B143" s="4"/>
      <c r="C143" s="4"/>
      <c r="D143" s="4"/>
    </row>
    <row r="144" spans="1:4" ht="15.75" customHeight="1" x14ac:dyDescent="0.25">
      <c r="A144" s="4"/>
      <c r="B144" s="4"/>
      <c r="C144" s="4"/>
      <c r="D144" s="4"/>
    </row>
    <row r="145" spans="1:4" ht="15.75" customHeight="1" x14ac:dyDescent="0.25">
      <c r="A145" s="4"/>
      <c r="B145" s="4"/>
      <c r="C145" s="4"/>
      <c r="D145" s="4"/>
    </row>
    <row r="146" spans="1:4" ht="15.75" customHeight="1" x14ac:dyDescent="0.25">
      <c r="A146" s="4"/>
      <c r="B146" s="4"/>
      <c r="C146" s="4"/>
      <c r="D146" s="4"/>
    </row>
    <row r="147" spans="1:4" ht="15.75" customHeight="1" x14ac:dyDescent="0.25">
      <c r="A147" s="4"/>
      <c r="B147" s="4"/>
      <c r="C147" s="4"/>
      <c r="D147" s="4"/>
    </row>
    <row r="148" spans="1:4" ht="15.75" customHeight="1" x14ac:dyDescent="0.25">
      <c r="A148" s="4"/>
      <c r="B148" s="4"/>
      <c r="C148" s="4"/>
      <c r="D148" s="4"/>
    </row>
    <row r="149" spans="1:4" ht="15.75" customHeight="1" x14ac:dyDescent="0.25">
      <c r="A149" s="4"/>
      <c r="B149" s="4"/>
      <c r="C149" s="4"/>
      <c r="D149" s="4"/>
    </row>
    <row r="150" spans="1:4" ht="15.75" customHeight="1" x14ac:dyDescent="0.25">
      <c r="A150" s="4"/>
      <c r="B150" s="4"/>
      <c r="C150" s="4"/>
      <c r="D150" s="4"/>
    </row>
    <row r="151" spans="1:4" ht="15.75" customHeight="1" x14ac:dyDescent="0.25">
      <c r="A151" s="4"/>
      <c r="B151" s="4"/>
      <c r="C151" s="4"/>
      <c r="D151" s="4"/>
    </row>
    <row r="152" spans="1:4" ht="15.75" customHeight="1" x14ac:dyDescent="0.25">
      <c r="A152" s="4"/>
      <c r="B152" s="4"/>
      <c r="C152" s="4"/>
      <c r="D152" s="4"/>
    </row>
    <row r="153" spans="1:4" ht="15.75" customHeight="1" x14ac:dyDescent="0.25">
      <c r="A153" s="4"/>
      <c r="B153" s="4"/>
      <c r="C153" s="4"/>
      <c r="D153" s="4"/>
    </row>
    <row r="154" spans="1:4" ht="15.75" customHeight="1" x14ac:dyDescent="0.25">
      <c r="A154" s="4"/>
      <c r="B154" s="4"/>
      <c r="C154" s="4"/>
      <c r="D154" s="4"/>
    </row>
    <row r="155" spans="1:4" ht="15.75" customHeight="1" x14ac:dyDescent="0.25">
      <c r="A155" s="4"/>
      <c r="B155" s="4"/>
      <c r="C155" s="4"/>
      <c r="D155" s="4"/>
    </row>
    <row r="156" spans="1:4" ht="15.75" customHeight="1" x14ac:dyDescent="0.25">
      <c r="A156" s="4"/>
      <c r="B156" s="4"/>
      <c r="C156" s="4"/>
      <c r="D156" s="4"/>
    </row>
    <row r="157" spans="1:4" ht="15.75" customHeight="1" x14ac:dyDescent="0.25">
      <c r="A157" s="4"/>
      <c r="B157" s="4"/>
      <c r="C157" s="4"/>
      <c r="D157" s="4"/>
    </row>
    <row r="158" spans="1:4" ht="15.75" customHeight="1" x14ac:dyDescent="0.25">
      <c r="A158" s="4"/>
      <c r="B158" s="4"/>
      <c r="C158" s="4"/>
      <c r="D158" s="4"/>
    </row>
    <row r="159" spans="1:4" ht="15.75" customHeight="1" x14ac:dyDescent="0.25">
      <c r="A159" s="4"/>
      <c r="B159" s="4"/>
      <c r="C159" s="4"/>
      <c r="D159" s="4"/>
    </row>
    <row r="160" spans="1:4" ht="15.75" customHeight="1" x14ac:dyDescent="0.25">
      <c r="A160" s="4"/>
      <c r="B160" s="4"/>
      <c r="C160" s="4"/>
      <c r="D160" s="4"/>
    </row>
    <row r="161" spans="1:4" ht="15.75" customHeight="1" x14ac:dyDescent="0.25">
      <c r="A161" s="4"/>
      <c r="B161" s="4"/>
      <c r="C161" s="4"/>
      <c r="D161" s="4"/>
    </row>
    <row r="162" spans="1:4" ht="15.75" customHeight="1" x14ac:dyDescent="0.25">
      <c r="A162" s="4"/>
      <c r="B162" s="4"/>
      <c r="C162" s="4"/>
      <c r="D162" s="4"/>
    </row>
    <row r="163" spans="1:4" ht="15.75" customHeight="1" x14ac:dyDescent="0.25">
      <c r="A163" s="4"/>
      <c r="B163" s="4"/>
      <c r="C163" s="4"/>
      <c r="D163" s="4"/>
    </row>
    <row r="164" spans="1:4" ht="15.75" customHeight="1" x14ac:dyDescent="0.25">
      <c r="A164" s="4"/>
      <c r="B164" s="4"/>
      <c r="C164" s="4"/>
      <c r="D164" s="4"/>
    </row>
    <row r="165" spans="1:4" ht="15.75" customHeight="1" x14ac:dyDescent="0.25">
      <c r="A165" s="4"/>
      <c r="B165" s="4"/>
      <c r="C165" s="4"/>
      <c r="D165" s="4"/>
    </row>
    <row r="166" spans="1:4" ht="15.75" customHeight="1" x14ac:dyDescent="0.25">
      <c r="A166" s="4"/>
      <c r="B166" s="4"/>
      <c r="C166" s="4"/>
      <c r="D166" s="4"/>
    </row>
    <row r="167" spans="1:4" ht="15.75" customHeight="1" x14ac:dyDescent="0.25">
      <c r="A167" s="4"/>
      <c r="B167" s="4"/>
      <c r="C167" s="4"/>
      <c r="D167" s="4"/>
    </row>
    <row r="168" spans="1:4" ht="15.75" customHeight="1" x14ac:dyDescent="0.25">
      <c r="A168" s="4"/>
      <c r="B168" s="4"/>
      <c r="C168" s="4"/>
      <c r="D168" s="4"/>
    </row>
    <row r="169" spans="1:4" ht="15.75" customHeight="1" x14ac:dyDescent="0.25">
      <c r="A169" s="4"/>
      <c r="B169" s="4"/>
      <c r="C169" s="4"/>
      <c r="D169" s="4"/>
    </row>
    <row r="170" spans="1:4" ht="15.75" customHeight="1" x14ac:dyDescent="0.25">
      <c r="A170" s="4"/>
      <c r="B170" s="4"/>
      <c r="C170" s="4"/>
      <c r="D170" s="4"/>
    </row>
    <row r="171" spans="1:4" ht="15.75" customHeight="1" x14ac:dyDescent="0.25">
      <c r="A171" s="4"/>
      <c r="B171" s="4"/>
      <c r="C171" s="4"/>
      <c r="D171" s="4"/>
    </row>
    <row r="172" spans="1:4" ht="15.75" customHeight="1" x14ac:dyDescent="0.25">
      <c r="A172" s="4"/>
      <c r="B172" s="4"/>
      <c r="C172" s="4"/>
      <c r="D172" s="4"/>
    </row>
    <row r="173" spans="1:4" ht="15.75" customHeight="1" x14ac:dyDescent="0.25">
      <c r="A173" s="4"/>
      <c r="B173" s="4"/>
      <c r="C173" s="4"/>
      <c r="D173" s="4"/>
    </row>
    <row r="174" spans="1:4" ht="15.75" customHeight="1" x14ac:dyDescent="0.25">
      <c r="A174" s="4"/>
      <c r="B174" s="4"/>
      <c r="C174" s="4"/>
      <c r="D174" s="4"/>
    </row>
    <row r="175" spans="1:4" ht="15.75" customHeight="1" x14ac:dyDescent="0.25">
      <c r="A175" s="4"/>
      <c r="B175" s="4"/>
      <c r="C175" s="4"/>
      <c r="D175" s="4"/>
    </row>
    <row r="176" spans="1:4" ht="15.75" customHeight="1" x14ac:dyDescent="0.25">
      <c r="A176" s="4"/>
      <c r="B176" s="4"/>
      <c r="C176" s="4"/>
      <c r="D176" s="4"/>
    </row>
    <row r="177" spans="1:4" ht="15.75" customHeight="1" x14ac:dyDescent="0.25">
      <c r="A177" s="4"/>
      <c r="B177" s="4"/>
      <c r="C177" s="4"/>
      <c r="D177" s="4"/>
    </row>
    <row r="178" spans="1:4" ht="15.75" customHeight="1" x14ac:dyDescent="0.25">
      <c r="A178" s="4"/>
      <c r="B178" s="4"/>
      <c r="C178" s="4"/>
      <c r="D178" s="4"/>
    </row>
    <row r="179" spans="1:4" ht="15.75" customHeight="1" x14ac:dyDescent="0.25">
      <c r="A179" s="4"/>
      <c r="B179" s="4"/>
      <c r="C179" s="4"/>
      <c r="D179" s="4"/>
    </row>
    <row r="180" spans="1:4" ht="15.75" customHeight="1" x14ac:dyDescent="0.25">
      <c r="A180" s="4"/>
      <c r="B180" s="4"/>
      <c r="C180" s="4"/>
      <c r="D180" s="4"/>
    </row>
    <row r="181" spans="1:4" ht="15.75" customHeight="1" x14ac:dyDescent="0.25">
      <c r="A181" s="4"/>
      <c r="B181" s="4"/>
      <c r="C181" s="4"/>
      <c r="D181" s="4"/>
    </row>
    <row r="182" spans="1:4" ht="15.75" customHeight="1" x14ac:dyDescent="0.25">
      <c r="A182" s="4"/>
      <c r="B182" s="4"/>
      <c r="C182" s="4"/>
      <c r="D182" s="4"/>
    </row>
    <row r="183" spans="1:4" ht="15.75" customHeight="1" x14ac:dyDescent="0.25">
      <c r="A183" s="4"/>
      <c r="B183" s="4"/>
      <c r="C183" s="4"/>
      <c r="D183" s="4"/>
    </row>
    <row r="184" spans="1:4" ht="15.75" customHeight="1" x14ac:dyDescent="0.25">
      <c r="A184" s="4"/>
      <c r="B184" s="4"/>
      <c r="C184" s="4"/>
      <c r="D184" s="4"/>
    </row>
    <row r="185" spans="1:4" ht="15.75" customHeight="1" x14ac:dyDescent="0.25">
      <c r="A185" s="4"/>
      <c r="B185" s="4"/>
      <c r="C185" s="4"/>
      <c r="D185" s="4"/>
    </row>
    <row r="186" spans="1:4" ht="15.75" customHeight="1" x14ac:dyDescent="0.25">
      <c r="A186" s="4"/>
      <c r="B186" s="4"/>
      <c r="C186" s="4"/>
      <c r="D186" s="4"/>
    </row>
    <row r="187" spans="1:4" ht="15.75" customHeight="1" x14ac:dyDescent="0.25">
      <c r="A187" s="4"/>
      <c r="B187" s="4"/>
      <c r="C187" s="4"/>
      <c r="D187" s="4"/>
    </row>
    <row r="188" spans="1:4" ht="15.75" customHeight="1" x14ac:dyDescent="0.25">
      <c r="A188" s="4"/>
      <c r="B188" s="4"/>
      <c r="C188" s="4"/>
      <c r="D188" s="4"/>
    </row>
    <row r="189" spans="1:4" ht="15.75" customHeight="1" x14ac:dyDescent="0.25">
      <c r="A189" s="4"/>
      <c r="B189" s="4"/>
      <c r="C189" s="4"/>
      <c r="D189" s="4"/>
    </row>
    <row r="190" spans="1:4" ht="15.75" customHeight="1" x14ac:dyDescent="0.25">
      <c r="A190" s="4"/>
      <c r="B190" s="4"/>
      <c r="C190" s="4"/>
      <c r="D190" s="4"/>
    </row>
    <row r="191" spans="1:4" ht="15.75" customHeight="1" x14ac:dyDescent="0.25">
      <c r="A191" s="4"/>
      <c r="B191" s="4"/>
      <c r="C191" s="4"/>
      <c r="D191" s="4"/>
    </row>
    <row r="192" spans="1:4" ht="15.75" customHeight="1" x14ac:dyDescent="0.25">
      <c r="A192" s="4"/>
      <c r="B192" s="4"/>
      <c r="C192" s="4"/>
      <c r="D192" s="4"/>
    </row>
    <row r="193" spans="1:4" ht="15.75" customHeight="1" x14ac:dyDescent="0.25">
      <c r="A193" s="4"/>
      <c r="B193" s="4"/>
      <c r="C193" s="4"/>
      <c r="D193" s="4"/>
    </row>
    <row r="194" spans="1:4" ht="15.75" customHeight="1" x14ac:dyDescent="0.25">
      <c r="A194" s="4"/>
      <c r="B194" s="4"/>
      <c r="C194" s="4"/>
      <c r="D194" s="4"/>
    </row>
    <row r="195" spans="1:4" ht="15.75" customHeight="1" x14ac:dyDescent="0.25">
      <c r="A195" s="4"/>
      <c r="B195" s="4"/>
      <c r="C195" s="4"/>
      <c r="D195" s="4"/>
    </row>
    <row r="196" spans="1:4" ht="15.75" customHeight="1" x14ac:dyDescent="0.25">
      <c r="A196" s="4"/>
      <c r="B196" s="4"/>
      <c r="C196" s="4"/>
      <c r="D196" s="4"/>
    </row>
    <row r="197" spans="1:4" ht="15.75" customHeight="1" x14ac:dyDescent="0.25">
      <c r="A197" s="4"/>
      <c r="B197" s="4"/>
      <c r="C197" s="4"/>
      <c r="D197" s="4"/>
    </row>
    <row r="198" spans="1:4" ht="15.75" customHeight="1" x14ac:dyDescent="0.25">
      <c r="A198" s="4"/>
      <c r="B198" s="4"/>
      <c r="C198" s="4"/>
      <c r="D198" s="4"/>
    </row>
    <row r="199" spans="1:4" ht="15.75" customHeight="1" x14ac:dyDescent="0.25">
      <c r="A199" s="4"/>
      <c r="B199" s="4"/>
      <c r="C199" s="4"/>
      <c r="D199" s="4"/>
    </row>
    <row r="200" spans="1:4" ht="15.75" customHeight="1" x14ac:dyDescent="0.25">
      <c r="A200" s="4"/>
      <c r="B200" s="4"/>
      <c r="C200" s="4"/>
      <c r="D200" s="4"/>
    </row>
    <row r="201" spans="1:4" ht="15.75" customHeight="1" x14ac:dyDescent="0.25">
      <c r="A201" s="4"/>
      <c r="B201" s="4"/>
      <c r="C201" s="4"/>
      <c r="D201" s="4"/>
    </row>
    <row r="202" spans="1:4" ht="15.75" customHeight="1" x14ac:dyDescent="0.25">
      <c r="A202" s="4"/>
      <c r="B202" s="4"/>
      <c r="C202" s="4"/>
      <c r="D202" s="4"/>
    </row>
    <row r="203" spans="1:4" ht="15.75" customHeight="1" x14ac:dyDescent="0.25">
      <c r="A203" s="4"/>
      <c r="B203" s="4"/>
      <c r="C203" s="4"/>
      <c r="D203" s="4"/>
    </row>
    <row r="204" spans="1:4" ht="15.75" customHeight="1" x14ac:dyDescent="0.25">
      <c r="A204" s="4"/>
      <c r="B204" s="4"/>
      <c r="C204" s="4"/>
      <c r="D204" s="4"/>
    </row>
    <row r="205" spans="1:4" ht="15.75" customHeight="1" x14ac:dyDescent="0.25">
      <c r="A205" s="4"/>
      <c r="B205" s="4"/>
      <c r="C205" s="4"/>
      <c r="D205" s="4"/>
    </row>
    <row r="206" spans="1:4" ht="15.75" customHeight="1" x14ac:dyDescent="0.25">
      <c r="A206" s="4"/>
      <c r="B206" s="4"/>
      <c r="C206" s="4"/>
      <c r="D206" s="4"/>
    </row>
    <row r="207" spans="1:4" ht="15.75" customHeight="1" x14ac:dyDescent="0.25">
      <c r="A207" s="4"/>
      <c r="B207" s="4"/>
      <c r="C207" s="4"/>
      <c r="D207" s="4"/>
    </row>
    <row r="208" spans="1:4" ht="15.75" customHeight="1" x14ac:dyDescent="0.25">
      <c r="A208" s="4"/>
      <c r="B208" s="4"/>
      <c r="C208" s="4"/>
      <c r="D208" s="4"/>
    </row>
    <row r="209" spans="1:4" ht="15.75" customHeight="1" x14ac:dyDescent="0.25">
      <c r="A209" s="4"/>
      <c r="B209" s="4"/>
      <c r="C209" s="4"/>
      <c r="D209" s="4"/>
    </row>
    <row r="210" spans="1:4" ht="15.75" customHeight="1" x14ac:dyDescent="0.25">
      <c r="A210" s="4"/>
      <c r="B210" s="4"/>
      <c r="C210" s="4"/>
      <c r="D210" s="4"/>
    </row>
    <row r="211" spans="1:4" ht="15.75" customHeight="1" x14ac:dyDescent="0.25">
      <c r="A211" s="4"/>
      <c r="B211" s="4"/>
      <c r="C211" s="4"/>
      <c r="D211" s="4"/>
    </row>
    <row r="212" spans="1:4" ht="15.75" customHeight="1" x14ac:dyDescent="0.25">
      <c r="A212" s="4"/>
      <c r="B212" s="4"/>
      <c r="C212" s="4"/>
      <c r="D212" s="4"/>
    </row>
    <row r="213" spans="1:4" ht="15.75" customHeight="1" x14ac:dyDescent="0.25">
      <c r="A213" s="4"/>
      <c r="B213" s="4"/>
      <c r="C213" s="4"/>
      <c r="D213" s="4"/>
    </row>
    <row r="214" spans="1:4" ht="15.75" customHeight="1" x14ac:dyDescent="0.25">
      <c r="A214" s="4"/>
      <c r="B214" s="4"/>
      <c r="C214" s="4"/>
      <c r="D214" s="4"/>
    </row>
    <row r="215" spans="1:4" ht="15.75" customHeight="1" x14ac:dyDescent="0.25">
      <c r="A215" s="4"/>
      <c r="B215" s="4"/>
      <c r="C215" s="4"/>
      <c r="D215" s="4"/>
    </row>
    <row r="216" spans="1:4" ht="15.75" customHeight="1" x14ac:dyDescent="0.25">
      <c r="A216" s="4"/>
      <c r="B216" s="4"/>
      <c r="C216" s="4"/>
      <c r="D216" s="4"/>
    </row>
    <row r="217" spans="1:4" ht="15.75" customHeight="1" x14ac:dyDescent="0.25">
      <c r="A217" s="4"/>
      <c r="B217" s="4"/>
      <c r="C217" s="4"/>
      <c r="D217" s="4"/>
    </row>
    <row r="218" spans="1:4" ht="15.75" customHeight="1" x14ac:dyDescent="0.25">
      <c r="A218" s="4"/>
      <c r="B218" s="4"/>
      <c r="C218" s="4"/>
      <c r="D218" s="4"/>
    </row>
    <row r="219" spans="1:4" ht="15.75" customHeight="1" x14ac:dyDescent="0.25">
      <c r="A219" s="4"/>
      <c r="B219" s="4"/>
      <c r="C219" s="4"/>
      <c r="D219" s="4"/>
    </row>
    <row r="220" spans="1:4" ht="15.75" customHeight="1" x14ac:dyDescent="0.25">
      <c r="A220" s="4"/>
      <c r="B220" s="4"/>
      <c r="C220" s="4"/>
      <c r="D220" s="4"/>
    </row>
    <row r="221" spans="1:4" ht="15.75" customHeight="1" x14ac:dyDescent="0.25">
      <c r="A221" s="4"/>
      <c r="B221" s="4"/>
      <c r="C221" s="4"/>
      <c r="D221" s="4"/>
    </row>
    <row r="222" spans="1:4" ht="15.75" customHeight="1" x14ac:dyDescent="0.25">
      <c r="A222" s="4"/>
      <c r="B222" s="4"/>
      <c r="C222" s="4"/>
      <c r="D222" s="4"/>
    </row>
    <row r="223" spans="1:4" ht="15.75" customHeight="1" x14ac:dyDescent="0.25">
      <c r="A223" s="4"/>
      <c r="B223" s="4"/>
      <c r="C223" s="4"/>
      <c r="D223" s="4"/>
    </row>
    <row r="224" spans="1:4" ht="15.75" customHeight="1" x14ac:dyDescent="0.25">
      <c r="A224" s="4"/>
      <c r="B224" s="4"/>
      <c r="C224" s="4"/>
      <c r="D224" s="4"/>
    </row>
    <row r="225" spans="1:4" ht="15.75" customHeight="1" x14ac:dyDescent="0.25">
      <c r="A225" s="4"/>
      <c r="B225" s="4"/>
      <c r="C225" s="4"/>
      <c r="D225" s="4"/>
    </row>
    <row r="226" spans="1:4" ht="15.75" customHeight="1" x14ac:dyDescent="0.25">
      <c r="A226" s="4"/>
      <c r="B226" s="4"/>
      <c r="C226" s="4"/>
      <c r="D226" s="4"/>
    </row>
    <row r="227" spans="1:4" ht="15.75" customHeight="1" x14ac:dyDescent="0.25">
      <c r="A227" s="4"/>
      <c r="B227" s="4"/>
      <c r="C227" s="4"/>
      <c r="D227" s="4"/>
    </row>
    <row r="228" spans="1:4" ht="15.75" customHeight="1" x14ac:dyDescent="0.25">
      <c r="A228" s="4"/>
      <c r="B228" s="4"/>
      <c r="C228" s="4"/>
      <c r="D228" s="4"/>
    </row>
    <row r="229" spans="1:4" ht="15.75" customHeight="1" x14ac:dyDescent="0.25">
      <c r="A229" s="4"/>
      <c r="B229" s="4"/>
      <c r="C229" s="4"/>
      <c r="D229" s="4"/>
    </row>
    <row r="230" spans="1:4" ht="15.75" customHeight="1" x14ac:dyDescent="0.25">
      <c r="A230" s="4"/>
      <c r="B230" s="4"/>
      <c r="C230" s="4"/>
      <c r="D230" s="4"/>
    </row>
    <row r="231" spans="1:4" ht="15.75" customHeight="1" x14ac:dyDescent="0.25">
      <c r="A231" s="4"/>
      <c r="B231" s="4"/>
      <c r="C231" s="4"/>
      <c r="D231" s="4"/>
    </row>
    <row r="232" spans="1:4" ht="15.75" customHeight="1" x14ac:dyDescent="0.25">
      <c r="A232" s="4"/>
      <c r="B232" s="4"/>
      <c r="C232" s="4"/>
      <c r="D232" s="4"/>
    </row>
    <row r="233" spans="1:4" ht="15.75" customHeight="1" x14ac:dyDescent="0.25">
      <c r="A233" s="4"/>
      <c r="B233" s="4"/>
      <c r="C233" s="4"/>
      <c r="D233" s="4"/>
    </row>
    <row r="234" spans="1:4" ht="15.75" customHeight="1" x14ac:dyDescent="0.25">
      <c r="A234" s="4"/>
      <c r="B234" s="4"/>
      <c r="C234" s="4"/>
      <c r="D234" s="4"/>
    </row>
    <row r="235" spans="1:4" ht="15.75" customHeight="1" x14ac:dyDescent="0.25">
      <c r="A235" s="4"/>
      <c r="B235" s="4"/>
      <c r="C235" s="4"/>
      <c r="D235" s="4"/>
    </row>
    <row r="236" spans="1:4" ht="15.75" customHeight="1" x14ac:dyDescent="0.25">
      <c r="A236" s="4"/>
      <c r="B236" s="4"/>
      <c r="C236" s="4"/>
      <c r="D236" s="4"/>
    </row>
    <row r="237" spans="1:4" ht="15.75" customHeight="1" x14ac:dyDescent="0.25">
      <c r="A237" s="4"/>
      <c r="B237" s="4"/>
      <c r="C237" s="4"/>
      <c r="D237" s="4"/>
    </row>
    <row r="238" spans="1:4" ht="15.75" customHeight="1" x14ac:dyDescent="0.25">
      <c r="A238" s="4"/>
      <c r="B238" s="4"/>
      <c r="C238" s="4"/>
      <c r="D238" s="4"/>
    </row>
    <row r="239" spans="1:4" ht="15.75" customHeight="1" x14ac:dyDescent="0.25">
      <c r="A239" s="4"/>
      <c r="B239" s="4"/>
      <c r="C239" s="4"/>
      <c r="D239" s="4"/>
    </row>
    <row r="240" spans="1:4" ht="15.75" customHeight="1" x14ac:dyDescent="0.25">
      <c r="A240" s="4"/>
      <c r="B240" s="4"/>
      <c r="C240" s="4"/>
      <c r="D240" s="4"/>
    </row>
    <row r="241" spans="1:4" ht="15.75" customHeight="1" x14ac:dyDescent="0.25">
      <c r="A241" s="4"/>
      <c r="B241" s="4"/>
      <c r="C241" s="4"/>
      <c r="D241" s="4"/>
    </row>
    <row r="242" spans="1:4" ht="15.75" customHeight="1" x14ac:dyDescent="0.25">
      <c r="A242" s="4"/>
      <c r="B242" s="4"/>
      <c r="C242" s="4"/>
      <c r="D242" s="4"/>
    </row>
    <row r="243" spans="1:4" ht="15.75" customHeight="1" x14ac:dyDescent="0.25">
      <c r="A243" s="4"/>
      <c r="B243" s="4"/>
      <c r="C243" s="4"/>
      <c r="D243" s="4"/>
    </row>
    <row r="244" spans="1:4" ht="15.75" customHeight="1" x14ac:dyDescent="0.25">
      <c r="A244" s="4"/>
      <c r="B244" s="4"/>
      <c r="C244" s="4"/>
      <c r="D244" s="4"/>
    </row>
    <row r="245" spans="1:4" ht="15.75" customHeight="1" x14ac:dyDescent="0.25">
      <c r="A245" s="4"/>
      <c r="B245" s="4"/>
      <c r="C245" s="4"/>
      <c r="D245" s="4"/>
    </row>
    <row r="246" spans="1:4" ht="15.75" customHeight="1" x14ac:dyDescent="0.25">
      <c r="A246" s="4"/>
      <c r="B246" s="4"/>
      <c r="C246" s="4"/>
      <c r="D246" s="4"/>
    </row>
    <row r="247" spans="1:4" ht="15.75" customHeight="1" x14ac:dyDescent="0.25">
      <c r="A247" s="4"/>
      <c r="B247" s="4"/>
      <c r="C247" s="4"/>
      <c r="D247" s="4"/>
    </row>
    <row r="248" spans="1:4" ht="15.75" customHeight="1" x14ac:dyDescent="0.25">
      <c r="A248" s="4"/>
      <c r="B248" s="4"/>
      <c r="C248" s="4"/>
      <c r="D248" s="4"/>
    </row>
    <row r="249" spans="1:4" ht="15.75" customHeight="1" x14ac:dyDescent="0.25">
      <c r="A249" s="4"/>
      <c r="B249" s="4"/>
      <c r="C249" s="4"/>
      <c r="D249" s="4"/>
    </row>
    <row r="250" spans="1:4" ht="15.75" customHeight="1" x14ac:dyDescent="0.25">
      <c r="A250" s="4"/>
      <c r="B250" s="4"/>
      <c r="C250" s="4"/>
      <c r="D250" s="4"/>
    </row>
    <row r="251" spans="1:4" ht="15.75" customHeight="1" x14ac:dyDescent="0.25">
      <c r="A251" s="4"/>
      <c r="B251" s="4"/>
      <c r="C251" s="4"/>
      <c r="D251" s="4"/>
    </row>
    <row r="252" spans="1:4" ht="15.75" customHeight="1" x14ac:dyDescent="0.25">
      <c r="A252" s="4"/>
      <c r="B252" s="4"/>
      <c r="C252" s="4"/>
      <c r="D252" s="4"/>
    </row>
    <row r="253" spans="1:4" ht="15.75" customHeight="1" x14ac:dyDescent="0.25">
      <c r="A253" s="4"/>
      <c r="B253" s="4"/>
      <c r="C253" s="4"/>
      <c r="D253" s="4"/>
    </row>
    <row r="254" spans="1:4" ht="15.75" customHeight="1" x14ac:dyDescent="0.25">
      <c r="A254" s="4"/>
      <c r="B254" s="4"/>
      <c r="C254" s="4"/>
      <c r="D254" s="4"/>
    </row>
    <row r="255" spans="1:4" ht="15.75" customHeight="1" x14ac:dyDescent="0.25">
      <c r="A255" s="4"/>
      <c r="B255" s="4"/>
      <c r="C255" s="4"/>
      <c r="D255" s="4"/>
    </row>
    <row r="256" spans="1:4" ht="15.75" customHeight="1" x14ac:dyDescent="0.25">
      <c r="A256" s="4"/>
      <c r="B256" s="4"/>
      <c r="C256" s="4"/>
      <c r="D256" s="4"/>
    </row>
    <row r="257" spans="1:4" ht="15.75" customHeight="1" x14ac:dyDescent="0.25">
      <c r="A257" s="4"/>
      <c r="B257" s="4"/>
      <c r="C257" s="4"/>
      <c r="D257" s="4"/>
    </row>
    <row r="258" spans="1:4" ht="15.75" customHeight="1" x14ac:dyDescent="0.25">
      <c r="A258" s="4"/>
      <c r="B258" s="4"/>
      <c r="C258" s="4"/>
      <c r="D258" s="4"/>
    </row>
    <row r="259" spans="1:4" ht="15.75" customHeight="1" x14ac:dyDescent="0.25">
      <c r="A259" s="4"/>
      <c r="B259" s="4"/>
      <c r="C259" s="4"/>
      <c r="D259" s="4"/>
    </row>
    <row r="260" spans="1:4" ht="15.75" customHeight="1" x14ac:dyDescent="0.25">
      <c r="A260" s="4"/>
      <c r="B260" s="4"/>
      <c r="C260" s="4"/>
      <c r="D260" s="4"/>
    </row>
    <row r="261" spans="1:4" ht="15.75" customHeight="1" x14ac:dyDescent="0.25">
      <c r="A261" s="4"/>
      <c r="B261" s="4"/>
      <c r="C261" s="4"/>
      <c r="D261" s="4"/>
    </row>
    <row r="262" spans="1:4" ht="15.75" customHeight="1" x14ac:dyDescent="0.25">
      <c r="A262" s="4"/>
      <c r="B262" s="4"/>
      <c r="C262" s="4"/>
      <c r="D262" s="4"/>
    </row>
    <row r="263" spans="1:4" ht="15.75" customHeight="1" x14ac:dyDescent="0.25">
      <c r="A263" s="4"/>
      <c r="B263" s="4"/>
      <c r="C263" s="4"/>
      <c r="D263" s="4"/>
    </row>
    <row r="264" spans="1:4" ht="15.75" customHeight="1" x14ac:dyDescent="0.25">
      <c r="A264" s="4"/>
      <c r="B264" s="4"/>
      <c r="C264" s="4"/>
      <c r="D264" s="4"/>
    </row>
    <row r="265" spans="1:4" ht="15.75" customHeight="1" x14ac:dyDescent="0.25">
      <c r="A265" s="4"/>
      <c r="B265" s="4"/>
      <c r="C265" s="4"/>
      <c r="D265" s="4"/>
    </row>
    <row r="266" spans="1:4" ht="15.75" customHeight="1" x14ac:dyDescent="0.25">
      <c r="A266" s="4"/>
      <c r="B266" s="4"/>
      <c r="C266" s="4"/>
      <c r="D266" s="4"/>
    </row>
    <row r="267" spans="1:4" ht="15.75" customHeight="1" x14ac:dyDescent="0.25">
      <c r="A267" s="4"/>
      <c r="B267" s="4"/>
      <c r="C267" s="4"/>
      <c r="D267" s="4"/>
    </row>
    <row r="268" spans="1:4" ht="15.75" customHeight="1" x14ac:dyDescent="0.25">
      <c r="A268" s="4"/>
      <c r="B268" s="4"/>
      <c r="C268" s="4"/>
      <c r="D268" s="4"/>
    </row>
    <row r="269" spans="1:4" ht="15.75" customHeight="1" x14ac:dyDescent="0.25">
      <c r="A269" s="4"/>
      <c r="B269" s="4"/>
      <c r="C269" s="4"/>
      <c r="D269" s="4"/>
    </row>
    <row r="270" spans="1:4" ht="15.75" customHeight="1" x14ac:dyDescent="0.25">
      <c r="A270" s="4"/>
      <c r="B270" s="4"/>
      <c r="C270" s="4"/>
      <c r="D270" s="4"/>
    </row>
    <row r="271" spans="1:4" ht="15.75" customHeight="1" x14ac:dyDescent="0.25">
      <c r="A271" s="4"/>
      <c r="B271" s="4"/>
      <c r="C271" s="4"/>
      <c r="D271" s="4"/>
    </row>
    <row r="272" spans="1:4" ht="15.75" customHeight="1" x14ac:dyDescent="0.25">
      <c r="A272" s="4"/>
      <c r="B272" s="4"/>
      <c r="C272" s="4"/>
      <c r="D272" s="4"/>
    </row>
    <row r="273" spans="1:4" ht="15.75" customHeight="1" x14ac:dyDescent="0.25">
      <c r="A273" s="4"/>
      <c r="B273" s="4"/>
      <c r="C273" s="4"/>
      <c r="D273" s="4"/>
    </row>
    <row r="274" spans="1:4" ht="15.75" customHeight="1" x14ac:dyDescent="0.25">
      <c r="A274" s="4"/>
      <c r="B274" s="4"/>
      <c r="C274" s="4"/>
      <c r="D274" s="4"/>
    </row>
    <row r="275" spans="1:4" ht="15.75" customHeight="1" x14ac:dyDescent="0.25">
      <c r="A275" s="4"/>
      <c r="B275" s="4"/>
      <c r="C275" s="4"/>
      <c r="D275" s="4"/>
    </row>
    <row r="276" spans="1:4" ht="15.75" customHeight="1" x14ac:dyDescent="0.25">
      <c r="A276" s="4"/>
      <c r="B276" s="4"/>
      <c r="C276" s="4"/>
      <c r="D276" s="4"/>
    </row>
    <row r="277" spans="1:4" ht="15.75" customHeight="1" x14ac:dyDescent="0.25">
      <c r="A277" s="4"/>
      <c r="B277" s="4"/>
      <c r="C277" s="4"/>
      <c r="D277" s="4"/>
    </row>
    <row r="278" spans="1:4" ht="15.75" customHeight="1" x14ac:dyDescent="0.25">
      <c r="A278" s="4"/>
      <c r="B278" s="4"/>
      <c r="C278" s="4"/>
      <c r="D278" s="4"/>
    </row>
    <row r="279" spans="1:4" ht="15.75" customHeight="1" x14ac:dyDescent="0.25">
      <c r="A279" s="4"/>
      <c r="B279" s="4"/>
      <c r="C279" s="4"/>
      <c r="D279" s="4"/>
    </row>
    <row r="280" spans="1:4" ht="15.75" customHeight="1" x14ac:dyDescent="0.25">
      <c r="A280" s="4"/>
      <c r="B280" s="4"/>
      <c r="C280" s="4"/>
      <c r="D280" s="4"/>
    </row>
    <row r="281" spans="1:4" ht="15.75" customHeight="1" x14ac:dyDescent="0.25">
      <c r="A281" s="4"/>
      <c r="B281" s="4"/>
      <c r="C281" s="4"/>
      <c r="D281" s="4"/>
    </row>
    <row r="282" spans="1:4" ht="15.75" customHeight="1" x14ac:dyDescent="0.25">
      <c r="A282" s="4"/>
      <c r="B282" s="4"/>
      <c r="C282" s="4"/>
      <c r="D282" s="4"/>
    </row>
    <row r="283" spans="1:4" ht="15.75" customHeight="1" x14ac:dyDescent="0.25">
      <c r="A283" s="4"/>
      <c r="B283" s="4"/>
      <c r="C283" s="4"/>
      <c r="D283" s="4"/>
    </row>
    <row r="284" spans="1:4" ht="15.75" customHeight="1" x14ac:dyDescent="0.25">
      <c r="A284" s="4"/>
      <c r="B284" s="4"/>
      <c r="C284" s="4"/>
      <c r="D284" s="4"/>
    </row>
    <row r="285" spans="1:4" ht="15.75" customHeight="1" x14ac:dyDescent="0.25">
      <c r="A285" s="4"/>
      <c r="B285" s="4"/>
      <c r="C285" s="4"/>
      <c r="D285" s="4"/>
    </row>
    <row r="286" spans="1:4" ht="15.75" customHeight="1" x14ac:dyDescent="0.25">
      <c r="A286" s="4"/>
      <c r="B286" s="4"/>
      <c r="C286" s="4"/>
      <c r="D286" s="4"/>
    </row>
    <row r="287" spans="1:4" ht="15.75" customHeight="1" x14ac:dyDescent="0.25">
      <c r="A287" s="4"/>
      <c r="B287" s="4"/>
      <c r="C287" s="4"/>
      <c r="D287" s="4"/>
    </row>
    <row r="288" spans="1:4" ht="15.75" customHeight="1" x14ac:dyDescent="0.25">
      <c r="A288" s="4"/>
      <c r="B288" s="4"/>
      <c r="C288" s="4"/>
      <c r="D288" s="4"/>
    </row>
    <row r="289" spans="1:4" ht="15.75" customHeight="1" x14ac:dyDescent="0.25">
      <c r="A289" s="4"/>
      <c r="B289" s="4"/>
      <c r="C289" s="4"/>
      <c r="D289" s="4"/>
    </row>
    <row r="290" spans="1:4" ht="15.75" customHeight="1" x14ac:dyDescent="0.25">
      <c r="A290" s="4"/>
      <c r="B290" s="4"/>
      <c r="C290" s="4"/>
      <c r="D290" s="4"/>
    </row>
    <row r="291" spans="1:4" ht="15.75" customHeight="1" x14ac:dyDescent="0.25">
      <c r="A291" s="4"/>
      <c r="B291" s="4"/>
      <c r="C291" s="4"/>
      <c r="D291" s="4"/>
    </row>
    <row r="292" spans="1:4" ht="15.75" customHeight="1" x14ac:dyDescent="0.25">
      <c r="A292" s="4"/>
      <c r="B292" s="4"/>
      <c r="C292" s="4"/>
      <c r="D292" s="4"/>
    </row>
    <row r="293" spans="1:4" ht="15.75" customHeight="1" x14ac:dyDescent="0.25">
      <c r="A293" s="4"/>
      <c r="B293" s="4"/>
      <c r="C293" s="4"/>
      <c r="D293" s="4"/>
    </row>
    <row r="294" spans="1:4" ht="15.75" customHeight="1" x14ac:dyDescent="0.25">
      <c r="A294" s="4"/>
      <c r="B294" s="4"/>
      <c r="C294" s="4"/>
      <c r="D294" s="4"/>
    </row>
    <row r="295" spans="1:4" ht="15.75" customHeight="1" x14ac:dyDescent="0.25">
      <c r="A295" s="4"/>
      <c r="B295" s="4"/>
      <c r="C295" s="4"/>
      <c r="D295" s="4"/>
    </row>
    <row r="296" spans="1:4" ht="15.75" customHeight="1" x14ac:dyDescent="0.25">
      <c r="A296" s="4"/>
      <c r="B296" s="4"/>
      <c r="C296" s="4"/>
      <c r="D296" s="4"/>
    </row>
    <row r="297" spans="1:4" ht="15.75" customHeight="1" x14ac:dyDescent="0.25">
      <c r="A297" s="4"/>
      <c r="B297" s="4"/>
      <c r="C297" s="4"/>
      <c r="D297" s="4"/>
    </row>
    <row r="298" spans="1:4" ht="15.75" customHeight="1" x14ac:dyDescent="0.25">
      <c r="A298" s="4"/>
      <c r="B298" s="4"/>
      <c r="C298" s="4"/>
      <c r="D298" s="4"/>
    </row>
    <row r="299" spans="1:4" ht="15.75" customHeight="1" x14ac:dyDescent="0.25">
      <c r="A299" s="4"/>
      <c r="B299" s="4"/>
      <c r="C299" s="4"/>
      <c r="D299" s="4"/>
    </row>
    <row r="300" spans="1:4" ht="15.75" customHeight="1" x14ac:dyDescent="0.25">
      <c r="A300" s="4"/>
      <c r="B300" s="4"/>
      <c r="C300" s="4"/>
      <c r="D300" s="4"/>
    </row>
    <row r="301" spans="1:4" ht="15.75" customHeight="1" x14ac:dyDescent="0.25">
      <c r="A301" s="4"/>
      <c r="B301" s="4"/>
      <c r="C301" s="4"/>
      <c r="D301" s="4"/>
    </row>
    <row r="302" spans="1:4" ht="15.75" customHeight="1" x14ac:dyDescent="0.25">
      <c r="A302" s="4"/>
      <c r="B302" s="4"/>
      <c r="C302" s="4"/>
      <c r="D302" s="4"/>
    </row>
    <row r="303" spans="1:4" ht="15.75" customHeight="1" x14ac:dyDescent="0.25">
      <c r="A303" s="4"/>
      <c r="B303" s="4"/>
      <c r="C303" s="4"/>
      <c r="D303" s="4"/>
    </row>
    <row r="304" spans="1:4" ht="15.75" customHeight="1" x14ac:dyDescent="0.25">
      <c r="A304" s="4"/>
      <c r="B304" s="4"/>
      <c r="C304" s="4"/>
      <c r="D304" s="4"/>
    </row>
    <row r="305" spans="1:4" ht="15.75" customHeight="1" x14ac:dyDescent="0.25">
      <c r="A305" s="4"/>
      <c r="B305" s="4"/>
      <c r="C305" s="4"/>
      <c r="D305" s="4"/>
    </row>
    <row r="306" spans="1:4" ht="15.75" customHeight="1" x14ac:dyDescent="0.25">
      <c r="A306" s="4"/>
      <c r="B306" s="4"/>
      <c r="C306" s="4"/>
      <c r="D306" s="4"/>
    </row>
    <row r="307" spans="1:4" ht="15.75" customHeight="1" x14ac:dyDescent="0.25">
      <c r="A307" s="4"/>
      <c r="B307" s="4"/>
      <c r="C307" s="4"/>
      <c r="D307" s="4"/>
    </row>
    <row r="308" spans="1:4" ht="15.75" customHeight="1" x14ac:dyDescent="0.25">
      <c r="A308" s="4"/>
      <c r="B308" s="4"/>
      <c r="C308" s="4"/>
      <c r="D308" s="4"/>
    </row>
    <row r="309" spans="1:4" ht="15.75" customHeight="1" x14ac:dyDescent="0.25">
      <c r="A309" s="4"/>
      <c r="B309" s="4"/>
      <c r="C309" s="4"/>
      <c r="D309" s="4"/>
    </row>
    <row r="310" spans="1:4" ht="15.75" customHeight="1" x14ac:dyDescent="0.25">
      <c r="A310" s="4"/>
      <c r="B310" s="4"/>
      <c r="C310" s="4"/>
      <c r="D310" s="4"/>
    </row>
    <row r="311" spans="1:4" ht="15.75" customHeight="1" x14ac:dyDescent="0.25">
      <c r="A311" s="4"/>
      <c r="B311" s="4"/>
      <c r="C311" s="4"/>
      <c r="D311" s="4"/>
    </row>
    <row r="312" spans="1:4" ht="15.75" customHeight="1" x14ac:dyDescent="0.25">
      <c r="A312" s="4"/>
      <c r="B312" s="4"/>
      <c r="C312" s="4"/>
      <c r="D312" s="4"/>
    </row>
    <row r="313" spans="1:4" ht="15.75" customHeight="1" x14ac:dyDescent="0.25">
      <c r="A313" s="4"/>
      <c r="B313" s="4"/>
      <c r="C313" s="4"/>
      <c r="D313" s="4"/>
    </row>
    <row r="314" spans="1:4" ht="15.75" customHeight="1" x14ac:dyDescent="0.25">
      <c r="A314" s="4"/>
      <c r="B314" s="4"/>
      <c r="C314" s="4"/>
      <c r="D314" s="4"/>
    </row>
    <row r="315" spans="1:4" ht="15.75" customHeight="1" x14ac:dyDescent="0.25">
      <c r="A315" s="4"/>
      <c r="B315" s="4"/>
      <c r="C315" s="4"/>
      <c r="D315" s="4"/>
    </row>
    <row r="316" spans="1:4" ht="15.75" customHeight="1" x14ac:dyDescent="0.25">
      <c r="A316" s="4"/>
      <c r="B316" s="4"/>
      <c r="C316" s="4"/>
      <c r="D316" s="4"/>
    </row>
    <row r="317" spans="1:4" ht="15.75" customHeight="1" x14ac:dyDescent="0.25">
      <c r="A317" s="4"/>
      <c r="B317" s="4"/>
      <c r="C317" s="4"/>
      <c r="D317" s="4"/>
    </row>
    <row r="318" spans="1:4" ht="15.75" customHeight="1" x14ac:dyDescent="0.25">
      <c r="A318" s="4"/>
      <c r="B318" s="4"/>
      <c r="C318" s="4"/>
      <c r="D318" s="4"/>
    </row>
    <row r="319" spans="1:4" ht="15.75" customHeight="1" x14ac:dyDescent="0.25">
      <c r="A319" s="4"/>
      <c r="B319" s="4"/>
      <c r="C319" s="4"/>
      <c r="D319" s="4"/>
    </row>
    <row r="320" spans="1:4" ht="15.75" customHeight="1" x14ac:dyDescent="0.25">
      <c r="A320" s="4"/>
      <c r="B320" s="4"/>
      <c r="C320" s="4"/>
      <c r="D320" s="4"/>
    </row>
    <row r="321" spans="1:4" ht="15.75" customHeight="1" x14ac:dyDescent="0.25">
      <c r="A321" s="4"/>
      <c r="B321" s="4"/>
      <c r="C321" s="4"/>
      <c r="D321" s="4"/>
    </row>
    <row r="322" spans="1:4" ht="15.75" customHeight="1" x14ac:dyDescent="0.25">
      <c r="A322" s="4"/>
      <c r="B322" s="4"/>
      <c r="C322" s="4"/>
      <c r="D322" s="4"/>
    </row>
    <row r="323" spans="1:4" ht="15.75" customHeight="1" x14ac:dyDescent="0.25">
      <c r="A323" s="4"/>
      <c r="B323" s="4"/>
      <c r="C323" s="4"/>
      <c r="D323" s="4"/>
    </row>
    <row r="324" spans="1:4" ht="15.75" customHeight="1" x14ac:dyDescent="0.25">
      <c r="A324" s="4"/>
      <c r="B324" s="4"/>
      <c r="C324" s="4"/>
      <c r="D324" s="4"/>
    </row>
    <row r="325" spans="1:4" ht="15.75" customHeight="1" x14ac:dyDescent="0.25">
      <c r="A325" s="4"/>
      <c r="B325" s="4"/>
      <c r="C325" s="4"/>
      <c r="D325" s="4"/>
    </row>
    <row r="326" spans="1:4" ht="15.75" customHeight="1" x14ac:dyDescent="0.25">
      <c r="A326" s="4"/>
      <c r="B326" s="4"/>
      <c r="C326" s="4"/>
      <c r="D326" s="4"/>
    </row>
    <row r="327" spans="1:4" ht="15.75" customHeight="1" x14ac:dyDescent="0.25">
      <c r="A327" s="4"/>
      <c r="B327" s="4"/>
      <c r="C327" s="4"/>
      <c r="D327" s="4"/>
    </row>
    <row r="328" spans="1:4" ht="15.75" customHeight="1" x14ac:dyDescent="0.25">
      <c r="A328" s="4"/>
      <c r="B328" s="4"/>
      <c r="C328" s="4"/>
      <c r="D328" s="4"/>
    </row>
    <row r="329" spans="1:4" ht="15.75" customHeight="1" x14ac:dyDescent="0.25">
      <c r="A329" s="4"/>
      <c r="B329" s="4"/>
      <c r="C329" s="4"/>
      <c r="D329" s="4"/>
    </row>
    <row r="330" spans="1:4" ht="15.75" customHeight="1" x14ac:dyDescent="0.25">
      <c r="A330" s="4"/>
      <c r="B330" s="4"/>
      <c r="C330" s="4"/>
      <c r="D330" s="4"/>
    </row>
    <row r="331" spans="1:4" ht="15.75" customHeight="1" x14ac:dyDescent="0.25">
      <c r="A331" s="4"/>
      <c r="B331" s="4"/>
      <c r="C331" s="4"/>
      <c r="D331" s="4"/>
    </row>
    <row r="332" spans="1:4" ht="15.75" customHeight="1" x14ac:dyDescent="0.25">
      <c r="A332" s="4"/>
      <c r="B332" s="4"/>
      <c r="C332" s="4"/>
      <c r="D332" s="4"/>
    </row>
    <row r="333" spans="1:4" ht="15.75" customHeight="1" x14ac:dyDescent="0.25">
      <c r="A333" s="4"/>
      <c r="B333" s="4"/>
      <c r="C333" s="4"/>
      <c r="D333" s="4"/>
    </row>
    <row r="334" spans="1:4" ht="15.75" customHeight="1" x14ac:dyDescent="0.25">
      <c r="A334" s="4"/>
      <c r="B334" s="4"/>
      <c r="C334" s="4"/>
      <c r="D334" s="4"/>
    </row>
    <row r="335" spans="1:4" ht="15.75" customHeight="1" x14ac:dyDescent="0.25">
      <c r="A335" s="4"/>
      <c r="B335" s="4"/>
      <c r="C335" s="4"/>
      <c r="D335" s="4"/>
    </row>
    <row r="336" spans="1:4" ht="15.75" customHeight="1" x14ac:dyDescent="0.25">
      <c r="A336" s="4"/>
      <c r="B336" s="4"/>
      <c r="C336" s="4"/>
      <c r="D336" s="4"/>
    </row>
    <row r="337" spans="1:4" ht="15.75" customHeight="1" x14ac:dyDescent="0.25">
      <c r="A337" s="4"/>
      <c r="B337" s="4"/>
      <c r="C337" s="4"/>
      <c r="D337" s="4"/>
    </row>
    <row r="338" spans="1:4" ht="15.75" customHeight="1" x14ac:dyDescent="0.25">
      <c r="A338" s="4"/>
      <c r="B338" s="4"/>
      <c r="C338" s="4"/>
      <c r="D338" s="4"/>
    </row>
    <row r="339" spans="1:4" ht="15.75" customHeight="1" x14ac:dyDescent="0.25">
      <c r="A339" s="4"/>
      <c r="B339" s="4"/>
      <c r="C339" s="4"/>
      <c r="D339" s="4"/>
    </row>
    <row r="340" spans="1:4" ht="15.75" customHeight="1" x14ac:dyDescent="0.25">
      <c r="A340" s="4"/>
      <c r="B340" s="4"/>
      <c r="C340" s="4"/>
      <c r="D340" s="4"/>
    </row>
    <row r="341" spans="1:4" ht="15.75" customHeight="1" x14ac:dyDescent="0.25">
      <c r="A341" s="4"/>
      <c r="B341" s="4"/>
      <c r="C341" s="4"/>
      <c r="D341" s="4"/>
    </row>
    <row r="342" spans="1:4" ht="15.75" customHeight="1" x14ac:dyDescent="0.25">
      <c r="A342" s="4"/>
      <c r="B342" s="4"/>
      <c r="C342" s="4"/>
      <c r="D342" s="4"/>
    </row>
    <row r="343" spans="1:4" ht="15.75" customHeight="1" x14ac:dyDescent="0.25">
      <c r="A343" s="4"/>
      <c r="B343" s="4"/>
      <c r="C343" s="4"/>
      <c r="D343" s="4"/>
    </row>
    <row r="344" spans="1:4" ht="15.75" customHeight="1" x14ac:dyDescent="0.25">
      <c r="A344" s="4"/>
      <c r="B344" s="4"/>
      <c r="C344" s="4"/>
      <c r="D344" s="4"/>
    </row>
    <row r="345" spans="1:4" ht="15.75" customHeight="1" x14ac:dyDescent="0.25">
      <c r="A345" s="4"/>
      <c r="B345" s="4"/>
      <c r="C345" s="4"/>
      <c r="D345" s="4"/>
    </row>
    <row r="346" spans="1:4" ht="15.75" customHeight="1" x14ac:dyDescent="0.25">
      <c r="A346" s="4"/>
      <c r="B346" s="4"/>
      <c r="C346" s="4"/>
      <c r="D346" s="4"/>
    </row>
    <row r="347" spans="1:4" ht="15.75" customHeight="1" x14ac:dyDescent="0.25">
      <c r="A347" s="4"/>
      <c r="B347" s="4"/>
      <c r="C347" s="4"/>
      <c r="D347" s="4"/>
    </row>
    <row r="348" spans="1:4" ht="15.75" customHeight="1" x14ac:dyDescent="0.25">
      <c r="A348" s="4"/>
      <c r="B348" s="4"/>
      <c r="C348" s="4"/>
      <c r="D348" s="4"/>
    </row>
    <row r="349" spans="1:4" ht="15.75" customHeight="1" x14ac:dyDescent="0.25">
      <c r="A349" s="4"/>
      <c r="B349" s="4"/>
      <c r="C349" s="4"/>
      <c r="D349" s="4"/>
    </row>
    <row r="350" spans="1:4" ht="15.75" customHeight="1" x14ac:dyDescent="0.25">
      <c r="A350" s="4"/>
      <c r="B350" s="4"/>
      <c r="C350" s="4"/>
      <c r="D350" s="4"/>
    </row>
    <row r="351" spans="1:4" ht="15.75" customHeight="1" x14ac:dyDescent="0.25">
      <c r="A351" s="4"/>
      <c r="B351" s="4"/>
      <c r="C351" s="4"/>
      <c r="D351" s="4"/>
    </row>
    <row r="352" spans="1:4" ht="15.75" customHeight="1" x14ac:dyDescent="0.25">
      <c r="A352" s="4"/>
      <c r="B352" s="4"/>
      <c r="C352" s="4"/>
      <c r="D352" s="4"/>
    </row>
    <row r="353" spans="1:4" ht="15.75" customHeight="1" x14ac:dyDescent="0.25">
      <c r="A353" s="4"/>
      <c r="B353" s="4"/>
      <c r="C353" s="4"/>
      <c r="D353" s="4"/>
    </row>
    <row r="354" spans="1:4" ht="15.75" customHeight="1" x14ac:dyDescent="0.25">
      <c r="A354" s="4"/>
      <c r="B354" s="4"/>
      <c r="C354" s="4"/>
      <c r="D354" s="4"/>
    </row>
    <row r="355" spans="1:4" ht="15.75" customHeight="1" x14ac:dyDescent="0.25">
      <c r="A355" s="4"/>
      <c r="B355" s="4"/>
      <c r="C355" s="4"/>
      <c r="D355" s="4"/>
    </row>
    <row r="356" spans="1:4" ht="15.75" customHeight="1" x14ac:dyDescent="0.25">
      <c r="A356" s="4"/>
      <c r="B356" s="4"/>
      <c r="C356" s="4"/>
      <c r="D356" s="4"/>
    </row>
    <row r="357" spans="1:4" ht="15.75" customHeight="1" x14ac:dyDescent="0.25">
      <c r="A357" s="4"/>
      <c r="B357" s="4"/>
      <c r="C357" s="4"/>
      <c r="D357" s="4"/>
    </row>
    <row r="358" spans="1:4" ht="15.75" customHeight="1" x14ac:dyDescent="0.25">
      <c r="A358" s="4"/>
      <c r="B358" s="4"/>
      <c r="C358" s="4"/>
      <c r="D358" s="4"/>
    </row>
    <row r="359" spans="1:4" ht="15.75" customHeight="1" x14ac:dyDescent="0.25">
      <c r="A359" s="4"/>
      <c r="B359" s="4"/>
      <c r="C359" s="4"/>
      <c r="D359" s="4"/>
    </row>
    <row r="360" spans="1:4" ht="15.75" customHeight="1" x14ac:dyDescent="0.25">
      <c r="A360" s="4"/>
      <c r="B360" s="4"/>
      <c r="C360" s="4"/>
      <c r="D360" s="4"/>
    </row>
    <row r="361" spans="1:4" ht="15.75" customHeight="1" x14ac:dyDescent="0.25">
      <c r="A361" s="4"/>
      <c r="B361" s="4"/>
      <c r="C361" s="4"/>
      <c r="D361" s="4"/>
    </row>
    <row r="362" spans="1:4" ht="15.75" customHeight="1" x14ac:dyDescent="0.25">
      <c r="A362" s="4"/>
      <c r="B362" s="4"/>
      <c r="C362" s="4"/>
      <c r="D362" s="4"/>
    </row>
    <row r="363" spans="1:4" ht="15.75" customHeight="1" x14ac:dyDescent="0.25">
      <c r="A363" s="4"/>
      <c r="B363" s="4"/>
      <c r="C363" s="4"/>
      <c r="D363" s="4"/>
    </row>
    <row r="364" spans="1:4" ht="15.75" customHeight="1" x14ac:dyDescent="0.25">
      <c r="A364" s="4"/>
      <c r="B364" s="4"/>
      <c r="C364" s="4"/>
      <c r="D364" s="4"/>
    </row>
    <row r="365" spans="1:4" ht="15.75" customHeight="1" x14ac:dyDescent="0.25">
      <c r="A365" s="4"/>
      <c r="B365" s="4"/>
      <c r="C365" s="4"/>
      <c r="D365" s="4"/>
    </row>
    <row r="366" spans="1:4" ht="15.75" customHeight="1" x14ac:dyDescent="0.25">
      <c r="A366" s="4"/>
      <c r="B366" s="4"/>
      <c r="C366" s="4"/>
      <c r="D366" s="4"/>
    </row>
    <row r="367" spans="1:4" ht="15.75" customHeight="1" x14ac:dyDescent="0.25">
      <c r="A367" s="4"/>
      <c r="B367" s="4"/>
      <c r="C367" s="4"/>
      <c r="D367" s="4"/>
    </row>
    <row r="368" spans="1:4" ht="15.75" customHeight="1" x14ac:dyDescent="0.25">
      <c r="A368" s="4"/>
      <c r="B368" s="4"/>
      <c r="C368" s="4"/>
      <c r="D368" s="4"/>
    </row>
    <row r="369" spans="1:4" ht="15.75" customHeight="1" x14ac:dyDescent="0.25">
      <c r="A369" s="4"/>
      <c r="B369" s="4"/>
      <c r="C369" s="4"/>
      <c r="D369" s="4"/>
    </row>
    <row r="370" spans="1:4" ht="15.75" customHeight="1" x14ac:dyDescent="0.25">
      <c r="A370" s="4"/>
      <c r="B370" s="4"/>
      <c r="C370" s="4"/>
      <c r="D370" s="4"/>
    </row>
    <row r="371" spans="1:4" ht="15.75" customHeight="1" x14ac:dyDescent="0.25">
      <c r="A371" s="4"/>
      <c r="B371" s="4"/>
      <c r="C371" s="4"/>
      <c r="D371" s="4"/>
    </row>
    <row r="372" spans="1:4" ht="15.75" customHeight="1" x14ac:dyDescent="0.25">
      <c r="A372" s="4"/>
      <c r="B372" s="4"/>
      <c r="C372" s="4"/>
      <c r="D372" s="4"/>
    </row>
    <row r="373" spans="1:4" ht="15.75" customHeight="1" x14ac:dyDescent="0.25">
      <c r="A373" s="4"/>
      <c r="B373" s="4"/>
      <c r="C373" s="4"/>
      <c r="D373" s="4"/>
    </row>
    <row r="374" spans="1:4" ht="15.75" customHeight="1" x14ac:dyDescent="0.25">
      <c r="A374" s="4"/>
      <c r="B374" s="4"/>
      <c r="C374" s="4"/>
      <c r="D374" s="4"/>
    </row>
    <row r="375" spans="1:4" ht="15.75" customHeight="1" x14ac:dyDescent="0.25">
      <c r="A375" s="4"/>
      <c r="B375" s="4"/>
      <c r="C375" s="4"/>
      <c r="D375" s="4"/>
    </row>
    <row r="376" spans="1:4" ht="15.75" customHeight="1" x14ac:dyDescent="0.25">
      <c r="A376" s="4"/>
      <c r="B376" s="4"/>
      <c r="C376" s="4"/>
      <c r="D376" s="4"/>
    </row>
    <row r="377" spans="1:4" ht="15.75" customHeight="1" x14ac:dyDescent="0.25">
      <c r="A377" s="4"/>
      <c r="B377" s="4"/>
      <c r="C377" s="4"/>
      <c r="D377" s="4"/>
    </row>
    <row r="378" spans="1:4" ht="15.75" customHeight="1" x14ac:dyDescent="0.25">
      <c r="A378" s="4"/>
      <c r="B378" s="4"/>
      <c r="C378" s="4"/>
      <c r="D378" s="4"/>
    </row>
    <row r="379" spans="1:4" ht="15.75" customHeight="1" x14ac:dyDescent="0.25">
      <c r="A379" s="4"/>
      <c r="B379" s="4"/>
      <c r="C379" s="4"/>
      <c r="D379" s="4"/>
    </row>
    <row r="380" spans="1:4" ht="15.75" customHeight="1" x14ac:dyDescent="0.25">
      <c r="A380" s="4"/>
      <c r="B380" s="4"/>
      <c r="C380" s="4"/>
      <c r="D380" s="4"/>
    </row>
    <row r="381" spans="1:4" ht="15.75" customHeight="1" x14ac:dyDescent="0.25">
      <c r="A381" s="4"/>
      <c r="B381" s="4"/>
      <c r="C381" s="4"/>
      <c r="D381" s="4"/>
    </row>
    <row r="382" spans="1:4" ht="15.75" customHeight="1" x14ac:dyDescent="0.25">
      <c r="A382" s="4"/>
      <c r="B382" s="4"/>
      <c r="C382" s="4"/>
      <c r="D382" s="4"/>
    </row>
    <row r="383" spans="1:4" ht="15.75" customHeight="1" x14ac:dyDescent="0.25">
      <c r="A383" s="4"/>
      <c r="B383" s="4"/>
      <c r="C383" s="4"/>
      <c r="D383" s="4"/>
    </row>
    <row r="384" spans="1:4" ht="15.75" customHeight="1" x14ac:dyDescent="0.25">
      <c r="A384" s="4"/>
      <c r="B384" s="4"/>
      <c r="C384" s="4"/>
      <c r="D384" s="4"/>
    </row>
    <row r="385" spans="1:4" ht="15.75" customHeight="1" x14ac:dyDescent="0.25">
      <c r="A385" s="4"/>
      <c r="B385" s="4"/>
      <c r="C385" s="4"/>
      <c r="D385" s="4"/>
    </row>
    <row r="386" spans="1:4" ht="15.75" customHeight="1" x14ac:dyDescent="0.25">
      <c r="A386" s="4"/>
      <c r="B386" s="4"/>
      <c r="C386" s="4"/>
      <c r="D386" s="4"/>
    </row>
    <row r="387" spans="1:4" ht="15.75" customHeight="1" x14ac:dyDescent="0.25">
      <c r="A387" s="4"/>
      <c r="B387" s="4"/>
      <c r="C387" s="4"/>
      <c r="D387" s="4"/>
    </row>
    <row r="388" spans="1:4" ht="15.75" customHeight="1" x14ac:dyDescent="0.25">
      <c r="A388" s="4"/>
      <c r="B388" s="4"/>
      <c r="C388" s="4"/>
      <c r="D388" s="4"/>
    </row>
    <row r="389" spans="1:4" ht="15.75" customHeight="1" x14ac:dyDescent="0.25">
      <c r="A389" s="4"/>
      <c r="B389" s="4"/>
      <c r="C389" s="4"/>
      <c r="D389" s="4"/>
    </row>
    <row r="390" spans="1:4" ht="15.75" customHeight="1" x14ac:dyDescent="0.25">
      <c r="A390" s="4"/>
      <c r="B390" s="4"/>
      <c r="C390" s="4"/>
      <c r="D390" s="4"/>
    </row>
    <row r="391" spans="1:4" ht="15.75" customHeight="1" x14ac:dyDescent="0.25">
      <c r="A391" s="4"/>
      <c r="B391" s="4"/>
      <c r="C391" s="4"/>
      <c r="D391" s="4"/>
    </row>
    <row r="392" spans="1:4" ht="15.75" customHeight="1" x14ac:dyDescent="0.25">
      <c r="A392" s="4"/>
      <c r="B392" s="4"/>
      <c r="C392" s="4"/>
      <c r="D392" s="4"/>
    </row>
    <row r="393" spans="1:4" ht="15.75" customHeight="1" x14ac:dyDescent="0.25">
      <c r="A393" s="4"/>
      <c r="B393" s="4"/>
      <c r="C393" s="4"/>
      <c r="D393" s="4"/>
    </row>
    <row r="394" spans="1:4" ht="15.75" customHeight="1" x14ac:dyDescent="0.25">
      <c r="A394" s="4"/>
      <c r="B394" s="4"/>
      <c r="C394" s="4"/>
      <c r="D394" s="4"/>
    </row>
    <row r="395" spans="1:4" ht="15.75" customHeight="1" x14ac:dyDescent="0.25">
      <c r="A395" s="4"/>
      <c r="B395" s="4"/>
      <c r="C395" s="4"/>
      <c r="D395" s="4"/>
    </row>
    <row r="396" spans="1:4" ht="15.75" customHeight="1" x14ac:dyDescent="0.25">
      <c r="A396" s="4"/>
      <c r="B396" s="4"/>
      <c r="C396" s="4"/>
      <c r="D396" s="4"/>
    </row>
    <row r="397" spans="1:4" ht="15.75" customHeight="1" x14ac:dyDescent="0.25">
      <c r="A397" s="4"/>
      <c r="B397" s="4"/>
      <c r="C397" s="4"/>
      <c r="D397" s="4"/>
    </row>
    <row r="398" spans="1:4" ht="15.75" customHeight="1" x14ac:dyDescent="0.25">
      <c r="A398" s="4"/>
      <c r="B398" s="4"/>
      <c r="C398" s="4"/>
      <c r="D398" s="4"/>
    </row>
    <row r="399" spans="1:4" ht="15.75" customHeight="1" x14ac:dyDescent="0.25">
      <c r="A399" s="4"/>
      <c r="B399" s="4"/>
      <c r="C399" s="4"/>
      <c r="D399" s="4"/>
    </row>
    <row r="400" spans="1:4" ht="15.75" customHeight="1" x14ac:dyDescent="0.25">
      <c r="A400" s="4"/>
      <c r="B400" s="4"/>
      <c r="C400" s="4"/>
      <c r="D400" s="4"/>
    </row>
    <row r="401" spans="1:4" ht="15.75" customHeight="1" x14ac:dyDescent="0.25">
      <c r="A401" s="4"/>
      <c r="B401" s="4"/>
      <c r="C401" s="4"/>
      <c r="D401" s="4"/>
    </row>
    <row r="402" spans="1:4" ht="15.75" customHeight="1" x14ac:dyDescent="0.25">
      <c r="A402" s="4"/>
      <c r="B402" s="4"/>
      <c r="C402" s="4"/>
      <c r="D402" s="4"/>
    </row>
    <row r="403" spans="1:4" ht="15.75" customHeight="1" x14ac:dyDescent="0.25">
      <c r="A403" s="4"/>
      <c r="B403" s="4"/>
      <c r="C403" s="4"/>
      <c r="D403" s="4"/>
    </row>
    <row r="404" spans="1:4" ht="15.75" customHeight="1" x14ac:dyDescent="0.25">
      <c r="A404" s="4"/>
      <c r="B404" s="4"/>
      <c r="C404" s="4"/>
      <c r="D404" s="4"/>
    </row>
    <row r="405" spans="1:4" ht="15.75" customHeight="1" x14ac:dyDescent="0.25">
      <c r="A405" s="4"/>
      <c r="B405" s="4"/>
      <c r="C405" s="4"/>
      <c r="D405" s="4"/>
    </row>
    <row r="406" spans="1:4" ht="15.75" customHeight="1" x14ac:dyDescent="0.25">
      <c r="A406" s="4"/>
      <c r="B406" s="4"/>
      <c r="C406" s="4"/>
      <c r="D406" s="4"/>
    </row>
    <row r="407" spans="1:4" ht="15.75" customHeight="1" x14ac:dyDescent="0.25">
      <c r="A407" s="4"/>
      <c r="B407" s="4"/>
      <c r="C407" s="4"/>
      <c r="D407" s="4"/>
    </row>
    <row r="408" spans="1:4" ht="15.75" customHeight="1" x14ac:dyDescent="0.25">
      <c r="A408" s="4"/>
      <c r="B408" s="4"/>
      <c r="C408" s="4"/>
      <c r="D408" s="4"/>
    </row>
    <row r="409" spans="1:4" ht="15.75" customHeight="1" x14ac:dyDescent="0.25">
      <c r="A409" s="4"/>
      <c r="B409" s="4"/>
      <c r="C409" s="4"/>
      <c r="D409" s="4"/>
    </row>
    <row r="410" spans="1:4" ht="15.75" customHeight="1" x14ac:dyDescent="0.25">
      <c r="A410" s="4"/>
      <c r="B410" s="4"/>
      <c r="C410" s="4"/>
      <c r="D410" s="4"/>
    </row>
    <row r="411" spans="1:4" ht="15.75" customHeight="1" x14ac:dyDescent="0.25">
      <c r="A411" s="4"/>
      <c r="B411" s="4"/>
      <c r="C411" s="4"/>
      <c r="D411" s="4"/>
    </row>
    <row r="412" spans="1:4" ht="15.75" customHeight="1" x14ac:dyDescent="0.25">
      <c r="A412" s="4"/>
      <c r="B412" s="4"/>
      <c r="C412" s="4"/>
      <c r="D412" s="4"/>
    </row>
    <row r="413" spans="1:4" ht="15.75" customHeight="1" x14ac:dyDescent="0.25">
      <c r="A413" s="4"/>
      <c r="B413" s="4"/>
      <c r="C413" s="4"/>
      <c r="D413" s="4"/>
    </row>
    <row r="414" spans="1:4" ht="15.75" customHeight="1" x14ac:dyDescent="0.25">
      <c r="A414" s="4"/>
      <c r="B414" s="4"/>
      <c r="C414" s="4"/>
      <c r="D414" s="4"/>
    </row>
    <row r="415" spans="1:4" ht="15.75" customHeight="1" x14ac:dyDescent="0.25">
      <c r="A415" s="4"/>
      <c r="B415" s="4"/>
      <c r="C415" s="4"/>
      <c r="D415" s="4"/>
    </row>
    <row r="416" spans="1:4" ht="15.75" customHeight="1" x14ac:dyDescent="0.25">
      <c r="A416" s="4"/>
      <c r="B416" s="4"/>
      <c r="C416" s="4"/>
      <c r="D416" s="4"/>
    </row>
    <row r="417" spans="1:4" ht="15.75" customHeight="1" x14ac:dyDescent="0.25">
      <c r="A417" s="4"/>
      <c r="B417" s="4"/>
      <c r="C417" s="4"/>
      <c r="D417" s="4"/>
    </row>
    <row r="418" spans="1:4" ht="15.75" customHeight="1" x14ac:dyDescent="0.25">
      <c r="A418" s="4"/>
      <c r="B418" s="4"/>
      <c r="C418" s="4"/>
      <c r="D418" s="4"/>
    </row>
    <row r="419" spans="1:4" ht="15.75" customHeight="1" x14ac:dyDescent="0.25">
      <c r="A419" s="4"/>
      <c r="B419" s="4"/>
      <c r="C419" s="4"/>
      <c r="D419" s="4"/>
    </row>
    <row r="420" spans="1:4" ht="15.75" customHeight="1" x14ac:dyDescent="0.25">
      <c r="A420" s="4"/>
      <c r="B420" s="4"/>
      <c r="C420" s="4"/>
      <c r="D420" s="4"/>
    </row>
    <row r="421" spans="1:4" ht="15.75" customHeight="1" x14ac:dyDescent="0.25">
      <c r="A421" s="4"/>
      <c r="B421" s="4"/>
      <c r="C421" s="4"/>
      <c r="D421" s="4"/>
    </row>
    <row r="422" spans="1:4" ht="15.75" customHeight="1" x14ac:dyDescent="0.25">
      <c r="A422" s="4"/>
      <c r="B422" s="4"/>
      <c r="C422" s="4"/>
      <c r="D422" s="4"/>
    </row>
    <row r="423" spans="1:4" ht="15.75" customHeight="1" x14ac:dyDescent="0.25">
      <c r="A423" s="4"/>
      <c r="B423" s="4"/>
      <c r="C423" s="4"/>
      <c r="D423" s="4"/>
    </row>
    <row r="424" spans="1:4" ht="15.75" customHeight="1" x14ac:dyDescent="0.25">
      <c r="A424" s="4"/>
      <c r="B424" s="4"/>
      <c r="C424" s="4"/>
      <c r="D424" s="4"/>
    </row>
    <row r="425" spans="1:4" ht="15.75" customHeight="1" x14ac:dyDescent="0.25">
      <c r="A425" s="4"/>
      <c r="B425" s="4"/>
      <c r="C425" s="4"/>
      <c r="D425" s="4"/>
    </row>
    <row r="426" spans="1:4" ht="15.75" customHeight="1" x14ac:dyDescent="0.25">
      <c r="A426" s="4"/>
      <c r="B426" s="4"/>
      <c r="C426" s="4"/>
      <c r="D426" s="4"/>
    </row>
    <row r="427" spans="1:4" ht="15.75" customHeight="1" x14ac:dyDescent="0.25">
      <c r="A427" s="4"/>
      <c r="B427" s="4"/>
      <c r="C427" s="4"/>
      <c r="D427" s="4"/>
    </row>
    <row r="428" spans="1:4" ht="15.75" customHeight="1" x14ac:dyDescent="0.25">
      <c r="A428" s="4"/>
      <c r="B428" s="4"/>
      <c r="C428" s="4"/>
      <c r="D428" s="4"/>
    </row>
    <row r="429" spans="1:4" ht="15.75" customHeight="1" x14ac:dyDescent="0.25">
      <c r="A429" s="4"/>
      <c r="B429" s="4"/>
      <c r="C429" s="4"/>
      <c r="D429" s="4"/>
    </row>
    <row r="430" spans="1:4" ht="15.75" customHeight="1" x14ac:dyDescent="0.25">
      <c r="A430" s="4"/>
      <c r="B430" s="4"/>
      <c r="C430" s="4"/>
      <c r="D430" s="4"/>
    </row>
    <row r="431" spans="1:4" ht="15.75" customHeight="1" x14ac:dyDescent="0.25">
      <c r="A431" s="4"/>
      <c r="B431" s="4"/>
      <c r="C431" s="4"/>
      <c r="D431" s="4"/>
    </row>
    <row r="432" spans="1:4" ht="15.75" customHeight="1" x14ac:dyDescent="0.25">
      <c r="A432" s="4"/>
      <c r="B432" s="4"/>
      <c r="C432" s="4"/>
      <c r="D432" s="4"/>
    </row>
    <row r="433" spans="1:4" ht="15.75" customHeight="1" x14ac:dyDescent="0.25">
      <c r="A433" s="4"/>
      <c r="B433" s="4"/>
      <c r="C433" s="4"/>
      <c r="D433" s="4"/>
    </row>
    <row r="434" spans="1:4" ht="15.75" customHeight="1" x14ac:dyDescent="0.25">
      <c r="A434" s="4"/>
      <c r="B434" s="4"/>
      <c r="C434" s="4"/>
      <c r="D434" s="4"/>
    </row>
    <row r="435" spans="1:4" ht="15.75" customHeight="1" x14ac:dyDescent="0.25">
      <c r="A435" s="4"/>
      <c r="B435" s="4"/>
      <c r="C435" s="4"/>
      <c r="D435" s="4"/>
    </row>
    <row r="436" spans="1:4" ht="15.75" customHeight="1" x14ac:dyDescent="0.25">
      <c r="A436" s="4"/>
      <c r="B436" s="4"/>
      <c r="C436" s="4"/>
      <c r="D436" s="4"/>
    </row>
    <row r="437" spans="1:4" ht="15.75" customHeight="1" x14ac:dyDescent="0.25">
      <c r="A437" s="4"/>
      <c r="B437" s="4"/>
      <c r="C437" s="4"/>
      <c r="D437" s="4"/>
    </row>
    <row r="438" spans="1:4" ht="15.75" customHeight="1" x14ac:dyDescent="0.25">
      <c r="A438" s="4"/>
      <c r="B438" s="4"/>
      <c r="C438" s="4"/>
      <c r="D438" s="4"/>
    </row>
    <row r="439" spans="1:4" ht="15.75" customHeight="1" x14ac:dyDescent="0.25">
      <c r="A439" s="4"/>
      <c r="B439" s="4"/>
      <c r="C439" s="4"/>
      <c r="D439" s="4"/>
    </row>
    <row r="440" spans="1:4" ht="15.75" customHeight="1" x14ac:dyDescent="0.25">
      <c r="A440" s="4"/>
      <c r="B440" s="4"/>
      <c r="C440" s="4"/>
      <c r="D440" s="4"/>
    </row>
    <row r="441" spans="1:4" ht="15.75" customHeight="1" x14ac:dyDescent="0.25">
      <c r="A441" s="4"/>
      <c r="B441" s="4"/>
      <c r="C441" s="4"/>
      <c r="D441" s="4"/>
    </row>
    <row r="442" spans="1:4" ht="15.75" customHeight="1" x14ac:dyDescent="0.25">
      <c r="A442" s="4"/>
      <c r="B442" s="4"/>
      <c r="C442" s="4"/>
      <c r="D442" s="4"/>
    </row>
    <row r="443" spans="1:4" ht="15.75" customHeight="1" x14ac:dyDescent="0.25">
      <c r="A443" s="4"/>
      <c r="B443" s="4"/>
      <c r="C443" s="4"/>
      <c r="D443" s="4"/>
    </row>
    <row r="444" spans="1:4" ht="15.75" customHeight="1" x14ac:dyDescent="0.25">
      <c r="A444" s="4"/>
      <c r="B444" s="4"/>
      <c r="C444" s="4"/>
      <c r="D444" s="4"/>
    </row>
    <row r="445" spans="1:4" ht="15.75" customHeight="1" x14ac:dyDescent="0.25">
      <c r="A445" s="4"/>
      <c r="B445" s="4"/>
      <c r="C445" s="4"/>
      <c r="D445" s="4"/>
    </row>
    <row r="446" spans="1:4" ht="15.75" customHeight="1" x14ac:dyDescent="0.25">
      <c r="A446" s="4"/>
      <c r="B446" s="4"/>
      <c r="C446" s="4"/>
      <c r="D446" s="4"/>
    </row>
    <row r="447" spans="1:4" ht="15.75" customHeight="1" x14ac:dyDescent="0.25">
      <c r="A447" s="4"/>
      <c r="B447" s="4"/>
      <c r="C447" s="4"/>
      <c r="D447" s="4"/>
    </row>
    <row r="448" spans="1:4" ht="15.75" customHeight="1" x14ac:dyDescent="0.25">
      <c r="A448" s="4"/>
      <c r="B448" s="4"/>
      <c r="C448" s="4"/>
      <c r="D448" s="4"/>
    </row>
    <row r="449" spans="1:4" ht="15.75" customHeight="1" x14ac:dyDescent="0.25">
      <c r="A449" s="4"/>
      <c r="B449" s="4"/>
      <c r="C449" s="4"/>
      <c r="D449" s="4"/>
    </row>
    <row r="450" spans="1:4" ht="15.75" customHeight="1" x14ac:dyDescent="0.25">
      <c r="A450" s="4"/>
      <c r="B450" s="4"/>
      <c r="C450" s="4"/>
      <c r="D450" s="4"/>
    </row>
    <row r="451" spans="1:4" ht="15.75" customHeight="1" x14ac:dyDescent="0.25">
      <c r="A451" s="4"/>
      <c r="B451" s="4"/>
      <c r="C451" s="4"/>
      <c r="D451" s="4"/>
    </row>
    <row r="452" spans="1:4" ht="15.75" customHeight="1" x14ac:dyDescent="0.25">
      <c r="A452" s="4"/>
      <c r="B452" s="4"/>
      <c r="C452" s="4"/>
      <c r="D452" s="4"/>
    </row>
    <row r="453" spans="1:4" ht="15.75" customHeight="1" x14ac:dyDescent="0.25">
      <c r="A453" s="4"/>
      <c r="B453" s="4"/>
      <c r="C453" s="4"/>
      <c r="D453" s="4"/>
    </row>
    <row r="454" spans="1:4" ht="15.75" customHeight="1" x14ac:dyDescent="0.25">
      <c r="A454" s="4"/>
      <c r="B454" s="4"/>
      <c r="C454" s="4"/>
      <c r="D454" s="4"/>
    </row>
    <row r="455" spans="1:4" ht="15.75" customHeight="1" x14ac:dyDescent="0.25">
      <c r="A455" s="4"/>
      <c r="B455" s="4"/>
      <c r="C455" s="4"/>
      <c r="D455" s="4"/>
    </row>
    <row r="456" spans="1:4" ht="15.75" customHeight="1" x14ac:dyDescent="0.25">
      <c r="A456" s="4"/>
      <c r="B456" s="4"/>
      <c r="C456" s="4"/>
      <c r="D456" s="4"/>
    </row>
    <row r="457" spans="1:4" ht="15.75" customHeight="1" x14ac:dyDescent="0.25">
      <c r="A457" s="4"/>
      <c r="B457" s="4"/>
      <c r="C457" s="4"/>
      <c r="D457" s="4"/>
    </row>
    <row r="458" spans="1:4" ht="15.75" customHeight="1" x14ac:dyDescent="0.25">
      <c r="A458" s="4"/>
      <c r="B458" s="4"/>
      <c r="C458" s="4"/>
      <c r="D458" s="4"/>
    </row>
    <row r="459" spans="1:4" ht="15.75" customHeight="1" x14ac:dyDescent="0.25">
      <c r="A459" s="4"/>
      <c r="B459" s="4"/>
      <c r="C459" s="4"/>
      <c r="D459" s="4"/>
    </row>
    <row r="460" spans="1:4" ht="15.75" customHeight="1" x14ac:dyDescent="0.25">
      <c r="A460" s="4"/>
      <c r="B460" s="4"/>
      <c r="C460" s="4"/>
      <c r="D460" s="4"/>
    </row>
    <row r="461" spans="1:4" ht="15.75" customHeight="1" x14ac:dyDescent="0.25">
      <c r="A461" s="4"/>
      <c r="B461" s="4"/>
      <c r="C461" s="4"/>
      <c r="D461" s="4"/>
    </row>
    <row r="462" spans="1:4" ht="15.75" customHeight="1" x14ac:dyDescent="0.25">
      <c r="A462" s="4"/>
      <c r="B462" s="4"/>
      <c r="C462" s="4"/>
      <c r="D462" s="4"/>
    </row>
    <row r="463" spans="1:4" ht="15.75" customHeight="1" x14ac:dyDescent="0.25">
      <c r="A463" s="4"/>
      <c r="B463" s="4"/>
      <c r="C463" s="4"/>
      <c r="D463" s="4"/>
    </row>
    <row r="464" spans="1:4" ht="15.75" customHeight="1" x14ac:dyDescent="0.25">
      <c r="A464" s="4"/>
      <c r="B464" s="4"/>
      <c r="C464" s="4"/>
      <c r="D464" s="4"/>
    </row>
    <row r="465" spans="1:4" ht="15.75" customHeight="1" x14ac:dyDescent="0.25">
      <c r="A465" s="4"/>
      <c r="B465" s="4"/>
      <c r="C465" s="4"/>
      <c r="D465" s="4"/>
    </row>
    <row r="466" spans="1:4" ht="15.75" customHeight="1" x14ac:dyDescent="0.25">
      <c r="A466" s="4"/>
      <c r="B466" s="4"/>
      <c r="C466" s="4"/>
      <c r="D466" s="4"/>
    </row>
    <row r="467" spans="1:4" ht="15.75" customHeight="1" x14ac:dyDescent="0.25">
      <c r="A467" s="4"/>
      <c r="B467" s="4"/>
      <c r="C467" s="4"/>
      <c r="D467" s="4"/>
    </row>
    <row r="468" spans="1:4" ht="15.75" customHeight="1" x14ac:dyDescent="0.25">
      <c r="A468" s="4"/>
      <c r="B468" s="4"/>
      <c r="C468" s="4"/>
      <c r="D468" s="4"/>
    </row>
    <row r="469" spans="1:4" ht="15.75" customHeight="1" x14ac:dyDescent="0.25">
      <c r="A469" s="4"/>
      <c r="B469" s="4"/>
      <c r="C469" s="4"/>
      <c r="D469" s="4"/>
    </row>
    <row r="470" spans="1:4" ht="15.75" customHeight="1" x14ac:dyDescent="0.25">
      <c r="A470" s="4"/>
      <c r="B470" s="4"/>
      <c r="C470" s="4"/>
      <c r="D470" s="4"/>
    </row>
    <row r="471" spans="1:4" ht="15.75" customHeight="1" x14ac:dyDescent="0.25">
      <c r="A471" s="4"/>
      <c r="B471" s="4"/>
      <c r="C471" s="4"/>
      <c r="D471" s="4"/>
    </row>
    <row r="472" spans="1:4" ht="15.75" customHeight="1" x14ac:dyDescent="0.25">
      <c r="A472" s="4"/>
      <c r="B472" s="4"/>
      <c r="C472" s="4"/>
      <c r="D472" s="4"/>
    </row>
    <row r="473" spans="1:4" ht="15.75" customHeight="1" x14ac:dyDescent="0.25">
      <c r="A473" s="4"/>
      <c r="B473" s="4"/>
      <c r="C473" s="4"/>
      <c r="D473" s="4"/>
    </row>
    <row r="474" spans="1:4" ht="15.75" customHeight="1" x14ac:dyDescent="0.25">
      <c r="A474" s="4"/>
      <c r="B474" s="4"/>
      <c r="C474" s="4"/>
      <c r="D474" s="4"/>
    </row>
    <row r="475" spans="1:4" ht="15.75" customHeight="1" x14ac:dyDescent="0.25">
      <c r="A475" s="4"/>
      <c r="B475" s="4"/>
      <c r="C475" s="4"/>
      <c r="D475" s="4"/>
    </row>
    <row r="476" spans="1:4" ht="15.75" customHeight="1" x14ac:dyDescent="0.25">
      <c r="A476" s="4"/>
      <c r="B476" s="4"/>
      <c r="C476" s="4"/>
      <c r="D476" s="4"/>
    </row>
    <row r="477" spans="1:4" ht="15.75" customHeight="1" x14ac:dyDescent="0.25">
      <c r="A477" s="4"/>
      <c r="B477" s="4"/>
      <c r="C477" s="4"/>
      <c r="D477" s="4"/>
    </row>
    <row r="478" spans="1:4" ht="15.75" customHeight="1" x14ac:dyDescent="0.25">
      <c r="A478" s="4"/>
      <c r="B478" s="4"/>
      <c r="C478" s="4"/>
      <c r="D478" s="4"/>
    </row>
    <row r="479" spans="1:4" ht="15.75" customHeight="1" x14ac:dyDescent="0.25">
      <c r="A479" s="4"/>
      <c r="B479" s="4"/>
      <c r="C479" s="4"/>
      <c r="D479" s="4"/>
    </row>
    <row r="480" spans="1:4" ht="15.75" customHeight="1" x14ac:dyDescent="0.25">
      <c r="A480" s="4"/>
      <c r="B480" s="4"/>
      <c r="C480" s="4"/>
      <c r="D480" s="4"/>
    </row>
    <row r="481" spans="1:4" ht="15.75" customHeight="1" x14ac:dyDescent="0.25">
      <c r="A481" s="4"/>
      <c r="B481" s="4"/>
      <c r="C481" s="4"/>
      <c r="D481" s="4"/>
    </row>
    <row r="482" spans="1:4" ht="15.75" customHeight="1" x14ac:dyDescent="0.25">
      <c r="A482" s="4"/>
      <c r="B482" s="4"/>
      <c r="C482" s="4"/>
      <c r="D482" s="4"/>
    </row>
    <row r="483" spans="1:4" ht="15.75" customHeight="1" x14ac:dyDescent="0.25">
      <c r="A483" s="4"/>
      <c r="B483" s="4"/>
      <c r="C483" s="4"/>
      <c r="D483" s="4"/>
    </row>
    <row r="484" spans="1:4" ht="15.75" customHeight="1" x14ac:dyDescent="0.25">
      <c r="A484" s="4"/>
      <c r="B484" s="4"/>
      <c r="C484" s="4"/>
      <c r="D484" s="4"/>
    </row>
    <row r="485" spans="1:4" ht="15.75" customHeight="1" x14ac:dyDescent="0.25">
      <c r="A485" s="4"/>
      <c r="B485" s="4"/>
      <c r="C485" s="4"/>
      <c r="D485" s="4"/>
    </row>
    <row r="486" spans="1:4" ht="15.75" customHeight="1" x14ac:dyDescent="0.25">
      <c r="A486" s="4"/>
      <c r="B486" s="4"/>
      <c r="C486" s="4"/>
      <c r="D486" s="4"/>
    </row>
    <row r="487" spans="1:4" ht="15.75" customHeight="1" x14ac:dyDescent="0.25">
      <c r="A487" s="4"/>
      <c r="B487" s="4"/>
      <c r="C487" s="4"/>
      <c r="D487" s="4"/>
    </row>
    <row r="488" spans="1:4" ht="15.75" customHeight="1" x14ac:dyDescent="0.25">
      <c r="A488" s="4"/>
      <c r="B488" s="4"/>
      <c r="C488" s="4"/>
      <c r="D488" s="4"/>
    </row>
    <row r="489" spans="1:4" ht="15.75" customHeight="1" x14ac:dyDescent="0.25">
      <c r="A489" s="4"/>
      <c r="B489" s="4"/>
      <c r="C489" s="4"/>
      <c r="D489" s="4"/>
    </row>
    <row r="490" spans="1:4" ht="15.75" customHeight="1" x14ac:dyDescent="0.25">
      <c r="A490" s="4"/>
      <c r="B490" s="4"/>
      <c r="C490" s="4"/>
      <c r="D490" s="4"/>
    </row>
    <row r="491" spans="1:4" ht="15.75" customHeight="1" x14ac:dyDescent="0.25">
      <c r="A491" s="4"/>
      <c r="B491" s="4"/>
      <c r="C491" s="4"/>
      <c r="D491" s="4"/>
    </row>
    <row r="492" spans="1:4" ht="15.75" customHeight="1" x14ac:dyDescent="0.25">
      <c r="A492" s="4"/>
      <c r="B492" s="4"/>
      <c r="C492" s="4"/>
      <c r="D492" s="4"/>
    </row>
    <row r="493" spans="1:4" ht="15.75" customHeight="1" x14ac:dyDescent="0.25">
      <c r="A493" s="4"/>
      <c r="B493" s="4"/>
      <c r="C493" s="4"/>
      <c r="D493" s="4"/>
    </row>
    <row r="494" spans="1:4" ht="15.75" customHeight="1" x14ac:dyDescent="0.25">
      <c r="A494" s="4"/>
      <c r="B494" s="4"/>
      <c r="C494" s="4"/>
      <c r="D494" s="4"/>
    </row>
    <row r="495" spans="1:4" ht="15.75" customHeight="1" x14ac:dyDescent="0.25">
      <c r="A495" s="4"/>
      <c r="B495" s="4"/>
      <c r="C495" s="4"/>
      <c r="D495" s="4"/>
    </row>
    <row r="496" spans="1:4" ht="15.75" customHeight="1" x14ac:dyDescent="0.25">
      <c r="A496" s="4"/>
      <c r="B496" s="4"/>
      <c r="C496" s="4"/>
      <c r="D496" s="4"/>
    </row>
    <row r="497" spans="1:4" ht="15.75" customHeight="1" x14ac:dyDescent="0.25">
      <c r="A497" s="4"/>
      <c r="B497" s="4"/>
      <c r="C497" s="4"/>
      <c r="D497" s="4"/>
    </row>
    <row r="498" spans="1:4" ht="15.75" customHeight="1" x14ac:dyDescent="0.25">
      <c r="A498" s="4"/>
      <c r="B498" s="4"/>
      <c r="C498" s="4"/>
      <c r="D498" s="4"/>
    </row>
    <row r="499" spans="1:4" ht="15.75" customHeight="1" x14ac:dyDescent="0.25">
      <c r="A499" s="4"/>
      <c r="B499" s="4"/>
      <c r="C499" s="4"/>
      <c r="D499" s="4"/>
    </row>
    <row r="500" spans="1:4" ht="15.75" customHeight="1" x14ac:dyDescent="0.25">
      <c r="A500" s="4"/>
      <c r="B500" s="4"/>
      <c r="C500" s="4"/>
      <c r="D500" s="4"/>
    </row>
    <row r="501" spans="1:4" ht="15.75" customHeight="1" x14ac:dyDescent="0.25">
      <c r="A501" s="4"/>
      <c r="B501" s="4"/>
      <c r="C501" s="4"/>
      <c r="D501" s="4"/>
    </row>
    <row r="502" spans="1:4" ht="15.75" customHeight="1" x14ac:dyDescent="0.25">
      <c r="A502" s="4"/>
      <c r="B502" s="4"/>
      <c r="C502" s="4"/>
      <c r="D502" s="4"/>
    </row>
    <row r="503" spans="1:4" ht="15.75" customHeight="1" x14ac:dyDescent="0.25">
      <c r="A503" s="4"/>
      <c r="B503" s="4"/>
      <c r="C503" s="4"/>
      <c r="D503" s="4"/>
    </row>
    <row r="504" spans="1:4" ht="15.75" customHeight="1" x14ac:dyDescent="0.25">
      <c r="A504" s="4"/>
      <c r="B504" s="4"/>
      <c r="C504" s="4"/>
      <c r="D504" s="4"/>
    </row>
    <row r="505" spans="1:4" ht="15.75" customHeight="1" x14ac:dyDescent="0.25">
      <c r="A505" s="4"/>
      <c r="B505" s="4"/>
      <c r="C505" s="4"/>
      <c r="D505" s="4"/>
    </row>
    <row r="506" spans="1:4" ht="15.75" customHeight="1" x14ac:dyDescent="0.25">
      <c r="A506" s="4"/>
      <c r="B506" s="4"/>
      <c r="C506" s="4"/>
      <c r="D506" s="4"/>
    </row>
    <row r="507" spans="1:4" ht="15.75" customHeight="1" x14ac:dyDescent="0.25">
      <c r="A507" s="4"/>
      <c r="B507" s="4"/>
      <c r="C507" s="4"/>
      <c r="D507" s="4"/>
    </row>
    <row r="508" spans="1:4" ht="15.75" customHeight="1" x14ac:dyDescent="0.25">
      <c r="A508" s="4"/>
      <c r="B508" s="4"/>
      <c r="C508" s="4"/>
      <c r="D508" s="4"/>
    </row>
    <row r="509" spans="1:4" ht="15.75" customHeight="1" x14ac:dyDescent="0.25">
      <c r="A509" s="4"/>
      <c r="B509" s="4"/>
      <c r="C509" s="4"/>
      <c r="D509" s="4"/>
    </row>
    <row r="510" spans="1:4" ht="15.75" customHeight="1" x14ac:dyDescent="0.25">
      <c r="A510" s="4"/>
      <c r="B510" s="4"/>
      <c r="C510" s="4"/>
      <c r="D510" s="4"/>
    </row>
    <row r="511" spans="1:4" ht="15.75" customHeight="1" x14ac:dyDescent="0.25">
      <c r="A511" s="4"/>
      <c r="B511" s="4"/>
      <c r="C511" s="4"/>
      <c r="D511" s="4"/>
    </row>
    <row r="512" spans="1:4" ht="15.75" customHeight="1" x14ac:dyDescent="0.25">
      <c r="A512" s="4"/>
      <c r="B512" s="4"/>
      <c r="C512" s="4"/>
      <c r="D512" s="4"/>
    </row>
    <row r="513" spans="1:4" ht="15.75" customHeight="1" x14ac:dyDescent="0.25">
      <c r="A513" s="4"/>
      <c r="B513" s="4"/>
      <c r="C513" s="4"/>
      <c r="D513" s="4"/>
    </row>
    <row r="514" spans="1:4" ht="15.75" customHeight="1" x14ac:dyDescent="0.25">
      <c r="A514" s="4"/>
      <c r="B514" s="4"/>
      <c r="C514" s="4"/>
      <c r="D514" s="4"/>
    </row>
    <row r="515" spans="1:4" ht="15.75" customHeight="1" x14ac:dyDescent="0.25">
      <c r="A515" s="4"/>
      <c r="B515" s="4"/>
      <c r="C515" s="4"/>
      <c r="D515" s="4"/>
    </row>
    <row r="516" spans="1:4" ht="15.75" customHeight="1" x14ac:dyDescent="0.25">
      <c r="A516" s="4"/>
      <c r="B516" s="4"/>
      <c r="C516" s="4"/>
      <c r="D516" s="4"/>
    </row>
    <row r="517" spans="1:4" ht="15.75" customHeight="1" x14ac:dyDescent="0.25">
      <c r="A517" s="4"/>
      <c r="B517" s="4"/>
      <c r="C517" s="4"/>
      <c r="D517" s="4"/>
    </row>
    <row r="518" spans="1:4" ht="15.75" customHeight="1" x14ac:dyDescent="0.25">
      <c r="A518" s="4"/>
      <c r="B518" s="4"/>
      <c r="C518" s="4"/>
      <c r="D518" s="4"/>
    </row>
    <row r="519" spans="1:4" ht="15.75" customHeight="1" x14ac:dyDescent="0.25">
      <c r="A519" s="4"/>
      <c r="B519" s="4"/>
      <c r="C519" s="4"/>
      <c r="D519" s="4"/>
    </row>
    <row r="520" spans="1:4" ht="15.75" customHeight="1" x14ac:dyDescent="0.25">
      <c r="A520" s="4"/>
      <c r="B520" s="4"/>
      <c r="C520" s="4"/>
      <c r="D520" s="4"/>
    </row>
    <row r="521" spans="1:4" ht="15.75" customHeight="1" x14ac:dyDescent="0.25">
      <c r="A521" s="4"/>
      <c r="B521" s="4"/>
      <c r="C521" s="4"/>
      <c r="D521" s="4"/>
    </row>
    <row r="522" spans="1:4" ht="15.75" customHeight="1" x14ac:dyDescent="0.25">
      <c r="A522" s="4"/>
      <c r="B522" s="4"/>
      <c r="C522" s="4"/>
      <c r="D522" s="4"/>
    </row>
    <row r="523" spans="1:4" ht="15.75" customHeight="1" x14ac:dyDescent="0.25">
      <c r="A523" s="4"/>
      <c r="B523" s="4"/>
      <c r="C523" s="4"/>
      <c r="D523" s="4"/>
    </row>
    <row r="524" spans="1:4" ht="15.75" customHeight="1" x14ac:dyDescent="0.25">
      <c r="A524" s="4"/>
      <c r="B524" s="4"/>
      <c r="C524" s="4"/>
      <c r="D524" s="4"/>
    </row>
    <row r="525" spans="1:4" ht="15.75" customHeight="1" x14ac:dyDescent="0.25">
      <c r="A525" s="4"/>
      <c r="B525" s="4"/>
      <c r="C525" s="4"/>
      <c r="D525" s="4"/>
    </row>
    <row r="526" spans="1:4" ht="15.75" customHeight="1" x14ac:dyDescent="0.25">
      <c r="A526" s="4"/>
      <c r="B526" s="4"/>
      <c r="C526" s="4"/>
      <c r="D526" s="4"/>
    </row>
    <row r="527" spans="1:4" ht="15.75" customHeight="1" x14ac:dyDescent="0.25">
      <c r="A527" s="4"/>
      <c r="B527" s="4"/>
      <c r="C527" s="4"/>
      <c r="D527" s="4"/>
    </row>
    <row r="528" spans="1:4" ht="15.75" customHeight="1" x14ac:dyDescent="0.25">
      <c r="A528" s="4"/>
      <c r="B528" s="4"/>
      <c r="C528" s="4"/>
      <c r="D528" s="4"/>
    </row>
    <row r="529" spans="1:4" ht="15.75" customHeight="1" x14ac:dyDescent="0.25">
      <c r="A529" s="4"/>
      <c r="B529" s="4"/>
      <c r="C529" s="4"/>
      <c r="D529" s="4"/>
    </row>
    <row r="530" spans="1:4" ht="15.75" customHeight="1" x14ac:dyDescent="0.25">
      <c r="A530" s="4"/>
      <c r="B530" s="4"/>
      <c r="C530" s="4"/>
      <c r="D530" s="4"/>
    </row>
    <row r="531" spans="1:4" ht="15.75" customHeight="1" x14ac:dyDescent="0.25">
      <c r="A531" s="4"/>
      <c r="B531" s="4"/>
      <c r="C531" s="4"/>
      <c r="D531" s="4"/>
    </row>
    <row r="532" spans="1:4" ht="15.75" customHeight="1" x14ac:dyDescent="0.25">
      <c r="A532" s="4"/>
      <c r="B532" s="4"/>
      <c r="C532" s="4"/>
      <c r="D532" s="4"/>
    </row>
    <row r="533" spans="1:4" ht="15.75" customHeight="1" x14ac:dyDescent="0.25">
      <c r="A533" s="4"/>
      <c r="B533" s="4"/>
      <c r="C533" s="4"/>
      <c r="D533" s="4"/>
    </row>
    <row r="534" spans="1:4" ht="15.75" customHeight="1" x14ac:dyDescent="0.25">
      <c r="A534" s="4"/>
      <c r="B534" s="4"/>
      <c r="C534" s="4"/>
      <c r="D534" s="4"/>
    </row>
    <row r="535" spans="1:4" ht="15.75" customHeight="1" x14ac:dyDescent="0.25">
      <c r="A535" s="4"/>
      <c r="B535" s="4"/>
      <c r="C535" s="4"/>
      <c r="D535" s="4"/>
    </row>
    <row r="536" spans="1:4" ht="15.75" customHeight="1" x14ac:dyDescent="0.25">
      <c r="A536" s="4"/>
      <c r="B536" s="4"/>
      <c r="C536" s="4"/>
      <c r="D536" s="4"/>
    </row>
    <row r="537" spans="1:4" ht="15.75" customHeight="1" x14ac:dyDescent="0.25">
      <c r="A537" s="4"/>
      <c r="B537" s="4"/>
      <c r="C537" s="4"/>
      <c r="D537" s="4"/>
    </row>
    <row r="538" spans="1:4" ht="15.75" customHeight="1" x14ac:dyDescent="0.25">
      <c r="A538" s="4"/>
      <c r="B538" s="4"/>
      <c r="C538" s="4"/>
      <c r="D538" s="4"/>
    </row>
    <row r="539" spans="1:4" ht="15.75" customHeight="1" x14ac:dyDescent="0.25">
      <c r="A539" s="4"/>
      <c r="B539" s="4"/>
      <c r="C539" s="4"/>
      <c r="D539" s="4"/>
    </row>
    <row r="540" spans="1:4" ht="15.75" customHeight="1" x14ac:dyDescent="0.25">
      <c r="A540" s="4"/>
      <c r="B540" s="4"/>
      <c r="C540" s="4"/>
      <c r="D540" s="4"/>
    </row>
    <row r="541" spans="1:4" ht="15.75" customHeight="1" x14ac:dyDescent="0.25">
      <c r="A541" s="4"/>
      <c r="B541" s="4"/>
      <c r="C541" s="4"/>
      <c r="D541" s="4"/>
    </row>
    <row r="542" spans="1:4" ht="15.75" customHeight="1" x14ac:dyDescent="0.25">
      <c r="A542" s="4"/>
      <c r="B542" s="4"/>
      <c r="C542" s="4"/>
      <c r="D542" s="4"/>
    </row>
    <row r="543" spans="1:4" ht="15.75" customHeight="1" x14ac:dyDescent="0.25">
      <c r="A543" s="4"/>
      <c r="B543" s="4"/>
      <c r="C543" s="4"/>
      <c r="D543" s="4"/>
    </row>
    <row r="544" spans="1:4" ht="15.75" customHeight="1" x14ac:dyDescent="0.25">
      <c r="A544" s="4"/>
      <c r="B544" s="4"/>
      <c r="C544" s="4"/>
      <c r="D544" s="4"/>
    </row>
    <row r="545" spans="1:4" ht="15.75" customHeight="1" x14ac:dyDescent="0.25">
      <c r="A545" s="4"/>
      <c r="B545" s="4"/>
      <c r="C545" s="4"/>
      <c r="D545" s="4"/>
    </row>
    <row r="546" spans="1:4" ht="15.75" customHeight="1" x14ac:dyDescent="0.25">
      <c r="A546" s="4"/>
      <c r="B546" s="4"/>
      <c r="C546" s="4"/>
      <c r="D546" s="4"/>
    </row>
    <row r="547" spans="1:4" ht="15.75" customHeight="1" x14ac:dyDescent="0.25">
      <c r="A547" s="4"/>
      <c r="B547" s="4"/>
      <c r="C547" s="4"/>
      <c r="D547" s="4"/>
    </row>
    <row r="548" spans="1:4" ht="15.75" customHeight="1" x14ac:dyDescent="0.25">
      <c r="A548" s="4"/>
      <c r="B548" s="4"/>
      <c r="C548" s="4"/>
      <c r="D548" s="4"/>
    </row>
    <row r="549" spans="1:4" ht="15.75" customHeight="1" x14ac:dyDescent="0.25">
      <c r="A549" s="4"/>
      <c r="B549" s="4"/>
      <c r="C549" s="4"/>
      <c r="D549" s="4"/>
    </row>
    <row r="550" spans="1:4" ht="15.75" customHeight="1" x14ac:dyDescent="0.25">
      <c r="A550" s="4"/>
      <c r="B550" s="4"/>
      <c r="C550" s="4"/>
      <c r="D550" s="4"/>
    </row>
    <row r="551" spans="1:4" ht="15.75" customHeight="1" x14ac:dyDescent="0.25">
      <c r="A551" s="4"/>
      <c r="B551" s="4"/>
      <c r="C551" s="4"/>
      <c r="D551" s="4"/>
    </row>
    <row r="552" spans="1:4" ht="15.75" customHeight="1" x14ac:dyDescent="0.25">
      <c r="A552" s="4"/>
      <c r="B552" s="4"/>
      <c r="C552" s="4"/>
      <c r="D552" s="4"/>
    </row>
    <row r="553" spans="1:4" ht="15.75" customHeight="1" x14ac:dyDescent="0.25">
      <c r="A553" s="4"/>
      <c r="B553" s="4"/>
      <c r="C553" s="4"/>
      <c r="D553" s="4"/>
    </row>
    <row r="554" spans="1:4" ht="15.75" customHeight="1" x14ac:dyDescent="0.25">
      <c r="A554" s="4"/>
      <c r="B554" s="4"/>
      <c r="C554" s="4"/>
      <c r="D554" s="4"/>
    </row>
    <row r="555" spans="1:4" ht="15.75" customHeight="1" x14ac:dyDescent="0.25">
      <c r="A555" s="4"/>
      <c r="B555" s="4"/>
      <c r="C555" s="4"/>
      <c r="D555" s="4"/>
    </row>
    <row r="556" spans="1:4" ht="15.75" customHeight="1" x14ac:dyDescent="0.25">
      <c r="A556" s="4"/>
      <c r="B556" s="4"/>
      <c r="C556" s="4"/>
      <c r="D556" s="4"/>
    </row>
    <row r="557" spans="1:4" ht="15.75" customHeight="1" x14ac:dyDescent="0.25">
      <c r="A557" s="4"/>
      <c r="B557" s="4"/>
      <c r="C557" s="4"/>
      <c r="D557" s="4"/>
    </row>
    <row r="558" spans="1:4" ht="15.75" customHeight="1" x14ac:dyDescent="0.25">
      <c r="A558" s="4"/>
      <c r="B558" s="4"/>
      <c r="C558" s="4"/>
      <c r="D558" s="4"/>
    </row>
    <row r="559" spans="1:4" ht="15.75" customHeight="1" x14ac:dyDescent="0.25">
      <c r="A559" s="4"/>
      <c r="B559" s="4"/>
      <c r="C559" s="4"/>
      <c r="D559" s="4"/>
    </row>
    <row r="560" spans="1:4" ht="15.75" customHeight="1" x14ac:dyDescent="0.25">
      <c r="A560" s="4"/>
      <c r="B560" s="4"/>
      <c r="C560" s="4"/>
      <c r="D560" s="4"/>
    </row>
    <row r="561" spans="1:4" ht="15.75" customHeight="1" x14ac:dyDescent="0.25">
      <c r="A561" s="4"/>
      <c r="B561" s="4"/>
      <c r="C561" s="4"/>
      <c r="D561" s="4"/>
    </row>
    <row r="562" spans="1:4" ht="15.75" customHeight="1" x14ac:dyDescent="0.25">
      <c r="A562" s="4"/>
      <c r="B562" s="4"/>
      <c r="C562" s="4"/>
      <c r="D562" s="4"/>
    </row>
    <row r="563" spans="1:4" ht="15.75" customHeight="1" x14ac:dyDescent="0.25">
      <c r="A563" s="4"/>
      <c r="B563" s="4"/>
      <c r="C563" s="4"/>
      <c r="D563" s="4"/>
    </row>
    <row r="564" spans="1:4" ht="15.75" customHeight="1" x14ac:dyDescent="0.25">
      <c r="A564" s="4"/>
      <c r="B564" s="4"/>
      <c r="C564" s="4"/>
      <c r="D564" s="4"/>
    </row>
    <row r="565" spans="1:4" ht="15.75" customHeight="1" x14ac:dyDescent="0.25">
      <c r="A565" s="4"/>
      <c r="B565" s="4"/>
      <c r="C565" s="4"/>
      <c r="D565" s="4"/>
    </row>
    <row r="566" spans="1:4" ht="15.75" customHeight="1" x14ac:dyDescent="0.25">
      <c r="A566" s="4"/>
      <c r="B566" s="4"/>
      <c r="C566" s="4"/>
      <c r="D566" s="4"/>
    </row>
    <row r="567" spans="1:4" ht="15.75" customHeight="1" x14ac:dyDescent="0.25">
      <c r="A567" s="4"/>
      <c r="B567" s="4"/>
      <c r="C567" s="4"/>
      <c r="D567" s="4"/>
    </row>
    <row r="568" spans="1:4" ht="15.75" customHeight="1" x14ac:dyDescent="0.25">
      <c r="A568" s="4"/>
      <c r="B568" s="4"/>
      <c r="C568" s="4"/>
      <c r="D568" s="4"/>
    </row>
    <row r="569" spans="1:4" ht="15.75" customHeight="1" x14ac:dyDescent="0.25">
      <c r="A569" s="4"/>
      <c r="B569" s="4"/>
      <c r="C569" s="4"/>
      <c r="D569" s="4"/>
    </row>
    <row r="570" spans="1:4" ht="15.75" customHeight="1" x14ac:dyDescent="0.25">
      <c r="A570" s="4"/>
      <c r="B570" s="4"/>
      <c r="C570" s="4"/>
      <c r="D570" s="4"/>
    </row>
    <row r="571" spans="1:4" ht="15.75" customHeight="1" x14ac:dyDescent="0.25">
      <c r="A571" s="4"/>
      <c r="B571" s="4"/>
      <c r="C571" s="4"/>
      <c r="D571" s="4"/>
    </row>
    <row r="572" spans="1:4" ht="15.75" customHeight="1" x14ac:dyDescent="0.25">
      <c r="A572" s="4"/>
      <c r="B572" s="4"/>
      <c r="C572" s="4"/>
      <c r="D572" s="4"/>
    </row>
    <row r="573" spans="1:4" ht="15.75" customHeight="1" x14ac:dyDescent="0.25">
      <c r="A573" s="4"/>
      <c r="B573" s="4"/>
      <c r="C573" s="4"/>
      <c r="D573" s="4"/>
    </row>
    <row r="574" spans="1:4" ht="15.75" customHeight="1" x14ac:dyDescent="0.25">
      <c r="A574" s="4"/>
      <c r="B574" s="4"/>
      <c r="C574" s="4"/>
      <c r="D574" s="4"/>
    </row>
    <row r="575" spans="1:4" ht="15.75" customHeight="1" x14ac:dyDescent="0.25">
      <c r="A575" s="4"/>
      <c r="B575" s="4"/>
      <c r="C575" s="4"/>
      <c r="D575" s="4"/>
    </row>
    <row r="576" spans="1:4" ht="15.75" customHeight="1" x14ac:dyDescent="0.25">
      <c r="A576" s="4"/>
      <c r="B576" s="4"/>
      <c r="C576" s="4"/>
      <c r="D576" s="4"/>
    </row>
    <row r="577" spans="1:4" ht="15.75" customHeight="1" x14ac:dyDescent="0.25">
      <c r="A577" s="4"/>
      <c r="B577" s="4"/>
      <c r="C577" s="4"/>
      <c r="D577" s="4"/>
    </row>
    <row r="578" spans="1:4" ht="15.75" customHeight="1" x14ac:dyDescent="0.25">
      <c r="A578" s="4"/>
      <c r="B578" s="4"/>
      <c r="C578" s="4"/>
      <c r="D578" s="4"/>
    </row>
    <row r="579" spans="1:4" ht="15.75" customHeight="1" x14ac:dyDescent="0.25">
      <c r="A579" s="4"/>
      <c r="B579" s="4"/>
      <c r="C579" s="4"/>
      <c r="D579" s="4"/>
    </row>
    <row r="580" spans="1:4" ht="15.75" customHeight="1" x14ac:dyDescent="0.25">
      <c r="A580" s="4"/>
      <c r="B580" s="4"/>
      <c r="C580" s="4"/>
      <c r="D580" s="4"/>
    </row>
    <row r="581" spans="1:4" ht="15.75" customHeight="1" x14ac:dyDescent="0.25">
      <c r="A581" s="4"/>
      <c r="B581" s="4"/>
      <c r="C581" s="4"/>
      <c r="D581" s="4"/>
    </row>
    <row r="582" spans="1:4" ht="15.75" customHeight="1" x14ac:dyDescent="0.25">
      <c r="A582" s="4"/>
      <c r="B582" s="4"/>
      <c r="C582" s="4"/>
      <c r="D582" s="4"/>
    </row>
    <row r="583" spans="1:4" ht="15.75" customHeight="1" x14ac:dyDescent="0.25">
      <c r="A583" s="4"/>
      <c r="B583" s="4"/>
      <c r="C583" s="4"/>
      <c r="D583" s="4"/>
    </row>
    <row r="584" spans="1:4" ht="15.75" customHeight="1" x14ac:dyDescent="0.25">
      <c r="A584" s="4"/>
      <c r="B584" s="4"/>
      <c r="C584" s="4"/>
      <c r="D584" s="4"/>
    </row>
    <row r="585" spans="1:4" ht="15.75" customHeight="1" x14ac:dyDescent="0.25">
      <c r="A585" s="4"/>
      <c r="B585" s="4"/>
      <c r="C585" s="4"/>
      <c r="D585" s="4"/>
    </row>
    <row r="586" spans="1:4" ht="15.75" customHeight="1" x14ac:dyDescent="0.25">
      <c r="A586" s="4"/>
      <c r="B586" s="4"/>
      <c r="C586" s="4"/>
      <c r="D586" s="4"/>
    </row>
    <row r="587" spans="1:4" ht="15.75" customHeight="1" x14ac:dyDescent="0.25">
      <c r="A587" s="4"/>
      <c r="B587" s="4"/>
      <c r="C587" s="4"/>
      <c r="D587" s="4"/>
    </row>
    <row r="588" spans="1:4" ht="15.75" customHeight="1" x14ac:dyDescent="0.25">
      <c r="A588" s="4"/>
      <c r="B588" s="4"/>
      <c r="C588" s="4"/>
      <c r="D588" s="4"/>
    </row>
    <row r="589" spans="1:4" ht="15.75" customHeight="1" x14ac:dyDescent="0.25">
      <c r="A589" s="4"/>
      <c r="B589" s="4"/>
      <c r="C589" s="4"/>
      <c r="D589" s="4"/>
    </row>
    <row r="590" spans="1:4" ht="15.75" customHeight="1" x14ac:dyDescent="0.25">
      <c r="A590" s="4"/>
      <c r="B590" s="4"/>
      <c r="C590" s="4"/>
      <c r="D590" s="4"/>
    </row>
    <row r="591" spans="1:4" ht="15.75" customHeight="1" x14ac:dyDescent="0.25">
      <c r="A591" s="4"/>
      <c r="B591" s="4"/>
      <c r="C591" s="4"/>
      <c r="D591" s="4"/>
    </row>
    <row r="592" spans="1:4" ht="15.75" customHeight="1" x14ac:dyDescent="0.25">
      <c r="A592" s="4"/>
      <c r="B592" s="4"/>
      <c r="C592" s="4"/>
      <c r="D592" s="4"/>
    </row>
    <row r="593" spans="1:4" ht="15.75" customHeight="1" x14ac:dyDescent="0.25">
      <c r="A593" s="4"/>
      <c r="B593" s="4"/>
      <c r="C593" s="4"/>
      <c r="D593" s="4"/>
    </row>
    <row r="594" spans="1:4" ht="15.75" customHeight="1" x14ac:dyDescent="0.25">
      <c r="A594" s="4"/>
      <c r="B594" s="4"/>
      <c r="C594" s="4"/>
      <c r="D594" s="4"/>
    </row>
    <row r="595" spans="1:4" ht="15.75" customHeight="1" x14ac:dyDescent="0.25">
      <c r="A595" s="4"/>
      <c r="B595" s="4"/>
      <c r="C595" s="4"/>
      <c r="D595" s="4"/>
    </row>
    <row r="596" spans="1:4" ht="15.75" customHeight="1" x14ac:dyDescent="0.25">
      <c r="A596" s="4"/>
      <c r="B596" s="4"/>
      <c r="C596" s="4"/>
      <c r="D596" s="4"/>
    </row>
    <row r="597" spans="1:4" ht="15.75" customHeight="1" x14ac:dyDescent="0.25">
      <c r="A597" s="4"/>
      <c r="B597" s="4"/>
      <c r="C597" s="4"/>
      <c r="D597" s="4"/>
    </row>
    <row r="598" spans="1:4" ht="15.75" customHeight="1" x14ac:dyDescent="0.25">
      <c r="A598" s="4"/>
      <c r="B598" s="4"/>
      <c r="C598" s="4"/>
      <c r="D598" s="4"/>
    </row>
    <row r="599" spans="1:4" ht="15.75" customHeight="1" x14ac:dyDescent="0.25">
      <c r="A599" s="4"/>
      <c r="B599" s="4"/>
      <c r="C599" s="4"/>
      <c r="D599" s="4"/>
    </row>
    <row r="600" spans="1:4" ht="15.75" customHeight="1" x14ac:dyDescent="0.25">
      <c r="A600" s="4"/>
      <c r="B600" s="4"/>
      <c r="C600" s="4"/>
      <c r="D600" s="4"/>
    </row>
    <row r="601" spans="1:4" ht="15.75" customHeight="1" x14ac:dyDescent="0.25">
      <c r="A601" s="4"/>
      <c r="B601" s="4"/>
      <c r="C601" s="4"/>
      <c r="D601" s="4"/>
    </row>
    <row r="602" spans="1:4" ht="15.75" customHeight="1" x14ac:dyDescent="0.25">
      <c r="A602" s="4"/>
      <c r="B602" s="4"/>
      <c r="C602" s="4"/>
      <c r="D602" s="4"/>
    </row>
    <row r="603" spans="1:4" ht="15.75" customHeight="1" x14ac:dyDescent="0.25">
      <c r="A603" s="4"/>
      <c r="B603" s="4"/>
      <c r="C603" s="4"/>
      <c r="D603" s="4"/>
    </row>
    <row r="604" spans="1:4" ht="15.75" customHeight="1" x14ac:dyDescent="0.25">
      <c r="A604" s="4"/>
      <c r="B604" s="4"/>
      <c r="C604" s="4"/>
      <c r="D604" s="4"/>
    </row>
    <row r="605" spans="1:4" ht="15.75" customHeight="1" x14ac:dyDescent="0.25">
      <c r="A605" s="4"/>
      <c r="B605" s="4"/>
      <c r="C605" s="4"/>
      <c r="D605" s="4"/>
    </row>
    <row r="606" spans="1:4" ht="15.75" customHeight="1" x14ac:dyDescent="0.25">
      <c r="A606" s="4"/>
      <c r="B606" s="4"/>
      <c r="C606" s="4"/>
      <c r="D606" s="4"/>
    </row>
    <row r="607" spans="1:4" ht="15.75" customHeight="1" x14ac:dyDescent="0.25">
      <c r="A607" s="4"/>
      <c r="B607" s="4"/>
      <c r="C607" s="4"/>
      <c r="D607" s="4"/>
    </row>
    <row r="608" spans="1:4" ht="15.75" customHeight="1" x14ac:dyDescent="0.25">
      <c r="A608" s="4"/>
      <c r="B608" s="4"/>
      <c r="C608" s="4"/>
      <c r="D608" s="4"/>
    </row>
    <row r="609" spans="1:4" ht="15.75" customHeight="1" x14ac:dyDescent="0.25">
      <c r="A609" s="4"/>
      <c r="B609" s="4"/>
      <c r="C609" s="4"/>
      <c r="D609" s="4"/>
    </row>
    <row r="610" spans="1:4" ht="15.75" customHeight="1" x14ac:dyDescent="0.25">
      <c r="A610" s="4"/>
      <c r="B610" s="4"/>
      <c r="C610" s="4"/>
      <c r="D610" s="4"/>
    </row>
    <row r="611" spans="1:4" ht="15.75" customHeight="1" x14ac:dyDescent="0.25">
      <c r="A611" s="4"/>
      <c r="B611" s="4"/>
      <c r="C611" s="4"/>
      <c r="D611" s="4"/>
    </row>
    <row r="612" spans="1:4" ht="15.75" customHeight="1" x14ac:dyDescent="0.25">
      <c r="A612" s="4"/>
      <c r="B612" s="4"/>
      <c r="C612" s="4"/>
      <c r="D612" s="4"/>
    </row>
    <row r="613" spans="1:4" ht="15.75" customHeight="1" x14ac:dyDescent="0.25">
      <c r="A613" s="4"/>
      <c r="B613" s="4"/>
      <c r="C613" s="4"/>
      <c r="D613" s="4"/>
    </row>
    <row r="614" spans="1:4" ht="15.75" customHeight="1" x14ac:dyDescent="0.25">
      <c r="A614" s="4"/>
      <c r="B614" s="4"/>
      <c r="C614" s="4"/>
      <c r="D614" s="4"/>
    </row>
    <row r="615" spans="1:4" ht="15.75" customHeight="1" x14ac:dyDescent="0.25">
      <c r="A615" s="4"/>
      <c r="B615" s="4"/>
      <c r="C615" s="4"/>
      <c r="D615" s="4"/>
    </row>
    <row r="616" spans="1:4" ht="15.75" customHeight="1" x14ac:dyDescent="0.25">
      <c r="A616" s="4"/>
      <c r="B616" s="4"/>
      <c r="C616" s="4"/>
      <c r="D616" s="4"/>
    </row>
    <row r="617" spans="1:4" ht="15.75" customHeight="1" x14ac:dyDescent="0.25">
      <c r="A617" s="4"/>
      <c r="B617" s="4"/>
      <c r="C617" s="4"/>
      <c r="D617" s="4"/>
    </row>
    <row r="618" spans="1:4" ht="15.75" customHeight="1" x14ac:dyDescent="0.25">
      <c r="A618" s="4"/>
      <c r="B618" s="4"/>
      <c r="C618" s="4"/>
      <c r="D618" s="4"/>
    </row>
    <row r="619" spans="1:4" ht="15.75" customHeight="1" x14ac:dyDescent="0.25">
      <c r="A619" s="4"/>
      <c r="B619" s="4"/>
      <c r="C619" s="4"/>
      <c r="D619" s="4"/>
    </row>
    <row r="620" spans="1:4" ht="15.75" customHeight="1" x14ac:dyDescent="0.25">
      <c r="A620" s="4"/>
      <c r="B620" s="4"/>
      <c r="C620" s="4"/>
      <c r="D620" s="4"/>
    </row>
    <row r="621" spans="1:4" ht="15.75" customHeight="1" x14ac:dyDescent="0.25">
      <c r="A621" s="4"/>
      <c r="B621" s="4"/>
      <c r="C621" s="4"/>
      <c r="D621" s="4"/>
    </row>
    <row r="622" spans="1:4" ht="15.75" customHeight="1" x14ac:dyDescent="0.25">
      <c r="A622" s="4"/>
      <c r="B622" s="4"/>
      <c r="C622" s="4"/>
      <c r="D622" s="4"/>
    </row>
    <row r="623" spans="1:4" ht="15.75" customHeight="1" x14ac:dyDescent="0.25">
      <c r="A623" s="4"/>
      <c r="B623" s="4"/>
      <c r="C623" s="4"/>
      <c r="D623" s="4"/>
    </row>
    <row r="624" spans="1:4" ht="15.75" customHeight="1" x14ac:dyDescent="0.25">
      <c r="A624" s="4"/>
      <c r="B624" s="4"/>
      <c r="C624" s="4"/>
      <c r="D624" s="4"/>
    </row>
    <row r="625" spans="1:4" ht="15.75" customHeight="1" x14ac:dyDescent="0.25">
      <c r="A625" s="4"/>
      <c r="B625" s="4"/>
      <c r="C625" s="4"/>
      <c r="D625" s="4"/>
    </row>
    <row r="626" spans="1:4" ht="15.75" customHeight="1" x14ac:dyDescent="0.25">
      <c r="A626" s="4"/>
      <c r="B626" s="4"/>
      <c r="C626" s="4"/>
      <c r="D626" s="4"/>
    </row>
    <row r="627" spans="1:4" ht="15.75" customHeight="1" x14ac:dyDescent="0.25">
      <c r="A627" s="4"/>
      <c r="B627" s="4"/>
      <c r="C627" s="4"/>
      <c r="D627" s="4"/>
    </row>
    <row r="628" spans="1:4" ht="15.75" customHeight="1" x14ac:dyDescent="0.25">
      <c r="A628" s="4"/>
      <c r="B628" s="4"/>
      <c r="C628" s="4"/>
      <c r="D628" s="4"/>
    </row>
    <row r="629" spans="1:4" ht="15.75" customHeight="1" x14ac:dyDescent="0.25">
      <c r="A629" s="4"/>
      <c r="B629" s="4"/>
      <c r="C629" s="4"/>
      <c r="D629" s="4"/>
    </row>
    <row r="630" spans="1:4" ht="15.75" customHeight="1" x14ac:dyDescent="0.25">
      <c r="A630" s="4"/>
      <c r="B630" s="4"/>
      <c r="C630" s="4"/>
      <c r="D630" s="4"/>
    </row>
    <row r="631" spans="1:4" ht="15.75" customHeight="1" x14ac:dyDescent="0.25">
      <c r="A631" s="4"/>
      <c r="B631" s="4"/>
      <c r="C631" s="4"/>
      <c r="D631" s="4"/>
    </row>
    <row r="632" spans="1:4" ht="15.75" customHeight="1" x14ac:dyDescent="0.25">
      <c r="A632" s="4"/>
      <c r="B632" s="4"/>
      <c r="C632" s="4"/>
      <c r="D632" s="4"/>
    </row>
    <row r="633" spans="1:4" ht="15.75" customHeight="1" x14ac:dyDescent="0.25">
      <c r="A633" s="4"/>
      <c r="B633" s="4"/>
      <c r="C633" s="4"/>
      <c r="D633" s="4"/>
    </row>
    <row r="634" spans="1:4" ht="15.75" customHeight="1" x14ac:dyDescent="0.25">
      <c r="A634" s="4"/>
      <c r="B634" s="4"/>
      <c r="C634" s="4"/>
      <c r="D634" s="4"/>
    </row>
    <row r="635" spans="1:4" ht="15.75" customHeight="1" x14ac:dyDescent="0.25">
      <c r="A635" s="4"/>
      <c r="B635" s="4"/>
      <c r="C635" s="4"/>
      <c r="D635" s="4"/>
    </row>
    <row r="636" spans="1:4" ht="15.75" customHeight="1" x14ac:dyDescent="0.25">
      <c r="A636" s="4"/>
      <c r="B636" s="4"/>
      <c r="C636" s="4"/>
      <c r="D636" s="4"/>
    </row>
    <row r="637" spans="1:4" ht="15.75" customHeight="1" x14ac:dyDescent="0.25">
      <c r="A637" s="4"/>
      <c r="B637" s="4"/>
      <c r="C637" s="4"/>
      <c r="D637" s="4"/>
    </row>
    <row r="638" spans="1:4" ht="15.75" customHeight="1" x14ac:dyDescent="0.25">
      <c r="A638" s="4"/>
      <c r="B638" s="4"/>
      <c r="C638" s="4"/>
      <c r="D638" s="4"/>
    </row>
    <row r="639" spans="1:4" ht="15.75" customHeight="1" x14ac:dyDescent="0.25">
      <c r="A639" s="4"/>
      <c r="B639" s="4"/>
      <c r="C639" s="4"/>
      <c r="D639" s="4"/>
    </row>
    <row r="640" spans="1:4" ht="15.75" customHeight="1" x14ac:dyDescent="0.25">
      <c r="A640" s="4"/>
      <c r="B640" s="4"/>
      <c r="C640" s="4"/>
      <c r="D640" s="4"/>
    </row>
    <row r="641" spans="1:4" ht="15.75" customHeight="1" x14ac:dyDescent="0.25">
      <c r="A641" s="4"/>
      <c r="B641" s="4"/>
      <c r="C641" s="4"/>
      <c r="D641" s="4"/>
    </row>
    <row r="642" spans="1:4" ht="15.75" customHeight="1" x14ac:dyDescent="0.25">
      <c r="A642" s="4"/>
      <c r="B642" s="4"/>
      <c r="C642" s="4"/>
      <c r="D642" s="4"/>
    </row>
    <row r="643" spans="1:4" ht="15.75" customHeight="1" x14ac:dyDescent="0.25">
      <c r="A643" s="4"/>
      <c r="B643" s="4"/>
      <c r="C643" s="4"/>
      <c r="D643" s="4"/>
    </row>
    <row r="644" spans="1:4" ht="15.75" customHeight="1" x14ac:dyDescent="0.25">
      <c r="A644" s="4"/>
      <c r="B644" s="4"/>
      <c r="C644" s="4"/>
      <c r="D644" s="4"/>
    </row>
    <row r="645" spans="1:4" ht="15.75" customHeight="1" x14ac:dyDescent="0.25">
      <c r="A645" s="4"/>
      <c r="B645" s="4"/>
      <c r="C645" s="4"/>
      <c r="D645" s="4"/>
    </row>
    <row r="646" spans="1:4" ht="15.75" customHeight="1" x14ac:dyDescent="0.25">
      <c r="A646" s="4"/>
      <c r="B646" s="4"/>
      <c r="C646" s="4"/>
      <c r="D646" s="4"/>
    </row>
    <row r="647" spans="1:4" ht="15.75" customHeight="1" x14ac:dyDescent="0.25">
      <c r="A647" s="4"/>
      <c r="B647" s="4"/>
      <c r="C647" s="4"/>
      <c r="D647" s="4"/>
    </row>
    <row r="648" spans="1:4" ht="15.75" customHeight="1" x14ac:dyDescent="0.25">
      <c r="A648" s="4"/>
      <c r="B648" s="4"/>
      <c r="C648" s="4"/>
      <c r="D648" s="4"/>
    </row>
    <row r="649" spans="1:4" ht="15.75" customHeight="1" x14ac:dyDescent="0.25">
      <c r="A649" s="4"/>
      <c r="B649" s="4"/>
      <c r="C649" s="4"/>
      <c r="D649" s="4"/>
    </row>
    <row r="650" spans="1:4" ht="15.75" customHeight="1" x14ac:dyDescent="0.25">
      <c r="A650" s="4"/>
      <c r="B650" s="4"/>
      <c r="C650" s="4"/>
      <c r="D650" s="4"/>
    </row>
    <row r="651" spans="1:4" ht="15.75" customHeight="1" x14ac:dyDescent="0.25">
      <c r="A651" s="4"/>
      <c r="B651" s="4"/>
      <c r="C651" s="4"/>
      <c r="D651" s="4"/>
    </row>
    <row r="652" spans="1:4" ht="15.75" customHeight="1" x14ac:dyDescent="0.25">
      <c r="A652" s="4"/>
      <c r="B652" s="4"/>
      <c r="C652" s="4"/>
      <c r="D652" s="4"/>
    </row>
    <row r="653" spans="1:4" ht="15.75" customHeight="1" x14ac:dyDescent="0.25">
      <c r="A653" s="4"/>
      <c r="B653" s="4"/>
      <c r="C653" s="4"/>
      <c r="D653" s="4"/>
    </row>
    <row r="654" spans="1:4" ht="15.75" customHeight="1" x14ac:dyDescent="0.25">
      <c r="A654" s="4"/>
      <c r="B654" s="4"/>
      <c r="C654" s="4"/>
      <c r="D654" s="4"/>
    </row>
    <row r="655" spans="1:4" ht="15.75" customHeight="1" x14ac:dyDescent="0.25">
      <c r="A655" s="4"/>
      <c r="B655" s="4"/>
      <c r="C655" s="4"/>
      <c r="D655" s="4"/>
    </row>
    <row r="656" spans="1:4" ht="15.75" customHeight="1" x14ac:dyDescent="0.25">
      <c r="A656" s="4"/>
      <c r="B656" s="4"/>
      <c r="C656" s="4"/>
      <c r="D656" s="4"/>
    </row>
    <row r="657" spans="1:4" ht="15.75" customHeight="1" x14ac:dyDescent="0.25">
      <c r="A657" s="4"/>
      <c r="B657" s="4"/>
      <c r="C657" s="4"/>
      <c r="D657" s="4"/>
    </row>
    <row r="658" spans="1:4" ht="15.75" customHeight="1" x14ac:dyDescent="0.25">
      <c r="A658" s="4"/>
      <c r="B658" s="4"/>
      <c r="C658" s="4"/>
      <c r="D658" s="4"/>
    </row>
    <row r="659" spans="1:4" ht="15.75" customHeight="1" x14ac:dyDescent="0.25">
      <c r="A659" s="4"/>
      <c r="B659" s="4"/>
      <c r="C659" s="4"/>
      <c r="D659" s="4"/>
    </row>
    <row r="660" spans="1:4" ht="15.75" customHeight="1" x14ac:dyDescent="0.25">
      <c r="A660" s="4"/>
      <c r="B660" s="4"/>
      <c r="C660" s="4"/>
      <c r="D660" s="4"/>
    </row>
    <row r="661" spans="1:4" ht="15.75" customHeight="1" x14ac:dyDescent="0.25">
      <c r="A661" s="4"/>
      <c r="B661" s="4"/>
      <c r="C661" s="4"/>
      <c r="D661" s="4"/>
    </row>
    <row r="662" spans="1:4" ht="15.75" customHeight="1" x14ac:dyDescent="0.25">
      <c r="A662" s="4"/>
      <c r="B662" s="4"/>
      <c r="C662" s="4"/>
      <c r="D662" s="4"/>
    </row>
    <row r="663" spans="1:4" ht="15.75" customHeight="1" x14ac:dyDescent="0.25">
      <c r="A663" s="4"/>
      <c r="B663" s="4"/>
      <c r="C663" s="4"/>
      <c r="D663" s="4"/>
    </row>
    <row r="664" spans="1:4" ht="15.75" customHeight="1" x14ac:dyDescent="0.25">
      <c r="A664" s="4"/>
      <c r="B664" s="4"/>
      <c r="C664" s="4"/>
      <c r="D664" s="4"/>
    </row>
    <row r="665" spans="1:4" ht="15.75" customHeight="1" x14ac:dyDescent="0.25">
      <c r="A665" s="4"/>
      <c r="B665" s="4"/>
      <c r="C665" s="4"/>
      <c r="D665" s="4"/>
    </row>
    <row r="666" spans="1:4" ht="15.75" customHeight="1" x14ac:dyDescent="0.25">
      <c r="A666" s="4"/>
      <c r="B666" s="4"/>
      <c r="C666" s="4"/>
      <c r="D666" s="4"/>
    </row>
    <row r="667" spans="1:4" ht="15.75" customHeight="1" x14ac:dyDescent="0.25">
      <c r="A667" s="4"/>
      <c r="B667" s="4"/>
      <c r="C667" s="4"/>
      <c r="D667" s="4"/>
    </row>
    <row r="668" spans="1:4" ht="15.75" customHeight="1" x14ac:dyDescent="0.25">
      <c r="A668" s="4"/>
      <c r="B668" s="4"/>
      <c r="C668" s="4"/>
      <c r="D668" s="4"/>
    </row>
    <row r="669" spans="1:4" ht="15.75" customHeight="1" x14ac:dyDescent="0.25">
      <c r="A669" s="4"/>
      <c r="B669" s="4"/>
      <c r="C669" s="4"/>
      <c r="D669" s="4"/>
    </row>
    <row r="670" spans="1:4" ht="15.75" customHeight="1" x14ac:dyDescent="0.25">
      <c r="A670" s="4"/>
      <c r="B670" s="4"/>
      <c r="C670" s="4"/>
      <c r="D670" s="4"/>
    </row>
    <row r="671" spans="1:4" ht="15.75" customHeight="1" x14ac:dyDescent="0.25">
      <c r="A671" s="4"/>
      <c r="B671" s="4"/>
      <c r="C671" s="4"/>
      <c r="D671" s="4"/>
    </row>
    <row r="672" spans="1:4" ht="15.75" customHeight="1" x14ac:dyDescent="0.25">
      <c r="A672" s="4"/>
      <c r="B672" s="4"/>
      <c r="C672" s="4"/>
      <c r="D672" s="4"/>
    </row>
    <row r="673" spans="1:4" ht="15.75" customHeight="1" x14ac:dyDescent="0.25">
      <c r="A673" s="4"/>
      <c r="B673" s="4"/>
      <c r="C673" s="4"/>
      <c r="D673" s="4"/>
    </row>
    <row r="674" spans="1:4" ht="15.75" customHeight="1" x14ac:dyDescent="0.25">
      <c r="A674" s="4"/>
      <c r="B674" s="4"/>
      <c r="C674" s="4"/>
      <c r="D674" s="4"/>
    </row>
    <row r="675" spans="1:4" ht="15.75" customHeight="1" x14ac:dyDescent="0.25">
      <c r="A675" s="4"/>
      <c r="B675" s="4"/>
      <c r="C675" s="4"/>
      <c r="D675" s="4"/>
    </row>
    <row r="676" spans="1:4" ht="15.75" customHeight="1" x14ac:dyDescent="0.25">
      <c r="A676" s="4"/>
      <c r="B676" s="4"/>
      <c r="C676" s="4"/>
      <c r="D676" s="4"/>
    </row>
    <row r="677" spans="1:4" ht="15.75" customHeight="1" x14ac:dyDescent="0.25">
      <c r="A677" s="4"/>
      <c r="B677" s="4"/>
      <c r="C677" s="4"/>
      <c r="D677" s="4"/>
    </row>
    <row r="678" spans="1:4" ht="15.75" customHeight="1" x14ac:dyDescent="0.25">
      <c r="A678" s="4"/>
      <c r="B678" s="4"/>
      <c r="C678" s="4"/>
      <c r="D678" s="4"/>
    </row>
    <row r="679" spans="1:4" ht="15.75" customHeight="1" x14ac:dyDescent="0.25">
      <c r="A679" s="4"/>
      <c r="B679" s="4"/>
      <c r="C679" s="4"/>
      <c r="D679" s="4"/>
    </row>
    <row r="680" spans="1:4" ht="15.75" customHeight="1" x14ac:dyDescent="0.25">
      <c r="A680" s="4"/>
      <c r="B680" s="4"/>
      <c r="C680" s="4"/>
      <c r="D680" s="4"/>
    </row>
    <row r="681" spans="1:4" ht="15.75" customHeight="1" x14ac:dyDescent="0.25">
      <c r="A681" s="4"/>
      <c r="B681" s="4"/>
      <c r="C681" s="4"/>
      <c r="D681" s="4"/>
    </row>
    <row r="682" spans="1:4" ht="15.75" customHeight="1" x14ac:dyDescent="0.25">
      <c r="A682" s="4"/>
      <c r="B682" s="4"/>
      <c r="C682" s="4"/>
      <c r="D682" s="4"/>
    </row>
    <row r="683" spans="1:4" ht="15.75" customHeight="1" x14ac:dyDescent="0.25">
      <c r="A683" s="4"/>
      <c r="B683" s="4"/>
      <c r="C683" s="4"/>
      <c r="D683" s="4"/>
    </row>
    <row r="684" spans="1:4" ht="15.75" customHeight="1" x14ac:dyDescent="0.25">
      <c r="A684" s="4"/>
      <c r="B684" s="4"/>
      <c r="C684" s="4"/>
      <c r="D684" s="4"/>
    </row>
    <row r="685" spans="1:4" ht="15.75" customHeight="1" x14ac:dyDescent="0.25">
      <c r="A685" s="4"/>
      <c r="B685" s="4"/>
      <c r="C685" s="4"/>
      <c r="D685" s="4"/>
    </row>
    <row r="686" spans="1:4" ht="15.75" customHeight="1" x14ac:dyDescent="0.25">
      <c r="A686" s="4"/>
      <c r="B686" s="4"/>
      <c r="C686" s="4"/>
      <c r="D686" s="4"/>
    </row>
    <row r="687" spans="1:4" ht="15.75" customHeight="1" x14ac:dyDescent="0.25">
      <c r="A687" s="4"/>
      <c r="B687" s="4"/>
      <c r="C687" s="4"/>
      <c r="D687" s="4"/>
    </row>
    <row r="688" spans="1:4" ht="15.75" customHeight="1" x14ac:dyDescent="0.25">
      <c r="A688" s="4"/>
      <c r="B688" s="4"/>
      <c r="C688" s="4"/>
      <c r="D688" s="4"/>
    </row>
    <row r="689" spans="1:4" ht="15.75" customHeight="1" x14ac:dyDescent="0.25">
      <c r="A689" s="4"/>
      <c r="B689" s="4"/>
      <c r="C689" s="4"/>
      <c r="D689" s="4"/>
    </row>
    <row r="690" spans="1:4" ht="15.75" customHeight="1" x14ac:dyDescent="0.25">
      <c r="A690" s="4"/>
      <c r="B690" s="4"/>
      <c r="C690" s="4"/>
      <c r="D690" s="4"/>
    </row>
    <row r="691" spans="1:4" ht="15.75" customHeight="1" x14ac:dyDescent="0.25">
      <c r="A691" s="4"/>
      <c r="B691" s="4"/>
      <c r="C691" s="4"/>
      <c r="D691" s="4"/>
    </row>
    <row r="692" spans="1:4" ht="15.75" customHeight="1" x14ac:dyDescent="0.25">
      <c r="A692" s="4"/>
      <c r="B692" s="4"/>
      <c r="C692" s="4"/>
      <c r="D692" s="4"/>
    </row>
    <row r="693" spans="1:4" ht="15.75" customHeight="1" x14ac:dyDescent="0.25">
      <c r="A693" s="4"/>
      <c r="B693" s="4"/>
      <c r="C693" s="4"/>
      <c r="D693" s="4"/>
    </row>
    <row r="694" spans="1:4" ht="15.75" customHeight="1" x14ac:dyDescent="0.25">
      <c r="A694" s="4"/>
      <c r="B694" s="4"/>
      <c r="C694" s="4"/>
      <c r="D694" s="4"/>
    </row>
    <row r="695" spans="1:4" ht="15.75" customHeight="1" x14ac:dyDescent="0.25">
      <c r="A695" s="4"/>
      <c r="B695" s="4"/>
      <c r="C695" s="4"/>
      <c r="D695" s="4"/>
    </row>
    <row r="696" spans="1:4" ht="15.75" customHeight="1" x14ac:dyDescent="0.25">
      <c r="A696" s="4"/>
      <c r="B696" s="4"/>
      <c r="C696" s="4"/>
      <c r="D696" s="4"/>
    </row>
    <row r="697" spans="1:4" ht="15.75" customHeight="1" x14ac:dyDescent="0.25">
      <c r="A697" s="4"/>
      <c r="B697" s="4"/>
      <c r="C697" s="4"/>
      <c r="D697" s="4"/>
    </row>
    <row r="698" spans="1:4" ht="15.75" customHeight="1" x14ac:dyDescent="0.25">
      <c r="A698" s="4"/>
      <c r="B698" s="4"/>
      <c r="C698" s="4"/>
      <c r="D698" s="4"/>
    </row>
    <row r="699" spans="1:4" ht="15.75" customHeight="1" x14ac:dyDescent="0.25">
      <c r="A699" s="4"/>
      <c r="B699" s="4"/>
      <c r="C699" s="4"/>
      <c r="D699" s="4"/>
    </row>
    <row r="700" spans="1:4" ht="15.75" customHeight="1" x14ac:dyDescent="0.25">
      <c r="A700" s="4"/>
      <c r="B700" s="4"/>
      <c r="C700" s="4"/>
      <c r="D700" s="4"/>
    </row>
    <row r="701" spans="1:4" ht="15.75" customHeight="1" x14ac:dyDescent="0.25">
      <c r="A701" s="4"/>
      <c r="B701" s="4"/>
      <c r="C701" s="4"/>
      <c r="D701" s="4"/>
    </row>
    <row r="702" spans="1:4" ht="15.75" customHeight="1" x14ac:dyDescent="0.25">
      <c r="A702" s="4"/>
      <c r="B702" s="4"/>
      <c r="C702" s="4"/>
      <c r="D702" s="4"/>
    </row>
    <row r="703" spans="1:4" ht="15.75" customHeight="1" x14ac:dyDescent="0.25">
      <c r="A703" s="4"/>
      <c r="B703" s="4"/>
      <c r="C703" s="4"/>
      <c r="D703" s="4"/>
    </row>
    <row r="704" spans="1:4" ht="15.75" customHeight="1" x14ac:dyDescent="0.25">
      <c r="A704" s="4"/>
      <c r="B704" s="4"/>
      <c r="C704" s="4"/>
      <c r="D704" s="4"/>
    </row>
    <row r="705" spans="1:4" ht="15.75" customHeight="1" x14ac:dyDescent="0.25">
      <c r="A705" s="4"/>
      <c r="B705" s="4"/>
      <c r="C705" s="4"/>
      <c r="D705" s="4"/>
    </row>
    <row r="706" spans="1:4" ht="15.75" customHeight="1" x14ac:dyDescent="0.25">
      <c r="A706" s="4"/>
      <c r="B706" s="4"/>
      <c r="C706" s="4"/>
      <c r="D706" s="4"/>
    </row>
    <row r="707" spans="1:4" ht="15.75" customHeight="1" x14ac:dyDescent="0.25">
      <c r="A707" s="4"/>
      <c r="B707" s="4"/>
      <c r="C707" s="4"/>
      <c r="D707" s="4"/>
    </row>
    <row r="708" spans="1:4" ht="15.75" customHeight="1" x14ac:dyDescent="0.25">
      <c r="A708" s="4"/>
      <c r="B708" s="4"/>
      <c r="C708" s="4"/>
      <c r="D708" s="4"/>
    </row>
    <row r="709" spans="1:4" ht="15.75" customHeight="1" x14ac:dyDescent="0.25">
      <c r="A709" s="4"/>
      <c r="B709" s="4"/>
      <c r="C709" s="4"/>
      <c r="D709" s="4"/>
    </row>
    <row r="710" spans="1:4" ht="15.75" customHeight="1" x14ac:dyDescent="0.25">
      <c r="A710" s="4"/>
      <c r="B710" s="4"/>
      <c r="C710" s="4"/>
      <c r="D710" s="4"/>
    </row>
    <row r="711" spans="1:4" ht="15.75" customHeight="1" x14ac:dyDescent="0.25">
      <c r="A711" s="4"/>
      <c r="B711" s="4"/>
      <c r="C711" s="4"/>
      <c r="D711" s="4"/>
    </row>
    <row r="712" spans="1:4" ht="15.75" customHeight="1" x14ac:dyDescent="0.25">
      <c r="A712" s="4"/>
      <c r="B712" s="4"/>
      <c r="C712" s="4"/>
      <c r="D712" s="4"/>
    </row>
    <row r="713" spans="1:4" ht="15.75" customHeight="1" x14ac:dyDescent="0.25">
      <c r="A713" s="4"/>
      <c r="B713" s="4"/>
      <c r="C713" s="4"/>
      <c r="D713" s="4"/>
    </row>
    <row r="714" spans="1:4" ht="15.75" customHeight="1" x14ac:dyDescent="0.25">
      <c r="A714" s="4"/>
      <c r="B714" s="4"/>
      <c r="C714" s="4"/>
      <c r="D714" s="4"/>
    </row>
    <row r="715" spans="1:4" ht="15.75" customHeight="1" x14ac:dyDescent="0.25">
      <c r="A715" s="4"/>
      <c r="B715" s="4"/>
      <c r="C715" s="4"/>
      <c r="D715" s="4"/>
    </row>
    <row r="716" spans="1:4" ht="15.75" customHeight="1" x14ac:dyDescent="0.25">
      <c r="A716" s="4"/>
      <c r="B716" s="4"/>
      <c r="C716" s="4"/>
      <c r="D716" s="4"/>
    </row>
    <row r="717" spans="1:4" ht="15.75" customHeight="1" x14ac:dyDescent="0.25">
      <c r="A717" s="4"/>
      <c r="B717" s="4"/>
      <c r="C717" s="4"/>
      <c r="D717" s="4"/>
    </row>
    <row r="718" spans="1:4" ht="15.75" customHeight="1" x14ac:dyDescent="0.25">
      <c r="A718" s="4"/>
      <c r="B718" s="4"/>
      <c r="C718" s="4"/>
      <c r="D718" s="4"/>
    </row>
    <row r="719" spans="1:4" ht="15.75" customHeight="1" x14ac:dyDescent="0.25">
      <c r="A719" s="4"/>
      <c r="B719" s="4"/>
      <c r="C719" s="4"/>
      <c r="D719" s="4"/>
    </row>
    <row r="720" spans="1:4" ht="15.75" customHeight="1" x14ac:dyDescent="0.25">
      <c r="A720" s="4"/>
      <c r="B720" s="4"/>
      <c r="C720" s="4"/>
      <c r="D720" s="4"/>
    </row>
    <row r="721" spans="1:4" ht="15.75" customHeight="1" x14ac:dyDescent="0.25">
      <c r="A721" s="4"/>
      <c r="B721" s="4"/>
      <c r="C721" s="4"/>
      <c r="D721" s="4"/>
    </row>
    <row r="722" spans="1:4" ht="15.75" customHeight="1" x14ac:dyDescent="0.25">
      <c r="A722" s="4"/>
      <c r="B722" s="4"/>
      <c r="C722" s="4"/>
      <c r="D722" s="4"/>
    </row>
    <row r="723" spans="1:4" ht="15.75" customHeight="1" x14ac:dyDescent="0.25">
      <c r="A723" s="4"/>
      <c r="B723" s="4"/>
      <c r="C723" s="4"/>
      <c r="D723" s="4"/>
    </row>
    <row r="724" spans="1:4" ht="15.75" customHeight="1" x14ac:dyDescent="0.25">
      <c r="A724" s="4"/>
      <c r="B724" s="4"/>
      <c r="C724" s="4"/>
      <c r="D724" s="4"/>
    </row>
    <row r="725" spans="1:4" ht="15.75" customHeight="1" x14ac:dyDescent="0.25">
      <c r="A725" s="4"/>
      <c r="B725" s="4"/>
      <c r="C725" s="4"/>
      <c r="D725" s="4"/>
    </row>
    <row r="726" spans="1:4" ht="15.75" customHeight="1" x14ac:dyDescent="0.25">
      <c r="A726" s="4"/>
      <c r="B726" s="4"/>
      <c r="C726" s="4"/>
      <c r="D726" s="4"/>
    </row>
    <row r="727" spans="1:4" ht="15.75" customHeight="1" x14ac:dyDescent="0.25">
      <c r="A727" s="4"/>
      <c r="B727" s="4"/>
      <c r="C727" s="4"/>
      <c r="D727" s="4"/>
    </row>
    <row r="728" spans="1:4" ht="15.75" customHeight="1" x14ac:dyDescent="0.25">
      <c r="A728" s="4"/>
      <c r="B728" s="4"/>
      <c r="C728" s="4"/>
      <c r="D728" s="4"/>
    </row>
    <row r="729" spans="1:4" ht="15.75" customHeight="1" x14ac:dyDescent="0.25">
      <c r="A729" s="4"/>
      <c r="B729" s="4"/>
      <c r="C729" s="4"/>
      <c r="D729" s="4"/>
    </row>
    <row r="730" spans="1:4" ht="15.75" customHeight="1" x14ac:dyDescent="0.25">
      <c r="A730" s="4"/>
      <c r="B730" s="4"/>
      <c r="C730" s="4"/>
      <c r="D730" s="4"/>
    </row>
    <row r="731" spans="1:4" ht="15.75" customHeight="1" x14ac:dyDescent="0.25">
      <c r="A731" s="4"/>
      <c r="B731" s="4"/>
      <c r="C731" s="4"/>
      <c r="D731" s="4"/>
    </row>
    <row r="732" spans="1:4" ht="15.75" customHeight="1" x14ac:dyDescent="0.25">
      <c r="A732" s="4"/>
      <c r="B732" s="4"/>
      <c r="C732" s="4"/>
      <c r="D732" s="4"/>
    </row>
    <row r="733" spans="1:4" ht="15.75" customHeight="1" x14ac:dyDescent="0.25">
      <c r="A733" s="4"/>
      <c r="B733" s="4"/>
      <c r="C733" s="4"/>
      <c r="D733" s="4"/>
    </row>
    <row r="734" spans="1:4" ht="15.75" customHeight="1" x14ac:dyDescent="0.25">
      <c r="A734" s="4"/>
      <c r="B734" s="4"/>
      <c r="C734" s="4"/>
      <c r="D734" s="4"/>
    </row>
    <row r="735" spans="1:4" ht="15.75" customHeight="1" x14ac:dyDescent="0.25">
      <c r="A735" s="4"/>
      <c r="B735" s="4"/>
      <c r="C735" s="4"/>
      <c r="D735" s="4"/>
    </row>
    <row r="736" spans="1:4" ht="15.75" customHeight="1" x14ac:dyDescent="0.25">
      <c r="A736" s="4"/>
      <c r="B736" s="4"/>
      <c r="C736" s="4"/>
      <c r="D736" s="4"/>
    </row>
    <row r="737" spans="1:4" ht="15.75" customHeight="1" x14ac:dyDescent="0.25">
      <c r="A737" s="4"/>
      <c r="B737" s="4"/>
      <c r="C737" s="4"/>
      <c r="D737" s="4"/>
    </row>
    <row r="738" spans="1:4" ht="15.75" customHeight="1" x14ac:dyDescent="0.25">
      <c r="A738" s="4"/>
      <c r="B738" s="4"/>
      <c r="C738" s="4"/>
      <c r="D738" s="4"/>
    </row>
    <row r="739" spans="1:4" ht="15.75" customHeight="1" x14ac:dyDescent="0.25">
      <c r="A739" s="4"/>
      <c r="B739" s="4"/>
      <c r="C739" s="4"/>
      <c r="D739" s="4"/>
    </row>
    <row r="740" spans="1:4" ht="15.75" customHeight="1" x14ac:dyDescent="0.25">
      <c r="A740" s="4"/>
      <c r="B740" s="4"/>
      <c r="C740" s="4"/>
      <c r="D740" s="4"/>
    </row>
    <row r="741" spans="1:4" ht="15.75" customHeight="1" x14ac:dyDescent="0.25">
      <c r="A741" s="4"/>
      <c r="B741" s="4"/>
      <c r="C741" s="4"/>
      <c r="D741" s="4"/>
    </row>
    <row r="742" spans="1:4" ht="15.75" customHeight="1" x14ac:dyDescent="0.25">
      <c r="A742" s="4"/>
      <c r="B742" s="4"/>
      <c r="C742" s="4"/>
      <c r="D742" s="4"/>
    </row>
    <row r="743" spans="1:4" ht="15.75" customHeight="1" x14ac:dyDescent="0.25">
      <c r="A743" s="4"/>
      <c r="B743" s="4"/>
      <c r="C743" s="4"/>
      <c r="D743" s="4"/>
    </row>
    <row r="744" spans="1:4" ht="15.75" customHeight="1" x14ac:dyDescent="0.25">
      <c r="A744" s="4"/>
      <c r="B744" s="4"/>
      <c r="C744" s="4"/>
      <c r="D744" s="4"/>
    </row>
    <row r="745" spans="1:4" ht="15.75" customHeight="1" x14ac:dyDescent="0.25">
      <c r="A745" s="4"/>
      <c r="B745" s="4"/>
      <c r="C745" s="4"/>
      <c r="D745" s="4"/>
    </row>
    <row r="746" spans="1:4" ht="15.75" customHeight="1" x14ac:dyDescent="0.25">
      <c r="A746" s="4"/>
      <c r="B746" s="4"/>
      <c r="C746" s="4"/>
      <c r="D746" s="4"/>
    </row>
    <row r="747" spans="1:4" ht="15.75" customHeight="1" x14ac:dyDescent="0.25">
      <c r="A747" s="4"/>
      <c r="B747" s="4"/>
      <c r="C747" s="4"/>
      <c r="D747" s="4"/>
    </row>
    <row r="748" spans="1:4" ht="15.75" customHeight="1" x14ac:dyDescent="0.25">
      <c r="A748" s="4"/>
      <c r="B748" s="4"/>
      <c r="C748" s="4"/>
      <c r="D748" s="4"/>
    </row>
    <row r="749" spans="1:4" ht="15.75" customHeight="1" x14ac:dyDescent="0.25">
      <c r="A749" s="4"/>
      <c r="B749" s="4"/>
      <c r="C749" s="4"/>
      <c r="D749" s="4"/>
    </row>
    <row r="750" spans="1:4" ht="15.75" customHeight="1" x14ac:dyDescent="0.25">
      <c r="A750" s="4"/>
      <c r="B750" s="4"/>
      <c r="C750" s="4"/>
      <c r="D750" s="4"/>
    </row>
    <row r="751" spans="1:4" ht="15.75" customHeight="1" x14ac:dyDescent="0.25">
      <c r="A751" s="4"/>
      <c r="B751" s="4"/>
      <c r="C751" s="4"/>
      <c r="D751" s="4"/>
    </row>
    <row r="752" spans="1:4" ht="15.75" customHeight="1" x14ac:dyDescent="0.25">
      <c r="A752" s="4"/>
      <c r="B752" s="4"/>
      <c r="C752" s="4"/>
      <c r="D752" s="4"/>
    </row>
    <row r="753" spans="1:4" ht="15.75" customHeight="1" x14ac:dyDescent="0.25">
      <c r="A753" s="4"/>
      <c r="B753" s="4"/>
      <c r="C753" s="4"/>
      <c r="D753" s="4"/>
    </row>
    <row r="754" spans="1:4" ht="15.75" customHeight="1" x14ac:dyDescent="0.25">
      <c r="A754" s="4"/>
      <c r="B754" s="4"/>
      <c r="C754" s="4"/>
      <c r="D754" s="4"/>
    </row>
    <row r="755" spans="1:4" ht="15.75" customHeight="1" x14ac:dyDescent="0.25">
      <c r="A755" s="4"/>
      <c r="B755" s="4"/>
      <c r="C755" s="4"/>
      <c r="D755" s="4"/>
    </row>
    <row r="756" spans="1:4" ht="15.75" customHeight="1" x14ac:dyDescent="0.25">
      <c r="A756" s="4"/>
      <c r="B756" s="4"/>
      <c r="C756" s="4"/>
      <c r="D756" s="4"/>
    </row>
    <row r="757" spans="1:4" ht="15.75" customHeight="1" x14ac:dyDescent="0.25">
      <c r="A757" s="4"/>
      <c r="B757" s="4"/>
      <c r="C757" s="4"/>
      <c r="D757" s="4"/>
    </row>
    <row r="758" spans="1:4" ht="15.75" customHeight="1" x14ac:dyDescent="0.25">
      <c r="A758" s="4"/>
      <c r="B758" s="4"/>
      <c r="C758" s="4"/>
      <c r="D758" s="4"/>
    </row>
    <row r="759" spans="1:4" ht="15.75" customHeight="1" x14ac:dyDescent="0.25">
      <c r="A759" s="4"/>
      <c r="B759" s="4"/>
      <c r="C759" s="4"/>
      <c r="D759" s="4"/>
    </row>
    <row r="760" spans="1:4" ht="15.75" customHeight="1" x14ac:dyDescent="0.25">
      <c r="A760" s="4"/>
      <c r="B760" s="4"/>
      <c r="C760" s="4"/>
      <c r="D760" s="4"/>
    </row>
    <row r="761" spans="1:4" ht="15.75" customHeight="1" x14ac:dyDescent="0.25">
      <c r="A761" s="4"/>
      <c r="B761" s="4"/>
      <c r="C761" s="4"/>
      <c r="D761" s="4"/>
    </row>
    <row r="762" spans="1:4" ht="15.75" customHeight="1" x14ac:dyDescent="0.25">
      <c r="A762" s="4"/>
      <c r="B762" s="4"/>
      <c r="C762" s="4"/>
      <c r="D762" s="4"/>
    </row>
    <row r="763" spans="1:4" ht="15.75" customHeight="1" x14ac:dyDescent="0.25">
      <c r="A763" s="4"/>
      <c r="B763" s="4"/>
      <c r="C763" s="4"/>
      <c r="D763" s="4"/>
    </row>
    <row r="764" spans="1:4" ht="15.75" customHeight="1" x14ac:dyDescent="0.25">
      <c r="A764" s="4"/>
      <c r="B764" s="4"/>
      <c r="C764" s="4"/>
      <c r="D764" s="4"/>
    </row>
    <row r="765" spans="1:4" ht="15.75" customHeight="1" x14ac:dyDescent="0.25">
      <c r="A765" s="4"/>
      <c r="B765" s="4"/>
      <c r="C765" s="4"/>
      <c r="D765" s="4"/>
    </row>
    <row r="766" spans="1:4" ht="15.75" customHeight="1" x14ac:dyDescent="0.25">
      <c r="A766" s="4"/>
      <c r="B766" s="4"/>
      <c r="C766" s="4"/>
      <c r="D766" s="4"/>
    </row>
    <row r="767" spans="1:4" ht="15.75" customHeight="1" x14ac:dyDescent="0.25">
      <c r="A767" s="4"/>
      <c r="B767" s="4"/>
      <c r="C767" s="4"/>
      <c r="D767" s="4"/>
    </row>
    <row r="768" spans="1:4" ht="15.75" customHeight="1" x14ac:dyDescent="0.25">
      <c r="A768" s="4"/>
      <c r="B768" s="4"/>
      <c r="C768" s="4"/>
      <c r="D768" s="4"/>
    </row>
    <row r="769" spans="1:4" ht="15.75" customHeight="1" x14ac:dyDescent="0.25">
      <c r="A769" s="4"/>
      <c r="B769" s="4"/>
      <c r="C769" s="4"/>
      <c r="D769" s="4"/>
    </row>
    <row r="770" spans="1:4" ht="15.75" customHeight="1" x14ac:dyDescent="0.25">
      <c r="A770" s="4"/>
      <c r="B770" s="4"/>
      <c r="C770" s="4"/>
      <c r="D770" s="4"/>
    </row>
    <row r="771" spans="1:4" ht="15.75" customHeight="1" x14ac:dyDescent="0.25">
      <c r="A771" s="4"/>
      <c r="B771" s="4"/>
      <c r="C771" s="4"/>
      <c r="D771" s="4"/>
    </row>
    <row r="772" spans="1:4" ht="15.75" customHeight="1" x14ac:dyDescent="0.25">
      <c r="A772" s="4"/>
      <c r="B772" s="4"/>
      <c r="C772" s="4"/>
      <c r="D772" s="4"/>
    </row>
    <row r="773" spans="1:4" ht="15.75" customHeight="1" x14ac:dyDescent="0.25">
      <c r="A773" s="4"/>
      <c r="B773" s="4"/>
      <c r="C773" s="4"/>
      <c r="D773" s="4"/>
    </row>
    <row r="774" spans="1:4" ht="15.75" customHeight="1" x14ac:dyDescent="0.25">
      <c r="A774" s="4"/>
      <c r="B774" s="4"/>
      <c r="C774" s="4"/>
      <c r="D774" s="4"/>
    </row>
    <row r="775" spans="1:4" ht="15.75" customHeight="1" x14ac:dyDescent="0.25">
      <c r="A775" s="4"/>
      <c r="B775" s="4"/>
      <c r="C775" s="4"/>
      <c r="D775" s="4"/>
    </row>
    <row r="776" spans="1:4" ht="15.75" customHeight="1" x14ac:dyDescent="0.25">
      <c r="A776" s="4"/>
      <c r="B776" s="4"/>
      <c r="C776" s="4"/>
      <c r="D776" s="4"/>
    </row>
    <row r="777" spans="1:4" ht="15.75" customHeight="1" x14ac:dyDescent="0.25">
      <c r="A777" s="4"/>
      <c r="B777" s="4"/>
      <c r="C777" s="4"/>
      <c r="D777" s="4"/>
    </row>
    <row r="778" spans="1:4" ht="15.75" customHeight="1" x14ac:dyDescent="0.25">
      <c r="A778" s="4"/>
      <c r="B778" s="4"/>
      <c r="C778" s="4"/>
      <c r="D778" s="4"/>
    </row>
    <row r="779" spans="1:4" ht="15.75" customHeight="1" x14ac:dyDescent="0.25">
      <c r="A779" s="4"/>
      <c r="B779" s="4"/>
      <c r="C779" s="4"/>
      <c r="D779" s="4"/>
    </row>
    <row r="780" spans="1:4" ht="15.75" customHeight="1" x14ac:dyDescent="0.25">
      <c r="A780" s="4"/>
      <c r="B780" s="4"/>
      <c r="C780" s="4"/>
      <c r="D780" s="4"/>
    </row>
    <row r="781" spans="1:4" ht="15.75" customHeight="1" x14ac:dyDescent="0.25">
      <c r="A781" s="4"/>
      <c r="B781" s="4"/>
      <c r="C781" s="4"/>
      <c r="D781" s="4"/>
    </row>
    <row r="782" spans="1:4" ht="15.75" customHeight="1" x14ac:dyDescent="0.25">
      <c r="A782" s="4"/>
      <c r="B782" s="4"/>
      <c r="C782" s="4"/>
      <c r="D782" s="4"/>
    </row>
    <row r="783" spans="1:4" ht="15.75" customHeight="1" x14ac:dyDescent="0.25">
      <c r="A783" s="4"/>
      <c r="B783" s="4"/>
      <c r="C783" s="4"/>
      <c r="D783" s="4"/>
    </row>
    <row r="784" spans="1:4" ht="15.75" customHeight="1" x14ac:dyDescent="0.25">
      <c r="A784" s="4"/>
      <c r="B784" s="4"/>
      <c r="C784" s="4"/>
      <c r="D784" s="4"/>
    </row>
    <row r="785" spans="1:4" ht="15.75" customHeight="1" x14ac:dyDescent="0.25">
      <c r="A785" s="4"/>
      <c r="B785" s="4"/>
      <c r="C785" s="4"/>
      <c r="D785" s="4"/>
    </row>
    <row r="786" spans="1:4" ht="15.75" customHeight="1" x14ac:dyDescent="0.25">
      <c r="A786" s="4"/>
      <c r="B786" s="4"/>
      <c r="C786" s="4"/>
      <c r="D786" s="4"/>
    </row>
    <row r="787" spans="1:4" ht="15.75" customHeight="1" x14ac:dyDescent="0.25">
      <c r="A787" s="4"/>
      <c r="B787" s="4"/>
      <c r="C787" s="4"/>
      <c r="D787" s="4"/>
    </row>
    <row r="788" spans="1:4" ht="15.75" customHeight="1" x14ac:dyDescent="0.25">
      <c r="A788" s="4"/>
      <c r="B788" s="4"/>
      <c r="C788" s="4"/>
      <c r="D788" s="4"/>
    </row>
    <row r="789" spans="1:4" ht="15.75" customHeight="1" x14ac:dyDescent="0.25">
      <c r="A789" s="4"/>
      <c r="B789" s="4"/>
      <c r="C789" s="4"/>
      <c r="D789" s="4"/>
    </row>
    <row r="790" spans="1:4" ht="15.75" customHeight="1" x14ac:dyDescent="0.25">
      <c r="A790" s="4"/>
      <c r="B790" s="4"/>
      <c r="C790" s="4"/>
      <c r="D790" s="4"/>
    </row>
    <row r="791" spans="1:4" ht="15.75" customHeight="1" x14ac:dyDescent="0.25">
      <c r="A791" s="4"/>
      <c r="B791" s="4"/>
      <c r="C791" s="4"/>
      <c r="D791" s="4"/>
    </row>
    <row r="792" spans="1:4" ht="15.75" customHeight="1" x14ac:dyDescent="0.25">
      <c r="A792" s="4"/>
      <c r="B792" s="4"/>
      <c r="C792" s="4"/>
      <c r="D792" s="4"/>
    </row>
    <row r="793" spans="1:4" ht="15.75" customHeight="1" x14ac:dyDescent="0.25">
      <c r="A793" s="4"/>
      <c r="B793" s="4"/>
      <c r="C793" s="4"/>
      <c r="D793" s="4"/>
    </row>
    <row r="794" spans="1:4" ht="15.75" customHeight="1" x14ac:dyDescent="0.25">
      <c r="A794" s="4"/>
      <c r="B794" s="4"/>
      <c r="C794" s="4"/>
      <c r="D794" s="4"/>
    </row>
    <row r="795" spans="1:4" ht="15.75" customHeight="1" x14ac:dyDescent="0.25">
      <c r="A795" s="4"/>
      <c r="B795" s="4"/>
      <c r="C795" s="4"/>
      <c r="D795" s="4"/>
    </row>
    <row r="796" spans="1:4" ht="15.75" customHeight="1" x14ac:dyDescent="0.25">
      <c r="A796" s="4"/>
      <c r="B796" s="4"/>
      <c r="C796" s="4"/>
      <c r="D796" s="4"/>
    </row>
    <row r="797" spans="1:4" ht="15.75" customHeight="1" x14ac:dyDescent="0.25">
      <c r="A797" s="4"/>
      <c r="B797" s="4"/>
      <c r="C797" s="4"/>
      <c r="D797" s="4"/>
    </row>
    <row r="798" spans="1:4" ht="15.75" customHeight="1" x14ac:dyDescent="0.25">
      <c r="A798" s="4"/>
      <c r="B798" s="4"/>
      <c r="C798" s="4"/>
      <c r="D798" s="4"/>
    </row>
    <row r="799" spans="1:4" ht="15.75" customHeight="1" x14ac:dyDescent="0.25">
      <c r="A799" s="4"/>
      <c r="B799" s="4"/>
      <c r="C799" s="4"/>
      <c r="D799" s="4"/>
    </row>
    <row r="800" spans="1:4" ht="15.75" customHeight="1" x14ac:dyDescent="0.25">
      <c r="A800" s="4"/>
      <c r="B800" s="4"/>
      <c r="C800" s="4"/>
      <c r="D800" s="4"/>
    </row>
    <row r="801" spans="1:4" ht="15.75" customHeight="1" x14ac:dyDescent="0.25">
      <c r="A801" s="4"/>
      <c r="B801" s="4"/>
      <c r="C801" s="4"/>
      <c r="D801" s="4"/>
    </row>
    <row r="802" spans="1:4" ht="15.75" customHeight="1" x14ac:dyDescent="0.25">
      <c r="A802" s="4"/>
      <c r="B802" s="4"/>
      <c r="C802" s="4"/>
      <c r="D802" s="4"/>
    </row>
    <row r="803" spans="1:4" ht="15.75" customHeight="1" x14ac:dyDescent="0.25">
      <c r="A803" s="4"/>
      <c r="B803" s="4"/>
      <c r="C803" s="4"/>
      <c r="D803" s="4"/>
    </row>
    <row r="804" spans="1:4" ht="15.75" customHeight="1" x14ac:dyDescent="0.25">
      <c r="A804" s="4"/>
      <c r="B804" s="4"/>
      <c r="C804" s="4"/>
      <c r="D804" s="4"/>
    </row>
    <row r="805" spans="1:4" ht="15.75" customHeight="1" x14ac:dyDescent="0.25">
      <c r="A805" s="4"/>
      <c r="B805" s="4"/>
      <c r="C805" s="4"/>
      <c r="D805" s="4"/>
    </row>
    <row r="806" spans="1:4" ht="15.75" customHeight="1" x14ac:dyDescent="0.25">
      <c r="A806" s="4"/>
      <c r="B806" s="4"/>
      <c r="C806" s="4"/>
      <c r="D806" s="4"/>
    </row>
    <row r="807" spans="1:4" ht="15.75" customHeight="1" x14ac:dyDescent="0.25">
      <c r="A807" s="4"/>
      <c r="B807" s="4"/>
      <c r="C807" s="4"/>
      <c r="D807" s="4"/>
    </row>
    <row r="808" spans="1:4" ht="15.75" customHeight="1" x14ac:dyDescent="0.25">
      <c r="A808" s="4"/>
      <c r="B808" s="4"/>
      <c r="C808" s="4"/>
      <c r="D808" s="4"/>
    </row>
    <row r="809" spans="1:4" ht="15.75" customHeight="1" x14ac:dyDescent="0.25">
      <c r="A809" s="4"/>
      <c r="B809" s="4"/>
      <c r="C809" s="4"/>
      <c r="D809" s="4"/>
    </row>
    <row r="810" spans="1:4" ht="15.75" customHeight="1" x14ac:dyDescent="0.25">
      <c r="A810" s="4"/>
      <c r="B810" s="4"/>
      <c r="C810" s="4"/>
      <c r="D810" s="4"/>
    </row>
    <row r="811" spans="1:4" ht="15.75" customHeight="1" x14ac:dyDescent="0.25">
      <c r="A811" s="4"/>
      <c r="B811" s="4"/>
      <c r="C811" s="4"/>
      <c r="D811" s="4"/>
    </row>
    <row r="812" spans="1:4" ht="15.75" customHeight="1" x14ac:dyDescent="0.25">
      <c r="A812" s="4"/>
      <c r="B812" s="4"/>
      <c r="C812" s="4"/>
      <c r="D812" s="4"/>
    </row>
    <row r="813" spans="1:4" ht="15.75" customHeight="1" x14ac:dyDescent="0.25">
      <c r="A813" s="4"/>
      <c r="B813" s="4"/>
      <c r="C813" s="4"/>
      <c r="D813" s="4"/>
    </row>
    <row r="814" spans="1:4" ht="15.75" customHeight="1" x14ac:dyDescent="0.25">
      <c r="A814" s="4"/>
      <c r="B814" s="4"/>
      <c r="C814" s="4"/>
      <c r="D814" s="4"/>
    </row>
    <row r="815" spans="1:4" ht="15.75" customHeight="1" x14ac:dyDescent="0.25">
      <c r="A815" s="4"/>
      <c r="B815" s="4"/>
      <c r="C815" s="4"/>
      <c r="D815" s="4"/>
    </row>
    <row r="816" spans="1:4" ht="15.75" customHeight="1" x14ac:dyDescent="0.25">
      <c r="A816" s="4"/>
      <c r="B816" s="4"/>
      <c r="C816" s="4"/>
      <c r="D816" s="4"/>
    </row>
    <row r="817" spans="1:4" ht="15.75" customHeight="1" x14ac:dyDescent="0.25">
      <c r="A817" s="4"/>
      <c r="B817" s="4"/>
      <c r="C817" s="4"/>
      <c r="D817" s="4"/>
    </row>
    <row r="818" spans="1:4" ht="15.75" customHeight="1" x14ac:dyDescent="0.25">
      <c r="A818" s="4"/>
      <c r="B818" s="4"/>
      <c r="C818" s="4"/>
      <c r="D818" s="4"/>
    </row>
    <row r="819" spans="1:4" ht="15.75" customHeight="1" x14ac:dyDescent="0.25">
      <c r="A819" s="4"/>
      <c r="B819" s="4"/>
      <c r="C819" s="4"/>
      <c r="D819" s="4"/>
    </row>
    <row r="820" spans="1:4" ht="15.75" customHeight="1" x14ac:dyDescent="0.25">
      <c r="A820" s="4"/>
      <c r="B820" s="4"/>
      <c r="C820" s="4"/>
      <c r="D820" s="4"/>
    </row>
    <row r="821" spans="1:4" ht="15.75" customHeight="1" x14ac:dyDescent="0.25">
      <c r="A821" s="4"/>
      <c r="B821" s="4"/>
      <c r="C821" s="4"/>
      <c r="D821" s="4"/>
    </row>
    <row r="822" spans="1:4" ht="15.75" customHeight="1" x14ac:dyDescent="0.25">
      <c r="A822" s="4"/>
      <c r="B822" s="4"/>
      <c r="C822" s="4"/>
      <c r="D822" s="4"/>
    </row>
    <row r="823" spans="1:4" ht="15.75" customHeight="1" x14ac:dyDescent="0.25">
      <c r="A823" s="4"/>
      <c r="B823" s="4"/>
      <c r="C823" s="4"/>
      <c r="D823" s="4"/>
    </row>
    <row r="824" spans="1:4" ht="15.75" customHeight="1" x14ac:dyDescent="0.25">
      <c r="A824" s="4"/>
      <c r="B824" s="4"/>
      <c r="C824" s="4"/>
      <c r="D824" s="4"/>
    </row>
    <row r="825" spans="1:4" ht="15.75" customHeight="1" x14ac:dyDescent="0.25">
      <c r="A825" s="4"/>
      <c r="B825" s="4"/>
      <c r="C825" s="4"/>
      <c r="D825" s="4"/>
    </row>
    <row r="826" spans="1:4" ht="15.75" customHeight="1" x14ac:dyDescent="0.25">
      <c r="A826" s="4"/>
      <c r="B826" s="4"/>
      <c r="C826" s="4"/>
      <c r="D826" s="4"/>
    </row>
    <row r="827" spans="1:4" ht="15.75" customHeight="1" x14ac:dyDescent="0.25">
      <c r="A827" s="4"/>
      <c r="B827" s="4"/>
      <c r="C827" s="4"/>
      <c r="D827" s="4"/>
    </row>
    <row r="828" spans="1:4" ht="15.75" customHeight="1" x14ac:dyDescent="0.25">
      <c r="A828" s="4"/>
      <c r="B828" s="4"/>
      <c r="C828" s="4"/>
      <c r="D828" s="4"/>
    </row>
    <row r="829" spans="1:4" ht="15.75" customHeight="1" x14ac:dyDescent="0.25">
      <c r="A829" s="4"/>
      <c r="B829" s="4"/>
      <c r="C829" s="4"/>
      <c r="D829" s="4"/>
    </row>
    <row r="830" spans="1:4" ht="15.75" customHeight="1" x14ac:dyDescent="0.25">
      <c r="A830" s="4"/>
      <c r="B830" s="4"/>
      <c r="C830" s="4"/>
      <c r="D830" s="4"/>
    </row>
    <row r="831" spans="1:4" ht="15.75" customHeight="1" x14ac:dyDescent="0.25">
      <c r="A831" s="4"/>
      <c r="B831" s="4"/>
      <c r="C831" s="4"/>
      <c r="D831" s="4"/>
    </row>
    <row r="832" spans="1:4" ht="15.75" customHeight="1" x14ac:dyDescent="0.25">
      <c r="A832" s="4"/>
      <c r="B832" s="4"/>
      <c r="C832" s="4"/>
      <c r="D832" s="4"/>
    </row>
    <row r="833" spans="1:4" ht="15.75" customHeight="1" x14ac:dyDescent="0.25">
      <c r="A833" s="4"/>
      <c r="B833" s="4"/>
      <c r="C833" s="4"/>
      <c r="D833" s="4"/>
    </row>
    <row r="834" spans="1:4" ht="15.75" customHeight="1" x14ac:dyDescent="0.25">
      <c r="A834" s="4"/>
      <c r="B834" s="4"/>
      <c r="C834" s="4"/>
      <c r="D834" s="4"/>
    </row>
    <row r="835" spans="1:4" ht="15.75" customHeight="1" x14ac:dyDescent="0.25">
      <c r="A835" s="4"/>
      <c r="B835" s="4"/>
      <c r="C835" s="4"/>
      <c r="D835" s="4"/>
    </row>
    <row r="836" spans="1:4" ht="15.75" customHeight="1" x14ac:dyDescent="0.25">
      <c r="A836" s="4"/>
      <c r="B836" s="4"/>
      <c r="C836" s="4"/>
      <c r="D836" s="4"/>
    </row>
    <row r="837" spans="1:4" ht="15.75" customHeight="1" x14ac:dyDescent="0.25">
      <c r="A837" s="4"/>
      <c r="B837" s="4"/>
      <c r="C837" s="4"/>
      <c r="D837" s="4"/>
    </row>
    <row r="838" spans="1:4" ht="15.75" customHeight="1" x14ac:dyDescent="0.25">
      <c r="A838" s="4"/>
      <c r="B838" s="4"/>
      <c r="C838" s="4"/>
      <c r="D838" s="4"/>
    </row>
    <row r="839" spans="1:4" ht="15.75" customHeight="1" x14ac:dyDescent="0.25">
      <c r="A839" s="4"/>
      <c r="B839" s="4"/>
      <c r="C839" s="4"/>
      <c r="D839" s="4"/>
    </row>
    <row r="840" spans="1:4" ht="15.75" customHeight="1" x14ac:dyDescent="0.25">
      <c r="A840" s="4"/>
      <c r="B840" s="4"/>
      <c r="C840" s="4"/>
      <c r="D840" s="4"/>
    </row>
    <row r="841" spans="1:4" ht="15.75" customHeight="1" x14ac:dyDescent="0.25">
      <c r="A841" s="4"/>
      <c r="B841" s="4"/>
      <c r="C841" s="4"/>
      <c r="D841" s="4"/>
    </row>
    <row r="842" spans="1:4" ht="15.75" customHeight="1" x14ac:dyDescent="0.25">
      <c r="A842" s="4"/>
      <c r="B842" s="4"/>
      <c r="C842" s="4"/>
      <c r="D842" s="4"/>
    </row>
    <row r="843" spans="1:4" ht="15.75" customHeight="1" x14ac:dyDescent="0.25">
      <c r="A843" s="4"/>
      <c r="B843" s="4"/>
      <c r="C843" s="4"/>
      <c r="D843" s="4"/>
    </row>
    <row r="844" spans="1:4" ht="15.75" customHeight="1" x14ac:dyDescent="0.25">
      <c r="A844" s="4"/>
      <c r="B844" s="4"/>
      <c r="C844" s="4"/>
      <c r="D844" s="4"/>
    </row>
    <row r="845" spans="1:4" ht="15.75" customHeight="1" x14ac:dyDescent="0.25">
      <c r="A845" s="4"/>
      <c r="B845" s="4"/>
      <c r="C845" s="4"/>
      <c r="D845" s="4"/>
    </row>
    <row r="846" spans="1:4" ht="15.75" customHeight="1" x14ac:dyDescent="0.25">
      <c r="A846" s="4"/>
      <c r="B846" s="4"/>
      <c r="C846" s="4"/>
      <c r="D846" s="4"/>
    </row>
    <row r="847" spans="1:4" ht="15.75" customHeight="1" x14ac:dyDescent="0.25">
      <c r="A847" s="4"/>
      <c r="B847" s="4"/>
      <c r="C847" s="4"/>
      <c r="D847" s="4"/>
    </row>
    <row r="848" spans="1:4" ht="15.75" customHeight="1" x14ac:dyDescent="0.25">
      <c r="A848" s="4"/>
      <c r="B848" s="4"/>
      <c r="C848" s="4"/>
      <c r="D848" s="4"/>
    </row>
    <row r="849" spans="1:4" ht="15.75" customHeight="1" x14ac:dyDescent="0.25">
      <c r="A849" s="4"/>
      <c r="B849" s="4"/>
      <c r="C849" s="4"/>
      <c r="D849" s="4"/>
    </row>
    <row r="850" spans="1:4" ht="15.75" customHeight="1" x14ac:dyDescent="0.25">
      <c r="A850" s="4"/>
      <c r="B850" s="4"/>
      <c r="C850" s="4"/>
      <c r="D850" s="4"/>
    </row>
    <row r="851" spans="1:4" ht="15.75" customHeight="1" x14ac:dyDescent="0.25">
      <c r="A851" s="4"/>
      <c r="B851" s="4"/>
      <c r="C851" s="4"/>
      <c r="D851" s="4"/>
    </row>
    <row r="852" spans="1:4" ht="15.75" customHeight="1" x14ac:dyDescent="0.25">
      <c r="A852" s="4"/>
      <c r="B852" s="4"/>
      <c r="C852" s="4"/>
      <c r="D852" s="4"/>
    </row>
    <row r="853" spans="1:4" ht="15.75" customHeight="1" x14ac:dyDescent="0.25">
      <c r="A853" s="4"/>
      <c r="B853" s="4"/>
      <c r="C853" s="4"/>
      <c r="D853" s="4"/>
    </row>
    <row r="854" spans="1:4" ht="15.75" customHeight="1" x14ac:dyDescent="0.25">
      <c r="A854" s="4"/>
      <c r="B854" s="4"/>
      <c r="C854" s="4"/>
      <c r="D854" s="4"/>
    </row>
    <row r="855" spans="1:4" ht="15.75" customHeight="1" x14ac:dyDescent="0.25">
      <c r="A855" s="4"/>
      <c r="B855" s="4"/>
      <c r="C855" s="4"/>
      <c r="D855" s="4"/>
    </row>
    <row r="856" spans="1:4" ht="15.75" customHeight="1" x14ac:dyDescent="0.25">
      <c r="A856" s="4"/>
      <c r="B856" s="4"/>
      <c r="C856" s="4"/>
      <c r="D856" s="4"/>
    </row>
    <row r="857" spans="1:4" ht="15.75" customHeight="1" x14ac:dyDescent="0.25">
      <c r="A857" s="4"/>
      <c r="B857" s="4"/>
      <c r="C857" s="4"/>
      <c r="D857" s="4"/>
    </row>
    <row r="858" spans="1:4" ht="15.75" customHeight="1" x14ac:dyDescent="0.25">
      <c r="A858" s="4"/>
      <c r="B858" s="4"/>
      <c r="C858" s="4"/>
      <c r="D858" s="4"/>
    </row>
    <row r="859" spans="1:4" ht="15.75" customHeight="1" x14ac:dyDescent="0.25">
      <c r="A859" s="4"/>
      <c r="B859" s="4"/>
      <c r="C859" s="4"/>
      <c r="D859" s="4"/>
    </row>
    <row r="860" spans="1:4" ht="15.75" customHeight="1" x14ac:dyDescent="0.25">
      <c r="A860" s="4"/>
      <c r="B860" s="4"/>
      <c r="C860" s="4"/>
      <c r="D860" s="4"/>
    </row>
    <row r="861" spans="1:4" ht="15.75" customHeight="1" x14ac:dyDescent="0.25">
      <c r="A861" s="4"/>
      <c r="B861" s="4"/>
      <c r="C861" s="4"/>
      <c r="D861" s="4"/>
    </row>
    <row r="862" spans="1:4" ht="15.75" customHeight="1" x14ac:dyDescent="0.25">
      <c r="A862" s="4"/>
      <c r="B862" s="4"/>
      <c r="C862" s="4"/>
      <c r="D862" s="4"/>
    </row>
    <row r="863" spans="1:4" ht="15.75" customHeight="1" x14ac:dyDescent="0.25">
      <c r="A863" s="4"/>
      <c r="B863" s="4"/>
      <c r="C863" s="4"/>
      <c r="D863" s="4"/>
    </row>
    <row r="864" spans="1:4" ht="15.75" customHeight="1" x14ac:dyDescent="0.25">
      <c r="A864" s="4"/>
      <c r="B864" s="4"/>
      <c r="C864" s="4"/>
      <c r="D864" s="4"/>
    </row>
    <row r="865" spans="1:4" ht="15.75" customHeight="1" x14ac:dyDescent="0.25">
      <c r="A865" s="4"/>
      <c r="B865" s="4"/>
      <c r="C865" s="4"/>
      <c r="D865" s="4"/>
    </row>
    <row r="866" spans="1:4" ht="15.75" customHeight="1" x14ac:dyDescent="0.25">
      <c r="A866" s="4"/>
      <c r="B866" s="4"/>
      <c r="C866" s="4"/>
      <c r="D866" s="4"/>
    </row>
    <row r="867" spans="1:4" ht="15.75" customHeight="1" x14ac:dyDescent="0.25">
      <c r="A867" s="4"/>
      <c r="B867" s="4"/>
      <c r="C867" s="4"/>
      <c r="D867" s="4"/>
    </row>
    <row r="868" spans="1:4" ht="15.75" customHeight="1" x14ac:dyDescent="0.25">
      <c r="A868" s="4"/>
      <c r="B868" s="4"/>
      <c r="C868" s="4"/>
      <c r="D868" s="4"/>
    </row>
    <row r="869" spans="1:4" ht="15.75" customHeight="1" x14ac:dyDescent="0.25">
      <c r="A869" s="4"/>
      <c r="B869" s="4"/>
      <c r="C869" s="4"/>
      <c r="D869" s="4"/>
    </row>
    <row r="870" spans="1:4" ht="15.75" customHeight="1" x14ac:dyDescent="0.25">
      <c r="A870" s="4"/>
      <c r="B870" s="4"/>
      <c r="C870" s="4"/>
      <c r="D870" s="4"/>
    </row>
    <row r="871" spans="1:4" ht="15.75" customHeight="1" x14ac:dyDescent="0.25">
      <c r="A871" s="4"/>
      <c r="B871" s="4"/>
      <c r="C871" s="4"/>
      <c r="D871" s="4"/>
    </row>
    <row r="872" spans="1:4" ht="15.75" customHeight="1" x14ac:dyDescent="0.25">
      <c r="A872" s="4"/>
      <c r="B872" s="4"/>
      <c r="C872" s="4"/>
      <c r="D872" s="4"/>
    </row>
    <row r="873" spans="1:4" ht="15.75" customHeight="1" x14ac:dyDescent="0.25">
      <c r="A873" s="4"/>
      <c r="B873" s="4"/>
      <c r="C873" s="4"/>
      <c r="D873" s="4"/>
    </row>
    <row r="874" spans="1:4" ht="15.75" customHeight="1" x14ac:dyDescent="0.25">
      <c r="A874" s="4"/>
      <c r="B874" s="4"/>
      <c r="C874" s="4"/>
      <c r="D874" s="4"/>
    </row>
    <row r="875" spans="1:4" ht="15.75" customHeight="1" x14ac:dyDescent="0.25">
      <c r="A875" s="4"/>
      <c r="B875" s="4"/>
      <c r="C875" s="4"/>
      <c r="D875" s="4"/>
    </row>
    <row r="876" spans="1:4" ht="15.75" customHeight="1" x14ac:dyDescent="0.25">
      <c r="A876" s="4"/>
      <c r="B876" s="4"/>
      <c r="C876" s="4"/>
      <c r="D876" s="4"/>
    </row>
    <row r="877" spans="1:4" ht="15.75" customHeight="1" x14ac:dyDescent="0.25">
      <c r="A877" s="4"/>
      <c r="B877" s="4"/>
      <c r="C877" s="4"/>
      <c r="D877" s="4"/>
    </row>
    <row r="878" spans="1:4" ht="15.75" customHeight="1" x14ac:dyDescent="0.25">
      <c r="A878" s="4"/>
      <c r="B878" s="4"/>
      <c r="C878" s="4"/>
      <c r="D878" s="4"/>
    </row>
    <row r="879" spans="1:4" ht="15.75" customHeight="1" x14ac:dyDescent="0.25">
      <c r="A879" s="4"/>
      <c r="B879" s="4"/>
      <c r="C879" s="4"/>
      <c r="D879" s="4"/>
    </row>
    <row r="880" spans="1:4" ht="15.75" customHeight="1" x14ac:dyDescent="0.25">
      <c r="A880" s="4"/>
      <c r="B880" s="4"/>
      <c r="C880" s="4"/>
      <c r="D880" s="4"/>
    </row>
    <row r="881" spans="1:4" ht="15.75" customHeight="1" x14ac:dyDescent="0.25">
      <c r="A881" s="4"/>
      <c r="B881" s="4"/>
      <c r="C881" s="4"/>
      <c r="D881" s="4"/>
    </row>
    <row r="882" spans="1:4" ht="15.75" customHeight="1" x14ac:dyDescent="0.25">
      <c r="A882" s="4"/>
      <c r="B882" s="4"/>
      <c r="C882" s="4"/>
      <c r="D882" s="4"/>
    </row>
    <row r="883" spans="1:4" ht="15.75" customHeight="1" x14ac:dyDescent="0.25">
      <c r="A883" s="4"/>
      <c r="B883" s="4"/>
      <c r="C883" s="4"/>
      <c r="D883" s="4"/>
    </row>
    <row r="884" spans="1:4" ht="15.75" customHeight="1" x14ac:dyDescent="0.25">
      <c r="A884" s="4"/>
      <c r="B884" s="4"/>
      <c r="C884" s="4"/>
      <c r="D884" s="4"/>
    </row>
    <row r="885" spans="1:4" ht="15.75" customHeight="1" x14ac:dyDescent="0.25">
      <c r="A885" s="4"/>
      <c r="B885" s="4"/>
      <c r="C885" s="4"/>
      <c r="D885" s="4"/>
    </row>
    <row r="886" spans="1:4" ht="15.75" customHeight="1" x14ac:dyDescent="0.25">
      <c r="A886" s="4"/>
      <c r="B886" s="4"/>
      <c r="C886" s="4"/>
      <c r="D886" s="4"/>
    </row>
    <row r="887" spans="1:4" ht="15.75" customHeight="1" x14ac:dyDescent="0.25">
      <c r="A887" s="4"/>
      <c r="B887" s="4"/>
      <c r="C887" s="4"/>
      <c r="D887" s="4"/>
    </row>
    <row r="888" spans="1:4" ht="15.75" customHeight="1" x14ac:dyDescent="0.25">
      <c r="A888" s="4"/>
      <c r="B888" s="4"/>
      <c r="C888" s="4"/>
      <c r="D888" s="4"/>
    </row>
    <row r="889" spans="1:4" ht="15.75" customHeight="1" x14ac:dyDescent="0.25">
      <c r="A889" s="4"/>
      <c r="B889" s="4"/>
      <c r="C889" s="4"/>
      <c r="D889" s="4"/>
    </row>
    <row r="890" spans="1:4" ht="15.75" customHeight="1" x14ac:dyDescent="0.25">
      <c r="A890" s="4"/>
      <c r="B890" s="4"/>
      <c r="C890" s="4"/>
      <c r="D890" s="4"/>
    </row>
    <row r="891" spans="1:4" ht="15.75" customHeight="1" x14ac:dyDescent="0.25">
      <c r="A891" s="4"/>
      <c r="B891" s="4"/>
      <c r="C891" s="4"/>
      <c r="D891" s="4"/>
    </row>
    <row r="892" spans="1:4" ht="15.75" customHeight="1" x14ac:dyDescent="0.25">
      <c r="A892" s="4"/>
      <c r="B892" s="4"/>
      <c r="C892" s="4"/>
      <c r="D892" s="4"/>
    </row>
    <row r="893" spans="1:4" ht="15.75" customHeight="1" x14ac:dyDescent="0.25">
      <c r="A893" s="4"/>
      <c r="B893" s="4"/>
      <c r="C893" s="4"/>
      <c r="D893" s="4"/>
    </row>
    <row r="894" spans="1:4" ht="15.75" customHeight="1" x14ac:dyDescent="0.25">
      <c r="A894" s="4"/>
      <c r="B894" s="4"/>
      <c r="C894" s="4"/>
      <c r="D894" s="4"/>
    </row>
    <row r="895" spans="1:4" ht="15.75" customHeight="1" x14ac:dyDescent="0.25">
      <c r="A895" s="4"/>
      <c r="B895" s="4"/>
      <c r="C895" s="4"/>
      <c r="D895" s="4"/>
    </row>
    <row r="896" spans="1:4" ht="15.75" customHeight="1" x14ac:dyDescent="0.25">
      <c r="A896" s="4"/>
      <c r="B896" s="4"/>
      <c r="C896" s="4"/>
      <c r="D896" s="4"/>
    </row>
    <row r="897" spans="1:4" ht="15.75" customHeight="1" x14ac:dyDescent="0.25">
      <c r="A897" s="4"/>
      <c r="B897" s="4"/>
      <c r="C897" s="4"/>
      <c r="D897" s="4"/>
    </row>
    <row r="898" spans="1:4" ht="15.75" customHeight="1" x14ac:dyDescent="0.25">
      <c r="A898" s="4"/>
      <c r="B898" s="4"/>
      <c r="C898" s="4"/>
      <c r="D898" s="4"/>
    </row>
    <row r="899" spans="1:4" ht="15.75" customHeight="1" x14ac:dyDescent="0.25">
      <c r="A899" s="4"/>
      <c r="B899" s="4"/>
      <c r="C899" s="4"/>
      <c r="D899" s="4"/>
    </row>
    <row r="900" spans="1:4" ht="15.75" customHeight="1" x14ac:dyDescent="0.25">
      <c r="A900" s="4"/>
      <c r="B900" s="4"/>
      <c r="C900" s="4"/>
      <c r="D900" s="4"/>
    </row>
    <row r="901" spans="1:4" ht="15.75" customHeight="1" x14ac:dyDescent="0.25">
      <c r="A901" s="4"/>
      <c r="B901" s="4"/>
      <c r="C901" s="4"/>
      <c r="D901" s="4"/>
    </row>
    <row r="902" spans="1:4" ht="15.75" customHeight="1" x14ac:dyDescent="0.25">
      <c r="A902" s="4"/>
      <c r="B902" s="4"/>
      <c r="C902" s="4"/>
      <c r="D902" s="4"/>
    </row>
    <row r="903" spans="1:4" ht="15.75" customHeight="1" x14ac:dyDescent="0.25">
      <c r="A903" s="4"/>
      <c r="B903" s="4"/>
      <c r="C903" s="4"/>
      <c r="D903" s="4"/>
    </row>
    <row r="904" spans="1:4" ht="15.75" customHeight="1" x14ac:dyDescent="0.25">
      <c r="A904" s="4"/>
      <c r="B904" s="4"/>
      <c r="C904" s="4"/>
      <c r="D904" s="4"/>
    </row>
    <row r="905" spans="1:4" ht="15.75" customHeight="1" x14ac:dyDescent="0.25">
      <c r="A905" s="4"/>
      <c r="B905" s="4"/>
      <c r="C905" s="4"/>
      <c r="D905" s="4"/>
    </row>
    <row r="906" spans="1:4" ht="15.75" customHeight="1" x14ac:dyDescent="0.25">
      <c r="A906" s="4"/>
      <c r="B906" s="4"/>
      <c r="C906" s="4"/>
      <c r="D906" s="4"/>
    </row>
    <row r="907" spans="1:4" ht="15.75" customHeight="1" x14ac:dyDescent="0.25">
      <c r="A907" s="4"/>
      <c r="B907" s="4"/>
      <c r="C907" s="4"/>
      <c r="D907" s="4"/>
    </row>
    <row r="908" spans="1:4" ht="15.75" customHeight="1" x14ac:dyDescent="0.25">
      <c r="A908" s="4"/>
      <c r="B908" s="4"/>
      <c r="C908" s="4"/>
      <c r="D908" s="4"/>
    </row>
    <row r="909" spans="1:4" ht="15.75" customHeight="1" x14ac:dyDescent="0.25">
      <c r="A909" s="4"/>
      <c r="B909" s="4"/>
      <c r="C909" s="4"/>
      <c r="D909" s="4"/>
    </row>
    <row r="910" spans="1:4" ht="15.75" customHeight="1" x14ac:dyDescent="0.25">
      <c r="A910" s="4"/>
      <c r="B910" s="4"/>
      <c r="C910" s="4"/>
      <c r="D910" s="4"/>
    </row>
    <row r="911" spans="1:4" ht="15.75" customHeight="1" x14ac:dyDescent="0.25">
      <c r="A911" s="4"/>
      <c r="B911" s="4"/>
      <c r="C911" s="4"/>
      <c r="D911" s="4"/>
    </row>
    <row r="912" spans="1:4" ht="15.75" customHeight="1" x14ac:dyDescent="0.25">
      <c r="A912" s="4"/>
      <c r="B912" s="4"/>
      <c r="C912" s="4"/>
      <c r="D912" s="4"/>
    </row>
    <row r="913" spans="1:4" ht="15.75" customHeight="1" x14ac:dyDescent="0.25">
      <c r="A913" s="4"/>
      <c r="B913" s="4"/>
      <c r="C913" s="4"/>
      <c r="D913" s="4"/>
    </row>
    <row r="914" spans="1:4" ht="15.75" customHeight="1" x14ac:dyDescent="0.25">
      <c r="A914" s="4"/>
      <c r="B914" s="4"/>
      <c r="C914" s="4"/>
      <c r="D914" s="4"/>
    </row>
    <row r="915" spans="1:4" ht="15.75" customHeight="1" x14ac:dyDescent="0.25">
      <c r="A915" s="4"/>
      <c r="B915" s="4"/>
      <c r="C915" s="4"/>
      <c r="D915" s="4"/>
    </row>
    <row r="916" spans="1:4" ht="15.75" customHeight="1" x14ac:dyDescent="0.25">
      <c r="A916" s="4"/>
      <c r="B916" s="4"/>
      <c r="C916" s="4"/>
      <c r="D916" s="4"/>
    </row>
    <row r="917" spans="1:4" ht="15.75" customHeight="1" x14ac:dyDescent="0.25">
      <c r="A917" s="4"/>
      <c r="B917" s="4"/>
      <c r="C917" s="4"/>
      <c r="D917" s="4"/>
    </row>
    <row r="918" spans="1:4" ht="15.75" customHeight="1" x14ac:dyDescent="0.25">
      <c r="A918" s="4"/>
      <c r="B918" s="4"/>
      <c r="C918" s="4"/>
      <c r="D918" s="4"/>
    </row>
    <row r="919" spans="1:4" ht="15.75" customHeight="1" x14ac:dyDescent="0.25">
      <c r="A919" s="4"/>
      <c r="B919" s="4"/>
      <c r="C919" s="4"/>
      <c r="D919" s="4"/>
    </row>
    <row r="920" spans="1:4" ht="15.75" customHeight="1" x14ac:dyDescent="0.25">
      <c r="A920" s="4"/>
      <c r="B920" s="4"/>
      <c r="C920" s="4"/>
      <c r="D920" s="4"/>
    </row>
    <row r="921" spans="1:4" ht="15.75" customHeight="1" x14ac:dyDescent="0.25">
      <c r="A921" s="4"/>
      <c r="B921" s="4"/>
      <c r="C921" s="4"/>
      <c r="D921" s="4"/>
    </row>
    <row r="922" spans="1:4" ht="15.75" customHeight="1" x14ac:dyDescent="0.25">
      <c r="A922" s="4"/>
      <c r="B922" s="4"/>
      <c r="C922" s="4"/>
      <c r="D922" s="4"/>
    </row>
    <row r="923" spans="1:4" ht="15.75" customHeight="1" x14ac:dyDescent="0.25">
      <c r="A923" s="4"/>
      <c r="B923" s="4"/>
      <c r="C923" s="4"/>
      <c r="D923" s="4"/>
    </row>
    <row r="924" spans="1:4" ht="15.75" customHeight="1" x14ac:dyDescent="0.25">
      <c r="A924" s="4"/>
      <c r="B924" s="4"/>
      <c r="C924" s="4"/>
      <c r="D924" s="4"/>
    </row>
    <row r="925" spans="1:4" ht="15.75" customHeight="1" x14ac:dyDescent="0.25">
      <c r="A925" s="4"/>
      <c r="B925" s="4"/>
      <c r="C925" s="4"/>
      <c r="D925" s="4"/>
    </row>
    <row r="926" spans="1:4" ht="15.75" customHeight="1" x14ac:dyDescent="0.25">
      <c r="A926" s="4"/>
      <c r="B926" s="4"/>
      <c r="C926" s="4"/>
      <c r="D926" s="4"/>
    </row>
    <row r="927" spans="1:4" ht="15.75" customHeight="1" x14ac:dyDescent="0.25">
      <c r="A927" s="4"/>
      <c r="B927" s="4"/>
      <c r="C927" s="4"/>
      <c r="D927" s="4"/>
    </row>
    <row r="928" spans="1:4" ht="15.75" customHeight="1" x14ac:dyDescent="0.25">
      <c r="A928" s="4"/>
      <c r="B928" s="4"/>
      <c r="C928" s="4"/>
      <c r="D928" s="4"/>
    </row>
    <row r="929" spans="1:4" ht="15.75" customHeight="1" x14ac:dyDescent="0.25">
      <c r="A929" s="4"/>
      <c r="B929" s="4"/>
      <c r="C929" s="4"/>
      <c r="D929" s="4"/>
    </row>
    <row r="930" spans="1:4" ht="15.75" customHeight="1" x14ac:dyDescent="0.25">
      <c r="A930" s="4"/>
      <c r="B930" s="4"/>
      <c r="C930" s="4"/>
      <c r="D930" s="4"/>
    </row>
    <row r="931" spans="1:4" ht="15.75" customHeight="1" x14ac:dyDescent="0.25">
      <c r="A931" s="4"/>
      <c r="B931" s="4"/>
      <c r="C931" s="4"/>
      <c r="D931" s="4"/>
    </row>
    <row r="932" spans="1:4" ht="15.75" customHeight="1" x14ac:dyDescent="0.25">
      <c r="A932" s="4"/>
      <c r="B932" s="4"/>
      <c r="C932" s="4"/>
      <c r="D932" s="4"/>
    </row>
    <row r="933" spans="1:4" ht="15.75" customHeight="1" x14ac:dyDescent="0.25">
      <c r="A933" s="4"/>
      <c r="B933" s="4"/>
      <c r="C933" s="4"/>
      <c r="D933" s="4"/>
    </row>
    <row r="934" spans="1:4" ht="15.75" customHeight="1" x14ac:dyDescent="0.25">
      <c r="A934" s="4"/>
      <c r="B934" s="4"/>
      <c r="C934" s="4"/>
      <c r="D934" s="4"/>
    </row>
    <row r="935" spans="1:4" ht="15.75" customHeight="1" x14ac:dyDescent="0.25">
      <c r="A935" s="4"/>
      <c r="B935" s="4"/>
      <c r="C935" s="4"/>
      <c r="D935" s="4"/>
    </row>
    <row r="936" spans="1:4" ht="15.75" customHeight="1" x14ac:dyDescent="0.25">
      <c r="A936" s="4"/>
      <c r="B936" s="4"/>
      <c r="C936" s="4"/>
      <c r="D936" s="4"/>
    </row>
    <row r="937" spans="1:4" ht="15.75" customHeight="1" x14ac:dyDescent="0.25">
      <c r="A937" s="4"/>
      <c r="B937" s="4"/>
      <c r="C937" s="4"/>
      <c r="D937" s="4"/>
    </row>
    <row r="938" spans="1:4" ht="15.75" customHeight="1" x14ac:dyDescent="0.25">
      <c r="A938" s="4"/>
      <c r="B938" s="4"/>
      <c r="C938" s="4"/>
      <c r="D938" s="4"/>
    </row>
    <row r="939" spans="1:4" ht="15.75" customHeight="1" x14ac:dyDescent="0.25">
      <c r="A939" s="4"/>
      <c r="B939" s="4"/>
      <c r="C939" s="4"/>
      <c r="D939" s="4"/>
    </row>
    <row r="940" spans="1:4" ht="15.75" customHeight="1" x14ac:dyDescent="0.25">
      <c r="A940" s="4"/>
      <c r="B940" s="4"/>
      <c r="C940" s="4"/>
      <c r="D940" s="4"/>
    </row>
    <row r="941" spans="1:4" ht="15.75" customHeight="1" x14ac:dyDescent="0.25">
      <c r="A941" s="4"/>
      <c r="B941" s="4"/>
      <c r="C941" s="4"/>
      <c r="D941" s="4"/>
    </row>
    <row r="942" spans="1:4" ht="15.75" customHeight="1" x14ac:dyDescent="0.25">
      <c r="A942" s="4"/>
      <c r="B942" s="4"/>
      <c r="C942" s="4"/>
      <c r="D942" s="4"/>
    </row>
    <row r="943" spans="1:4" ht="15.75" customHeight="1" x14ac:dyDescent="0.25">
      <c r="A943" s="4"/>
      <c r="B943" s="4"/>
      <c r="C943" s="4"/>
      <c r="D943" s="4"/>
    </row>
    <row r="944" spans="1:4" ht="15.75" customHeight="1" x14ac:dyDescent="0.25">
      <c r="A944" s="4"/>
      <c r="B944" s="4"/>
      <c r="C944" s="4"/>
      <c r="D944" s="4"/>
    </row>
    <row r="945" spans="1:4" ht="15.75" customHeight="1" x14ac:dyDescent="0.25">
      <c r="A945" s="4"/>
      <c r="B945" s="4"/>
      <c r="C945" s="4"/>
      <c r="D945" s="4"/>
    </row>
    <row r="946" spans="1:4" ht="15.75" customHeight="1" x14ac:dyDescent="0.25">
      <c r="A946" s="4"/>
      <c r="B946" s="4"/>
      <c r="C946" s="4"/>
      <c r="D946" s="4"/>
    </row>
    <row r="947" spans="1:4" ht="15.75" customHeight="1" x14ac:dyDescent="0.25">
      <c r="A947" s="4"/>
      <c r="B947" s="4"/>
      <c r="C947" s="4"/>
      <c r="D947" s="4"/>
    </row>
    <row r="948" spans="1:4" ht="15.75" customHeight="1" x14ac:dyDescent="0.25">
      <c r="A948" s="4"/>
      <c r="B948" s="4"/>
      <c r="C948" s="4"/>
      <c r="D948" s="4"/>
    </row>
    <row r="949" spans="1:4" ht="15.75" customHeight="1" x14ac:dyDescent="0.25">
      <c r="A949" s="4"/>
      <c r="B949" s="4"/>
      <c r="C949" s="4"/>
      <c r="D949" s="4"/>
    </row>
    <row r="950" spans="1:4" ht="15.75" customHeight="1" x14ac:dyDescent="0.25">
      <c r="A950" s="4"/>
      <c r="B950" s="4"/>
      <c r="C950" s="4"/>
      <c r="D950" s="4"/>
    </row>
    <row r="951" spans="1:4" ht="15.75" customHeight="1" x14ac:dyDescent="0.25">
      <c r="A951" s="4"/>
      <c r="B951" s="4"/>
      <c r="C951" s="4"/>
      <c r="D951" s="4"/>
    </row>
    <row r="952" spans="1:4" ht="15.75" customHeight="1" x14ac:dyDescent="0.25">
      <c r="A952" s="4"/>
      <c r="B952" s="4"/>
      <c r="C952" s="4"/>
      <c r="D952" s="4"/>
    </row>
    <row r="953" spans="1:4" ht="15.75" customHeight="1" x14ac:dyDescent="0.25">
      <c r="A953" s="4"/>
      <c r="B953" s="4"/>
      <c r="C953" s="4"/>
      <c r="D953" s="4"/>
    </row>
    <row r="954" spans="1:4" ht="15.75" customHeight="1" x14ac:dyDescent="0.25">
      <c r="A954" s="4"/>
      <c r="B954" s="4"/>
      <c r="C954" s="4"/>
      <c r="D954" s="4"/>
    </row>
    <row r="955" spans="1:4" ht="15.75" customHeight="1" x14ac:dyDescent="0.25">
      <c r="A955" s="4"/>
      <c r="B955" s="4"/>
      <c r="C955" s="4"/>
      <c r="D955" s="4"/>
    </row>
    <row r="956" spans="1:4" ht="15.75" customHeight="1" x14ac:dyDescent="0.25">
      <c r="A956" s="4"/>
      <c r="B956" s="4"/>
      <c r="C956" s="4"/>
      <c r="D956" s="4"/>
    </row>
    <row r="957" spans="1:4" ht="15.75" customHeight="1" x14ac:dyDescent="0.25">
      <c r="A957" s="4"/>
      <c r="B957" s="4"/>
      <c r="C957" s="4"/>
      <c r="D957" s="4"/>
    </row>
    <row r="958" spans="1:4" ht="15.75" customHeight="1" x14ac:dyDescent="0.25">
      <c r="A958" s="4"/>
      <c r="B958" s="4"/>
      <c r="C958" s="4"/>
      <c r="D958" s="4"/>
    </row>
    <row r="959" spans="1:4" ht="15.75" customHeight="1" x14ac:dyDescent="0.25">
      <c r="A959" s="4"/>
      <c r="B959" s="4"/>
      <c r="C959" s="4"/>
      <c r="D959" s="4"/>
    </row>
    <row r="960" spans="1:4" ht="15.75" customHeight="1" x14ac:dyDescent="0.25">
      <c r="A960" s="4"/>
      <c r="B960" s="4"/>
      <c r="C960" s="4"/>
      <c r="D960" s="4"/>
    </row>
    <row r="961" spans="1:4" ht="15.75" customHeight="1" x14ac:dyDescent="0.25">
      <c r="A961" s="4"/>
      <c r="B961" s="4"/>
      <c r="C961" s="4"/>
      <c r="D961" s="4"/>
    </row>
    <row r="962" spans="1:4" ht="15.75" customHeight="1" x14ac:dyDescent="0.25">
      <c r="A962" s="4"/>
      <c r="B962" s="4"/>
      <c r="C962" s="4"/>
      <c r="D962" s="4"/>
    </row>
    <row r="963" spans="1:4" ht="15.75" customHeight="1" x14ac:dyDescent="0.25">
      <c r="A963" s="4"/>
      <c r="B963" s="4"/>
      <c r="C963" s="4"/>
      <c r="D963" s="4"/>
    </row>
    <row r="964" spans="1:4" ht="15.75" customHeight="1" x14ac:dyDescent="0.25">
      <c r="A964" s="4"/>
      <c r="B964" s="4"/>
      <c r="C964" s="4"/>
      <c r="D964" s="4"/>
    </row>
    <row r="965" spans="1:4" ht="15.75" customHeight="1" x14ac:dyDescent="0.25">
      <c r="A965" s="4"/>
      <c r="B965" s="4"/>
      <c r="C965" s="4"/>
      <c r="D965" s="4"/>
    </row>
    <row r="966" spans="1:4" ht="15.75" customHeight="1" x14ac:dyDescent="0.25">
      <c r="A966" s="4"/>
      <c r="B966" s="4"/>
      <c r="C966" s="4"/>
      <c r="D966" s="4"/>
    </row>
    <row r="967" spans="1:4" ht="15.75" customHeight="1" x14ac:dyDescent="0.25">
      <c r="A967" s="4"/>
      <c r="B967" s="4"/>
      <c r="C967" s="4"/>
      <c r="D967" s="4"/>
    </row>
    <row r="968" spans="1:4" ht="15.75" customHeight="1" x14ac:dyDescent="0.25">
      <c r="A968" s="4"/>
      <c r="B968" s="4"/>
      <c r="C968" s="4"/>
      <c r="D968" s="4"/>
    </row>
    <row r="969" spans="1:4" ht="15.75" customHeight="1" x14ac:dyDescent="0.25">
      <c r="A969" s="4"/>
      <c r="B969" s="4"/>
      <c r="C969" s="4"/>
      <c r="D969" s="4"/>
    </row>
    <row r="970" spans="1:4" ht="15.75" customHeight="1" x14ac:dyDescent="0.25">
      <c r="A970" s="4"/>
      <c r="B970" s="4"/>
      <c r="C970" s="4"/>
      <c r="D970" s="4"/>
    </row>
    <row r="971" spans="1:4" ht="15.75" customHeight="1" x14ac:dyDescent="0.25">
      <c r="A971" s="4"/>
      <c r="B971" s="4"/>
      <c r="C971" s="4"/>
      <c r="D971" s="4"/>
    </row>
    <row r="972" spans="1:4" ht="15.75" customHeight="1" x14ac:dyDescent="0.25">
      <c r="A972" s="4"/>
      <c r="B972" s="4"/>
      <c r="C972" s="4"/>
      <c r="D972" s="4"/>
    </row>
    <row r="973" spans="1:4" ht="15.75" customHeight="1" x14ac:dyDescent="0.25">
      <c r="A973" s="4"/>
      <c r="B973" s="4"/>
      <c r="C973" s="4"/>
      <c r="D973" s="4"/>
    </row>
    <row r="974" spans="1:4" ht="15.75" customHeight="1" x14ac:dyDescent="0.25">
      <c r="A974" s="4"/>
      <c r="B974" s="4"/>
      <c r="C974" s="4"/>
      <c r="D974" s="4"/>
    </row>
    <row r="975" spans="1:4" ht="15.75" customHeight="1" x14ac:dyDescent="0.25">
      <c r="A975" s="4"/>
      <c r="B975" s="4"/>
      <c r="C975" s="4"/>
      <c r="D975" s="4"/>
    </row>
    <row r="976" spans="1:4" ht="15.75" customHeight="1" x14ac:dyDescent="0.25">
      <c r="A976" s="4"/>
      <c r="B976" s="4"/>
      <c r="C976" s="4"/>
      <c r="D976" s="4"/>
    </row>
    <row r="977" spans="1:4" ht="15.75" customHeight="1" x14ac:dyDescent="0.25">
      <c r="A977" s="4"/>
      <c r="B977" s="4"/>
      <c r="C977" s="4"/>
      <c r="D977" s="4"/>
    </row>
    <row r="978" spans="1:4" ht="15.75" customHeight="1" x14ac:dyDescent="0.25">
      <c r="A978" s="4"/>
      <c r="B978" s="4"/>
      <c r="C978" s="4"/>
      <c r="D978" s="4"/>
    </row>
    <row r="979" spans="1:4" ht="15.75" customHeight="1" x14ac:dyDescent="0.25">
      <c r="A979" s="4"/>
      <c r="B979" s="4"/>
      <c r="C979" s="4"/>
      <c r="D979" s="4"/>
    </row>
    <row r="980" spans="1:4" ht="15.75" customHeight="1" x14ac:dyDescent="0.25">
      <c r="A980" s="4"/>
      <c r="B980" s="4"/>
      <c r="C980" s="4"/>
      <c r="D980" s="4"/>
    </row>
    <row r="981" spans="1:4" ht="15.75" customHeight="1" x14ac:dyDescent="0.25">
      <c r="A981" s="4"/>
      <c r="B981" s="4"/>
      <c r="C981" s="4"/>
      <c r="D981" s="4"/>
    </row>
    <row r="982" spans="1:4" ht="15.75" customHeight="1" x14ac:dyDescent="0.25">
      <c r="A982" s="4"/>
      <c r="B982" s="4"/>
      <c r="C982" s="4"/>
      <c r="D982" s="4"/>
    </row>
    <row r="983" spans="1:4" ht="15.75" customHeight="1" x14ac:dyDescent="0.25">
      <c r="A983" s="4"/>
      <c r="B983" s="4"/>
      <c r="C983" s="4"/>
      <c r="D983" s="4"/>
    </row>
    <row r="984" spans="1:4" ht="15.75" customHeight="1" x14ac:dyDescent="0.25">
      <c r="A984" s="4"/>
      <c r="B984" s="4"/>
      <c r="C984" s="4"/>
      <c r="D984" s="4"/>
    </row>
    <row r="985" spans="1:4" ht="15.75" customHeight="1" x14ac:dyDescent="0.25">
      <c r="A985" s="4"/>
      <c r="B985" s="4"/>
      <c r="C985" s="4"/>
      <c r="D985" s="4"/>
    </row>
    <row r="986" spans="1:4" ht="15.75" customHeight="1" x14ac:dyDescent="0.25">
      <c r="A986" s="4"/>
      <c r="B986" s="4"/>
      <c r="C986" s="4"/>
      <c r="D986" s="4"/>
    </row>
    <row r="987" spans="1:4" ht="15.75" customHeight="1" x14ac:dyDescent="0.25">
      <c r="A987" s="4"/>
      <c r="B987" s="4"/>
      <c r="C987" s="4"/>
      <c r="D987" s="4"/>
    </row>
    <row r="988" spans="1:4" ht="15.75" customHeight="1" x14ac:dyDescent="0.25">
      <c r="A988" s="4"/>
      <c r="B988" s="4"/>
      <c r="C988" s="4"/>
      <c r="D988" s="4"/>
    </row>
    <row r="989" spans="1:4" ht="15.75" customHeight="1" x14ac:dyDescent="0.25">
      <c r="A989" s="4"/>
      <c r="B989" s="4"/>
      <c r="C989" s="4"/>
      <c r="D989" s="4"/>
    </row>
    <row r="990" spans="1:4" ht="15.75" customHeight="1" x14ac:dyDescent="0.25">
      <c r="A990" s="4"/>
      <c r="B990" s="4"/>
      <c r="C990" s="4"/>
      <c r="D990" s="4"/>
    </row>
    <row r="991" spans="1:4" ht="15.75" customHeight="1" x14ac:dyDescent="0.25">
      <c r="A991" s="4"/>
      <c r="B991" s="4"/>
      <c r="C991" s="4"/>
      <c r="D991" s="4"/>
    </row>
    <row r="992" spans="1:4" ht="15.75" customHeight="1" x14ac:dyDescent="0.25">
      <c r="A992" s="4"/>
      <c r="B992" s="4"/>
      <c r="C992" s="4"/>
      <c r="D992" s="4"/>
    </row>
    <row r="993" spans="1:4" ht="15.75" customHeight="1" x14ac:dyDescent="0.25">
      <c r="A993" s="4"/>
      <c r="B993" s="4"/>
      <c r="C993" s="4"/>
      <c r="D993" s="4"/>
    </row>
    <row r="994" spans="1:4" ht="15.75" customHeight="1" x14ac:dyDescent="0.25">
      <c r="A994" s="4"/>
      <c r="B994" s="4"/>
      <c r="C994" s="4"/>
      <c r="D994" s="4"/>
    </row>
    <row r="995" spans="1:4" ht="15.75" customHeight="1" x14ac:dyDescent="0.25">
      <c r="A995" s="4"/>
      <c r="B995" s="4"/>
      <c r="C995" s="4"/>
      <c r="D995" s="4"/>
    </row>
    <row r="996" spans="1:4" ht="15.75" customHeight="1" x14ac:dyDescent="0.25">
      <c r="A996" s="4"/>
      <c r="B996" s="4"/>
      <c r="C996" s="4"/>
      <c r="D996" s="4"/>
    </row>
    <row r="997" spans="1:4" ht="15.75" customHeight="1" x14ac:dyDescent="0.25">
      <c r="A997" s="4"/>
      <c r="B997" s="4"/>
      <c r="C997" s="4"/>
      <c r="D997" s="4"/>
    </row>
    <row r="998" spans="1:4" ht="15.75" customHeight="1" x14ac:dyDescent="0.25">
      <c r="A998" s="4"/>
      <c r="B998" s="4"/>
      <c r="C998" s="4"/>
      <c r="D998" s="4"/>
    </row>
    <row r="999" spans="1:4" ht="15.75" customHeight="1" x14ac:dyDescent="0.25">
      <c r="A999" s="4"/>
      <c r="B999" s="4"/>
      <c r="C999" s="4"/>
      <c r="D999" s="4"/>
    </row>
    <row r="1000" spans="1:4" ht="15.75" customHeight="1" x14ac:dyDescent="0.25">
      <c r="A1000" s="4"/>
      <c r="B1000" s="4"/>
      <c r="C1000" s="4"/>
      <c r="D1000" s="4"/>
    </row>
  </sheetData>
  <pageMargins left="0.75" right="0.75" top="1" bottom="1"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0"/>
  <sheetViews>
    <sheetView workbookViewId="0"/>
  </sheetViews>
  <sheetFormatPr defaultColWidth="14.42578125" defaultRowHeight="15" customHeight="1" x14ac:dyDescent="0.25"/>
  <cols>
    <col min="1" max="1" width="44" customWidth="1"/>
    <col min="2" max="3" width="22" customWidth="1"/>
    <col min="4" max="4" width="70" customWidth="1"/>
    <col min="5" max="5" width="48" customWidth="1"/>
    <col min="6" max="26" width="8.7109375" customWidth="1"/>
  </cols>
  <sheetData>
    <row r="1" spans="1:5" ht="15" customHeight="1" x14ac:dyDescent="0.25">
      <c r="A1" s="71" t="s">
        <v>516</v>
      </c>
      <c r="B1" s="4"/>
      <c r="C1" s="4"/>
      <c r="D1" s="4"/>
      <c r="E1" s="4"/>
    </row>
    <row r="2" spans="1:5" ht="15" customHeight="1" x14ac:dyDescent="0.25">
      <c r="A2" s="35" t="s">
        <v>517</v>
      </c>
      <c r="B2" s="4"/>
      <c r="C2" s="4"/>
      <c r="D2" s="4"/>
      <c r="E2" s="4"/>
    </row>
    <row r="3" spans="1:5" x14ac:dyDescent="0.25">
      <c r="A3" s="4"/>
      <c r="B3" s="4"/>
      <c r="C3" s="4"/>
      <c r="D3" s="4"/>
      <c r="E3" s="4"/>
    </row>
    <row r="4" spans="1:5" ht="27.75" customHeight="1" x14ac:dyDescent="0.25">
      <c r="A4" s="14" t="s">
        <v>518</v>
      </c>
      <c r="B4" s="14" t="s">
        <v>519</v>
      </c>
      <c r="C4" s="14" t="s">
        <v>520</v>
      </c>
      <c r="D4" s="14" t="s">
        <v>521</v>
      </c>
      <c r="E4" s="14" t="s">
        <v>54</v>
      </c>
    </row>
    <row r="5" spans="1:5" ht="15" customHeight="1" x14ac:dyDescent="0.25">
      <c r="A5" s="4" t="s">
        <v>522</v>
      </c>
      <c r="B5" s="78">
        <v>0.1</v>
      </c>
      <c r="C5" s="78">
        <v>0.5</v>
      </c>
      <c r="D5" s="4" t="s">
        <v>523</v>
      </c>
      <c r="E5" s="4" t="s">
        <v>524</v>
      </c>
    </row>
    <row r="6" spans="1:5" ht="15" customHeight="1" x14ac:dyDescent="0.25">
      <c r="A6" s="4" t="s">
        <v>526</v>
      </c>
      <c r="B6" s="78">
        <v>2</v>
      </c>
      <c r="C6" s="78">
        <v>10</v>
      </c>
      <c r="D6" s="4" t="s">
        <v>527</v>
      </c>
      <c r="E6" s="4" t="s">
        <v>528</v>
      </c>
    </row>
    <row r="7" spans="1:5" ht="15" customHeight="1" x14ac:dyDescent="0.25">
      <c r="A7" s="4" t="s">
        <v>529</v>
      </c>
      <c r="B7" s="78">
        <v>1</v>
      </c>
      <c r="C7" s="78">
        <v>5</v>
      </c>
      <c r="D7" s="4" t="s">
        <v>530</v>
      </c>
      <c r="E7" s="4"/>
    </row>
    <row r="8" spans="1:5" ht="15" customHeight="1" x14ac:dyDescent="0.25">
      <c r="A8" s="4" t="s">
        <v>531</v>
      </c>
      <c r="B8" s="78">
        <v>2</v>
      </c>
      <c r="C8" s="78">
        <v>10</v>
      </c>
      <c r="D8" s="4" t="s">
        <v>530</v>
      </c>
      <c r="E8" s="4" t="s">
        <v>532</v>
      </c>
    </row>
    <row r="9" spans="1:5" x14ac:dyDescent="0.25">
      <c r="A9" s="4"/>
      <c r="B9" s="4"/>
      <c r="C9" s="4"/>
      <c r="D9" s="4"/>
      <c r="E9" s="4"/>
    </row>
    <row r="10" spans="1:5" x14ac:dyDescent="0.25">
      <c r="A10" s="4"/>
      <c r="B10" s="4"/>
      <c r="C10" s="4"/>
      <c r="D10" s="4"/>
      <c r="E10" s="4"/>
    </row>
    <row r="11" spans="1:5" ht="15" customHeight="1" x14ac:dyDescent="0.25">
      <c r="A11" s="14" t="s">
        <v>533</v>
      </c>
      <c r="B11" s="14" t="s">
        <v>86</v>
      </c>
      <c r="C11" s="14" t="s">
        <v>87</v>
      </c>
      <c r="D11" s="14" t="s">
        <v>534</v>
      </c>
      <c r="E11" s="14" t="s">
        <v>54</v>
      </c>
    </row>
    <row r="12" spans="1:5" ht="15" customHeight="1" x14ac:dyDescent="0.25">
      <c r="A12" s="4" t="s">
        <v>535</v>
      </c>
      <c r="B12" s="79">
        <v>26170</v>
      </c>
      <c r="C12" s="4" t="s">
        <v>113</v>
      </c>
      <c r="D12" s="4" t="s">
        <v>536</v>
      </c>
      <c r="E12" s="4" t="s">
        <v>537</v>
      </c>
    </row>
    <row r="13" spans="1:5" ht="15" customHeight="1" x14ac:dyDescent="0.25">
      <c r="A13" s="4" t="s">
        <v>538</v>
      </c>
      <c r="B13" s="79">
        <v>25636</v>
      </c>
      <c r="C13" s="4" t="s">
        <v>113</v>
      </c>
      <c r="D13" s="4" t="s">
        <v>539</v>
      </c>
      <c r="E13" s="4" t="s">
        <v>540</v>
      </c>
    </row>
    <row r="14" spans="1:5" ht="15" customHeight="1" x14ac:dyDescent="0.25">
      <c r="A14" s="4" t="s">
        <v>541</v>
      </c>
      <c r="B14" s="79">
        <v>5310000</v>
      </c>
      <c r="C14" s="4" t="s">
        <v>246</v>
      </c>
      <c r="D14" s="4" t="s">
        <v>542</v>
      </c>
      <c r="E14" s="4" t="s">
        <v>543</v>
      </c>
    </row>
    <row r="15" spans="1:5" ht="15" customHeight="1" x14ac:dyDescent="0.25">
      <c r="A15" s="4" t="s">
        <v>544</v>
      </c>
      <c r="B15" s="79">
        <v>25500</v>
      </c>
      <c r="C15" s="4" t="s">
        <v>132</v>
      </c>
      <c r="D15" s="4" t="s">
        <v>542</v>
      </c>
      <c r="E15" s="4" t="s">
        <v>545</v>
      </c>
    </row>
    <row r="16" spans="1:5" x14ac:dyDescent="0.25">
      <c r="A16" s="4"/>
      <c r="B16" s="4"/>
      <c r="C16" s="4"/>
      <c r="D16" s="4"/>
      <c r="E16" s="4"/>
    </row>
    <row r="17" spans="1:5" x14ac:dyDescent="0.25">
      <c r="A17" s="4"/>
      <c r="B17" s="4"/>
      <c r="C17" s="4"/>
      <c r="D17" s="4"/>
      <c r="E17" s="4"/>
    </row>
    <row r="18" spans="1:5" ht="15" customHeight="1" x14ac:dyDescent="0.25">
      <c r="A18" s="14" t="s">
        <v>546</v>
      </c>
      <c r="B18" s="14" t="s">
        <v>547</v>
      </c>
      <c r="C18" s="4"/>
      <c r="D18" s="4"/>
      <c r="E18" s="4"/>
    </row>
    <row r="19" spans="1:5" ht="48" customHeight="1" x14ac:dyDescent="0.25">
      <c r="A19" s="3" t="s">
        <v>548</v>
      </c>
      <c r="B19" s="105" t="s">
        <v>549</v>
      </c>
      <c r="C19" s="92"/>
      <c r="D19" s="92"/>
      <c r="E19" s="92"/>
    </row>
    <row r="20" spans="1:5" ht="48" customHeight="1" x14ac:dyDescent="0.25">
      <c r="A20" s="3" t="s">
        <v>550</v>
      </c>
      <c r="B20" s="105" t="s">
        <v>551</v>
      </c>
      <c r="C20" s="92"/>
      <c r="D20" s="92"/>
      <c r="E20" s="92"/>
    </row>
    <row r="21" spans="1:5" ht="48" customHeight="1" x14ac:dyDescent="0.25">
      <c r="A21" s="3" t="s">
        <v>552</v>
      </c>
      <c r="B21" s="105" t="s">
        <v>553</v>
      </c>
      <c r="C21" s="92"/>
      <c r="D21" s="92"/>
      <c r="E21" s="92"/>
    </row>
    <row r="22" spans="1:5" ht="15.75" customHeight="1" x14ac:dyDescent="0.25">
      <c r="A22" s="4"/>
      <c r="B22" s="4"/>
      <c r="C22" s="4"/>
      <c r="D22" s="4"/>
      <c r="E22" s="4"/>
    </row>
    <row r="23" spans="1:5" ht="15" customHeight="1" x14ac:dyDescent="0.25">
      <c r="A23" s="14" t="s">
        <v>554</v>
      </c>
      <c r="B23" s="14" t="s">
        <v>555</v>
      </c>
      <c r="C23" s="4"/>
      <c r="D23" s="4"/>
      <c r="E23" s="4"/>
    </row>
    <row r="24" spans="1:5" ht="48" customHeight="1" x14ac:dyDescent="0.25">
      <c r="A24" s="3" t="s">
        <v>556</v>
      </c>
      <c r="B24" s="105" t="s">
        <v>558</v>
      </c>
      <c r="C24" s="92"/>
      <c r="D24" s="92"/>
      <c r="E24" s="92"/>
    </row>
    <row r="25" spans="1:5" ht="48" customHeight="1" x14ac:dyDescent="0.25">
      <c r="A25" s="3" t="s">
        <v>559</v>
      </c>
      <c r="B25" s="105" t="s">
        <v>560</v>
      </c>
      <c r="C25" s="92"/>
      <c r="D25" s="92"/>
      <c r="E25" s="92"/>
    </row>
    <row r="26" spans="1:5" ht="48" customHeight="1" x14ac:dyDescent="0.25">
      <c r="A26" s="3" t="s">
        <v>561</v>
      </c>
      <c r="B26" s="105" t="s">
        <v>562</v>
      </c>
      <c r="C26" s="92"/>
      <c r="D26" s="92"/>
      <c r="E26" s="92"/>
    </row>
    <row r="27" spans="1:5" ht="48" customHeight="1" x14ac:dyDescent="0.25">
      <c r="A27" s="3" t="s">
        <v>563</v>
      </c>
      <c r="B27" s="105" t="s">
        <v>564</v>
      </c>
      <c r="C27" s="92"/>
      <c r="D27" s="92"/>
      <c r="E27" s="92"/>
    </row>
    <row r="28" spans="1:5" ht="48" customHeight="1" x14ac:dyDescent="0.25">
      <c r="A28" s="3" t="s">
        <v>565</v>
      </c>
      <c r="B28" s="105" t="s">
        <v>566</v>
      </c>
      <c r="C28" s="92"/>
      <c r="D28" s="92"/>
      <c r="E28" s="92"/>
    </row>
    <row r="29" spans="1:5" ht="15.75" customHeight="1" x14ac:dyDescent="0.25">
      <c r="A29" s="4"/>
      <c r="B29" s="4"/>
      <c r="C29" s="4"/>
      <c r="D29" s="4"/>
      <c r="E29" s="4"/>
    </row>
    <row r="30" spans="1:5" ht="15.75" customHeight="1" x14ac:dyDescent="0.25">
      <c r="A30" s="4"/>
      <c r="B30" s="4"/>
      <c r="C30" s="4"/>
      <c r="D30" s="4"/>
      <c r="E30" s="4"/>
    </row>
    <row r="31" spans="1:5" ht="15.75" customHeight="1" x14ac:dyDescent="0.25">
      <c r="A31" s="4"/>
      <c r="B31" s="4"/>
      <c r="C31" s="4"/>
      <c r="D31" s="4"/>
      <c r="E31" s="4"/>
    </row>
    <row r="32" spans="1:5" ht="15.75" customHeight="1" x14ac:dyDescent="0.25">
      <c r="A32" s="4"/>
      <c r="B32" s="4"/>
      <c r="C32" s="4"/>
      <c r="D32" s="4"/>
      <c r="E32" s="4"/>
    </row>
    <row r="33" spans="1:5" ht="15.75" customHeight="1" x14ac:dyDescent="0.25">
      <c r="A33" s="4"/>
      <c r="B33" s="4"/>
      <c r="C33" s="4"/>
      <c r="D33" s="4"/>
      <c r="E33" s="4"/>
    </row>
    <row r="34" spans="1:5" ht="15.75" customHeight="1" x14ac:dyDescent="0.25">
      <c r="A34" s="4"/>
      <c r="B34" s="4"/>
      <c r="C34" s="4"/>
      <c r="D34" s="4"/>
      <c r="E34" s="4"/>
    </row>
    <row r="35" spans="1:5" ht="15.75" customHeight="1" x14ac:dyDescent="0.25">
      <c r="A35" s="4"/>
      <c r="B35" s="4"/>
      <c r="C35" s="4"/>
      <c r="D35" s="4"/>
      <c r="E35" s="4"/>
    </row>
    <row r="36" spans="1:5" ht="15.75" customHeight="1" x14ac:dyDescent="0.25">
      <c r="A36" s="4"/>
      <c r="B36" s="4"/>
      <c r="C36" s="4"/>
      <c r="D36" s="4"/>
      <c r="E36" s="4"/>
    </row>
    <row r="37" spans="1:5" ht="15.75" customHeight="1" x14ac:dyDescent="0.25">
      <c r="A37" s="4"/>
      <c r="B37" s="4"/>
      <c r="C37" s="4"/>
      <c r="D37" s="4"/>
      <c r="E37" s="4"/>
    </row>
    <row r="38" spans="1:5" ht="15.75" customHeight="1" x14ac:dyDescent="0.25">
      <c r="A38" s="4"/>
      <c r="B38" s="4"/>
      <c r="C38" s="4"/>
      <c r="D38" s="4"/>
      <c r="E38" s="4"/>
    </row>
    <row r="39" spans="1:5" ht="15.75" customHeight="1" x14ac:dyDescent="0.25">
      <c r="A39" s="4"/>
      <c r="B39" s="4"/>
      <c r="C39" s="4"/>
      <c r="D39" s="4"/>
      <c r="E39" s="4"/>
    </row>
    <row r="40" spans="1:5" ht="15.75" customHeight="1" x14ac:dyDescent="0.25">
      <c r="A40" s="4"/>
      <c r="B40" s="4"/>
      <c r="C40" s="4"/>
      <c r="D40" s="4"/>
      <c r="E40" s="4"/>
    </row>
    <row r="41" spans="1:5" ht="15.75" customHeight="1" x14ac:dyDescent="0.25">
      <c r="A41" s="4"/>
      <c r="B41" s="4"/>
      <c r="C41" s="4"/>
      <c r="D41" s="4"/>
      <c r="E41" s="4"/>
    </row>
    <row r="42" spans="1:5" ht="15.75" customHeight="1" x14ac:dyDescent="0.25">
      <c r="A42" s="4"/>
      <c r="B42" s="4"/>
      <c r="C42" s="4"/>
      <c r="D42" s="4"/>
      <c r="E42" s="4"/>
    </row>
    <row r="43" spans="1:5" ht="15.75" customHeight="1" x14ac:dyDescent="0.25">
      <c r="A43" s="4"/>
      <c r="B43" s="4"/>
      <c r="C43" s="4"/>
      <c r="D43" s="4"/>
      <c r="E43" s="4"/>
    </row>
    <row r="44" spans="1:5" ht="15.75" customHeight="1" x14ac:dyDescent="0.25">
      <c r="A44" s="4"/>
      <c r="B44" s="4"/>
      <c r="C44" s="4"/>
      <c r="D44" s="4"/>
      <c r="E44" s="4"/>
    </row>
    <row r="45" spans="1:5" ht="15.75" customHeight="1" x14ac:dyDescent="0.25">
      <c r="A45" s="4"/>
      <c r="B45" s="4"/>
      <c r="C45" s="4"/>
      <c r="D45" s="4"/>
      <c r="E45" s="4"/>
    </row>
    <row r="46" spans="1:5" ht="15.75" customHeight="1" x14ac:dyDescent="0.25">
      <c r="A46" s="4"/>
      <c r="B46" s="4"/>
      <c r="C46" s="4"/>
      <c r="D46" s="4"/>
      <c r="E46" s="4"/>
    </row>
    <row r="47" spans="1:5" ht="15.75" customHeight="1" x14ac:dyDescent="0.25">
      <c r="A47" s="4"/>
      <c r="B47" s="4"/>
      <c r="C47" s="4"/>
      <c r="D47" s="4"/>
      <c r="E47" s="4"/>
    </row>
    <row r="48" spans="1:5" ht="15.75" customHeight="1" x14ac:dyDescent="0.25">
      <c r="A48" s="4"/>
      <c r="B48" s="4"/>
      <c r="C48" s="4"/>
      <c r="D48" s="4"/>
      <c r="E48" s="4"/>
    </row>
    <row r="49" spans="1:5" ht="15.75" customHeight="1" x14ac:dyDescent="0.25">
      <c r="A49" s="4"/>
      <c r="B49" s="4"/>
      <c r="C49" s="4"/>
      <c r="D49" s="4"/>
      <c r="E49" s="4"/>
    </row>
    <row r="50" spans="1:5" ht="15.75" customHeight="1" x14ac:dyDescent="0.25">
      <c r="A50" s="4"/>
      <c r="B50" s="4"/>
      <c r="C50" s="4"/>
      <c r="D50" s="4"/>
      <c r="E50" s="4"/>
    </row>
    <row r="51" spans="1:5" ht="15.75" customHeight="1" x14ac:dyDescent="0.25">
      <c r="A51" s="4"/>
      <c r="B51" s="4"/>
      <c r="C51" s="4"/>
      <c r="D51" s="4"/>
      <c r="E51" s="4"/>
    </row>
    <row r="52" spans="1:5" ht="15.75" customHeight="1" x14ac:dyDescent="0.25">
      <c r="A52" s="4"/>
      <c r="B52" s="4"/>
      <c r="C52" s="4"/>
      <c r="D52" s="4"/>
      <c r="E52" s="4"/>
    </row>
    <row r="53" spans="1:5" ht="15.75" customHeight="1" x14ac:dyDescent="0.25">
      <c r="A53" s="4"/>
      <c r="B53" s="4"/>
      <c r="C53" s="4"/>
      <c r="D53" s="4"/>
      <c r="E53" s="4"/>
    </row>
    <row r="54" spans="1:5" ht="15.75" customHeight="1" x14ac:dyDescent="0.25">
      <c r="A54" s="4"/>
      <c r="B54" s="4"/>
      <c r="C54" s="4"/>
      <c r="D54" s="4"/>
      <c r="E54" s="4"/>
    </row>
    <row r="55" spans="1:5" ht="15.75" customHeight="1" x14ac:dyDescent="0.25">
      <c r="A55" s="4"/>
      <c r="B55" s="4"/>
      <c r="C55" s="4"/>
      <c r="D55" s="4"/>
      <c r="E55" s="4"/>
    </row>
    <row r="56" spans="1:5" ht="15.75" customHeight="1" x14ac:dyDescent="0.25">
      <c r="A56" s="4"/>
      <c r="B56" s="4"/>
      <c r="C56" s="4"/>
      <c r="D56" s="4"/>
      <c r="E56" s="4"/>
    </row>
    <row r="57" spans="1:5" ht="15.75" customHeight="1" x14ac:dyDescent="0.25">
      <c r="A57" s="4"/>
      <c r="B57" s="4"/>
      <c r="C57" s="4"/>
      <c r="D57" s="4"/>
      <c r="E57" s="4"/>
    </row>
    <row r="58" spans="1:5" ht="15.75" customHeight="1" x14ac:dyDescent="0.25">
      <c r="A58" s="4"/>
      <c r="B58" s="4"/>
      <c r="C58" s="4"/>
      <c r="D58" s="4"/>
      <c r="E58" s="4"/>
    </row>
    <row r="59" spans="1:5" ht="15.75" customHeight="1" x14ac:dyDescent="0.25">
      <c r="A59" s="4"/>
      <c r="B59" s="4"/>
      <c r="C59" s="4"/>
      <c r="D59" s="4"/>
      <c r="E59" s="4"/>
    </row>
    <row r="60" spans="1:5" ht="15.75" customHeight="1" x14ac:dyDescent="0.25">
      <c r="A60" s="4"/>
      <c r="B60" s="4"/>
      <c r="C60" s="4"/>
      <c r="D60" s="4"/>
      <c r="E60" s="4"/>
    </row>
    <row r="61" spans="1:5" ht="15.75" customHeight="1" x14ac:dyDescent="0.25">
      <c r="A61" s="4"/>
      <c r="B61" s="4"/>
      <c r="C61" s="4"/>
      <c r="D61" s="4"/>
      <c r="E61" s="4"/>
    </row>
    <row r="62" spans="1:5" ht="15.75" customHeight="1" x14ac:dyDescent="0.25">
      <c r="A62" s="4"/>
      <c r="B62" s="4"/>
      <c r="C62" s="4"/>
      <c r="D62" s="4"/>
      <c r="E62" s="4"/>
    </row>
    <row r="63" spans="1:5" ht="15.75" customHeight="1" x14ac:dyDescent="0.25">
      <c r="A63" s="4"/>
      <c r="B63" s="4"/>
      <c r="C63" s="4"/>
      <c r="D63" s="4"/>
      <c r="E63" s="4"/>
    </row>
    <row r="64" spans="1:5" ht="15.75" customHeight="1" x14ac:dyDescent="0.25">
      <c r="A64" s="4"/>
      <c r="B64" s="4"/>
      <c r="C64" s="4"/>
      <c r="D64" s="4"/>
      <c r="E64" s="4"/>
    </row>
    <row r="65" spans="1:5" ht="15.75" customHeight="1" x14ac:dyDescent="0.25">
      <c r="A65" s="4"/>
      <c r="B65" s="4"/>
      <c r="C65" s="4"/>
      <c r="D65" s="4"/>
      <c r="E65" s="4"/>
    </row>
    <row r="66" spans="1:5" ht="15.75" customHeight="1" x14ac:dyDescent="0.25">
      <c r="A66" s="4"/>
      <c r="B66" s="4"/>
      <c r="C66" s="4"/>
      <c r="D66" s="4"/>
      <c r="E66" s="4"/>
    </row>
    <row r="67" spans="1:5" ht="15.75" customHeight="1" x14ac:dyDescent="0.25">
      <c r="A67" s="4"/>
      <c r="B67" s="4"/>
      <c r="C67" s="4"/>
      <c r="D67" s="4"/>
      <c r="E67" s="4"/>
    </row>
    <row r="68" spans="1:5" ht="15.75" customHeight="1" x14ac:dyDescent="0.25">
      <c r="A68" s="4"/>
      <c r="B68" s="4"/>
      <c r="C68" s="4"/>
      <c r="D68" s="4"/>
      <c r="E68" s="4"/>
    </row>
    <row r="69" spans="1:5" ht="15.75" customHeight="1" x14ac:dyDescent="0.25">
      <c r="A69" s="4"/>
      <c r="B69" s="4"/>
      <c r="C69" s="4"/>
      <c r="D69" s="4"/>
      <c r="E69" s="4"/>
    </row>
    <row r="70" spans="1:5" ht="15.75" customHeight="1" x14ac:dyDescent="0.25">
      <c r="A70" s="4"/>
      <c r="B70" s="4"/>
      <c r="C70" s="4"/>
      <c r="D70" s="4"/>
      <c r="E70" s="4"/>
    </row>
    <row r="71" spans="1:5" ht="15.75" customHeight="1" x14ac:dyDescent="0.25">
      <c r="A71" s="4"/>
      <c r="B71" s="4"/>
      <c r="C71" s="4"/>
      <c r="D71" s="4"/>
      <c r="E71" s="4"/>
    </row>
    <row r="72" spans="1:5" ht="15.75" customHeight="1" x14ac:dyDescent="0.25">
      <c r="A72" s="4"/>
      <c r="B72" s="4"/>
      <c r="C72" s="4"/>
      <c r="D72" s="4"/>
      <c r="E72" s="4"/>
    </row>
    <row r="73" spans="1:5" ht="15.75" customHeight="1" x14ac:dyDescent="0.25">
      <c r="A73" s="4"/>
      <c r="B73" s="4"/>
      <c r="C73" s="4"/>
      <c r="D73" s="4"/>
      <c r="E73" s="4"/>
    </row>
    <row r="74" spans="1:5" ht="15.75" customHeight="1" x14ac:dyDescent="0.25">
      <c r="A74" s="4"/>
      <c r="B74" s="4"/>
      <c r="C74" s="4"/>
      <c r="D74" s="4"/>
      <c r="E74" s="4"/>
    </row>
    <row r="75" spans="1:5" ht="15.75" customHeight="1" x14ac:dyDescent="0.25">
      <c r="A75" s="4"/>
      <c r="B75" s="4"/>
      <c r="C75" s="4"/>
      <c r="D75" s="4"/>
      <c r="E75" s="4"/>
    </row>
    <row r="76" spans="1:5" ht="15.75" customHeight="1" x14ac:dyDescent="0.25">
      <c r="A76" s="4"/>
      <c r="B76" s="4"/>
      <c r="C76" s="4"/>
      <c r="D76" s="4"/>
      <c r="E76" s="4"/>
    </row>
    <row r="77" spans="1:5" ht="15.75" customHeight="1" x14ac:dyDescent="0.25">
      <c r="A77" s="4"/>
      <c r="B77" s="4"/>
      <c r="C77" s="4"/>
      <c r="D77" s="4"/>
      <c r="E77" s="4"/>
    </row>
    <row r="78" spans="1:5" ht="15.75" customHeight="1" x14ac:dyDescent="0.25">
      <c r="A78" s="4"/>
      <c r="B78" s="4"/>
      <c r="C78" s="4"/>
      <c r="D78" s="4"/>
      <c r="E78" s="4"/>
    </row>
    <row r="79" spans="1:5" ht="15.75" customHeight="1" x14ac:dyDescent="0.25">
      <c r="A79" s="4"/>
      <c r="B79" s="4"/>
      <c r="C79" s="4"/>
      <c r="D79" s="4"/>
      <c r="E79" s="4"/>
    </row>
    <row r="80" spans="1:5" ht="15.75" customHeight="1" x14ac:dyDescent="0.25">
      <c r="A80" s="4"/>
      <c r="B80" s="4"/>
      <c r="C80" s="4"/>
      <c r="D80" s="4"/>
      <c r="E80" s="4"/>
    </row>
    <row r="81" spans="1:5" ht="15.75" customHeight="1" x14ac:dyDescent="0.25">
      <c r="A81" s="4"/>
      <c r="B81" s="4"/>
      <c r="C81" s="4"/>
      <c r="D81" s="4"/>
      <c r="E81" s="4"/>
    </row>
    <row r="82" spans="1:5" ht="15.75" customHeight="1" x14ac:dyDescent="0.25">
      <c r="A82" s="4"/>
      <c r="B82" s="4"/>
      <c r="C82" s="4"/>
      <c r="D82" s="4"/>
      <c r="E82" s="4"/>
    </row>
    <row r="83" spans="1:5" ht="15.75" customHeight="1" x14ac:dyDescent="0.25">
      <c r="A83" s="4"/>
      <c r="B83" s="4"/>
      <c r="C83" s="4"/>
      <c r="D83" s="4"/>
      <c r="E83" s="4"/>
    </row>
    <row r="84" spans="1:5" ht="15.75" customHeight="1" x14ac:dyDescent="0.25">
      <c r="A84" s="4"/>
      <c r="B84" s="4"/>
      <c r="C84" s="4"/>
      <c r="D84" s="4"/>
      <c r="E84" s="4"/>
    </row>
    <row r="85" spans="1:5" ht="15.75" customHeight="1" x14ac:dyDescent="0.25">
      <c r="A85" s="4"/>
      <c r="B85" s="4"/>
      <c r="C85" s="4"/>
      <c r="D85" s="4"/>
      <c r="E85" s="4"/>
    </row>
    <row r="86" spans="1:5" ht="15.75" customHeight="1" x14ac:dyDescent="0.25">
      <c r="A86" s="4"/>
      <c r="B86" s="4"/>
      <c r="C86" s="4"/>
      <c r="D86" s="4"/>
      <c r="E86" s="4"/>
    </row>
    <row r="87" spans="1:5" ht="15.75" customHeight="1" x14ac:dyDescent="0.25">
      <c r="A87" s="4"/>
      <c r="B87" s="4"/>
      <c r="C87" s="4"/>
      <c r="D87" s="4"/>
      <c r="E87" s="4"/>
    </row>
    <row r="88" spans="1:5" ht="15.75" customHeight="1" x14ac:dyDescent="0.25">
      <c r="A88" s="4"/>
      <c r="B88" s="4"/>
      <c r="C88" s="4"/>
      <c r="D88" s="4"/>
      <c r="E88" s="4"/>
    </row>
    <row r="89" spans="1:5" ht="15.75" customHeight="1" x14ac:dyDescent="0.25">
      <c r="A89" s="4"/>
      <c r="B89" s="4"/>
      <c r="C89" s="4"/>
      <c r="D89" s="4"/>
      <c r="E89" s="4"/>
    </row>
    <row r="90" spans="1:5" ht="15.75" customHeight="1" x14ac:dyDescent="0.25">
      <c r="A90" s="4"/>
      <c r="B90" s="4"/>
      <c r="C90" s="4"/>
      <c r="D90" s="4"/>
      <c r="E90" s="4"/>
    </row>
    <row r="91" spans="1:5" ht="15.75" customHeight="1" x14ac:dyDescent="0.25">
      <c r="A91" s="4"/>
      <c r="B91" s="4"/>
      <c r="C91" s="4"/>
      <c r="D91" s="4"/>
      <c r="E91" s="4"/>
    </row>
    <row r="92" spans="1:5" ht="15.75" customHeight="1" x14ac:dyDescent="0.25">
      <c r="A92" s="4"/>
      <c r="B92" s="4"/>
      <c r="C92" s="4"/>
      <c r="D92" s="4"/>
      <c r="E92" s="4"/>
    </row>
    <row r="93" spans="1:5" ht="15.75" customHeight="1" x14ac:dyDescent="0.25">
      <c r="A93" s="4"/>
      <c r="B93" s="4"/>
      <c r="C93" s="4"/>
      <c r="D93" s="4"/>
      <c r="E93" s="4"/>
    </row>
    <row r="94" spans="1:5" ht="15.75" customHeight="1" x14ac:dyDescent="0.25">
      <c r="A94" s="4"/>
      <c r="B94" s="4"/>
      <c r="C94" s="4"/>
      <c r="D94" s="4"/>
      <c r="E94" s="4"/>
    </row>
    <row r="95" spans="1:5" ht="15.75" customHeight="1" x14ac:dyDescent="0.25">
      <c r="A95" s="4"/>
      <c r="B95" s="4"/>
      <c r="C95" s="4"/>
      <c r="D95" s="4"/>
      <c r="E95" s="4"/>
    </row>
    <row r="96" spans="1:5" ht="15.75" customHeight="1" x14ac:dyDescent="0.25">
      <c r="A96" s="4"/>
      <c r="B96" s="4"/>
      <c r="C96" s="4"/>
      <c r="D96" s="4"/>
      <c r="E96" s="4"/>
    </row>
    <row r="97" spans="1:5" ht="15.75" customHeight="1" x14ac:dyDescent="0.25">
      <c r="A97" s="4"/>
      <c r="B97" s="4"/>
      <c r="C97" s="4"/>
      <c r="D97" s="4"/>
      <c r="E97" s="4"/>
    </row>
    <row r="98" spans="1:5" ht="15.75" customHeight="1" x14ac:dyDescent="0.25">
      <c r="A98" s="4"/>
      <c r="B98" s="4"/>
      <c r="C98" s="4"/>
      <c r="D98" s="4"/>
      <c r="E98" s="4"/>
    </row>
    <row r="99" spans="1:5" ht="15.75" customHeight="1" x14ac:dyDescent="0.25">
      <c r="A99" s="4"/>
      <c r="B99" s="4"/>
      <c r="C99" s="4"/>
      <c r="D99" s="4"/>
      <c r="E99" s="4"/>
    </row>
    <row r="100" spans="1:5" ht="15.75" customHeight="1" x14ac:dyDescent="0.25">
      <c r="A100" s="4"/>
      <c r="B100" s="4"/>
      <c r="C100" s="4"/>
      <c r="D100" s="4"/>
      <c r="E100" s="4"/>
    </row>
    <row r="101" spans="1:5" ht="15.75" customHeight="1" x14ac:dyDescent="0.25">
      <c r="A101" s="4"/>
      <c r="B101" s="4"/>
      <c r="C101" s="4"/>
      <c r="D101" s="4"/>
      <c r="E101" s="4"/>
    </row>
    <row r="102" spans="1:5" ht="15.75" customHeight="1" x14ac:dyDescent="0.25">
      <c r="A102" s="4"/>
      <c r="B102" s="4"/>
      <c r="C102" s="4"/>
      <c r="D102" s="4"/>
      <c r="E102" s="4"/>
    </row>
    <row r="103" spans="1:5" ht="15.75" customHeight="1" x14ac:dyDescent="0.25">
      <c r="A103" s="4"/>
      <c r="B103" s="4"/>
      <c r="C103" s="4"/>
      <c r="D103" s="4"/>
      <c r="E103" s="4"/>
    </row>
    <row r="104" spans="1:5" ht="15.75" customHeight="1" x14ac:dyDescent="0.25">
      <c r="A104" s="4"/>
      <c r="B104" s="4"/>
      <c r="C104" s="4"/>
      <c r="D104" s="4"/>
      <c r="E104" s="4"/>
    </row>
    <row r="105" spans="1:5" ht="15.75" customHeight="1" x14ac:dyDescent="0.25">
      <c r="A105" s="4"/>
      <c r="B105" s="4"/>
      <c r="C105" s="4"/>
      <c r="D105" s="4"/>
      <c r="E105" s="4"/>
    </row>
    <row r="106" spans="1:5" ht="15.75" customHeight="1" x14ac:dyDescent="0.25">
      <c r="A106" s="4"/>
      <c r="B106" s="4"/>
      <c r="C106" s="4"/>
      <c r="D106" s="4"/>
      <c r="E106" s="4"/>
    </row>
    <row r="107" spans="1:5" ht="15.75" customHeight="1" x14ac:dyDescent="0.25">
      <c r="A107" s="4"/>
      <c r="B107" s="4"/>
      <c r="C107" s="4"/>
      <c r="D107" s="4"/>
      <c r="E107" s="4"/>
    </row>
    <row r="108" spans="1:5" ht="15.75" customHeight="1" x14ac:dyDescent="0.25">
      <c r="A108" s="4"/>
      <c r="B108" s="4"/>
      <c r="C108" s="4"/>
      <c r="D108" s="4"/>
      <c r="E108" s="4"/>
    </row>
    <row r="109" spans="1:5" ht="15.75" customHeight="1" x14ac:dyDescent="0.25">
      <c r="A109" s="4"/>
      <c r="B109" s="4"/>
      <c r="C109" s="4"/>
      <c r="D109" s="4"/>
      <c r="E109" s="4"/>
    </row>
    <row r="110" spans="1:5" ht="15.75" customHeight="1" x14ac:dyDescent="0.25">
      <c r="A110" s="4"/>
      <c r="B110" s="4"/>
      <c r="C110" s="4"/>
      <c r="D110" s="4"/>
      <c r="E110" s="4"/>
    </row>
    <row r="111" spans="1:5" ht="15.75" customHeight="1" x14ac:dyDescent="0.25">
      <c r="A111" s="4"/>
      <c r="B111" s="4"/>
      <c r="C111" s="4"/>
      <c r="D111" s="4"/>
      <c r="E111" s="4"/>
    </row>
    <row r="112" spans="1:5" ht="15.75" customHeight="1" x14ac:dyDescent="0.25">
      <c r="A112" s="4"/>
      <c r="B112" s="4"/>
      <c r="C112" s="4"/>
      <c r="D112" s="4"/>
      <c r="E112" s="4"/>
    </row>
    <row r="113" spans="1:5" ht="15.75" customHeight="1" x14ac:dyDescent="0.25">
      <c r="A113" s="4"/>
      <c r="B113" s="4"/>
      <c r="C113" s="4"/>
      <c r="D113" s="4"/>
      <c r="E113" s="4"/>
    </row>
    <row r="114" spans="1:5" ht="15.75" customHeight="1" x14ac:dyDescent="0.25">
      <c r="A114" s="4"/>
      <c r="B114" s="4"/>
      <c r="C114" s="4"/>
      <c r="D114" s="4"/>
      <c r="E114" s="4"/>
    </row>
    <row r="115" spans="1:5" ht="15.75" customHeight="1" x14ac:dyDescent="0.25">
      <c r="A115" s="4"/>
      <c r="B115" s="4"/>
      <c r="C115" s="4"/>
      <c r="D115" s="4"/>
      <c r="E115" s="4"/>
    </row>
    <row r="116" spans="1:5" ht="15.75" customHeight="1" x14ac:dyDescent="0.25">
      <c r="A116" s="4"/>
      <c r="B116" s="4"/>
      <c r="C116" s="4"/>
      <c r="D116" s="4"/>
      <c r="E116" s="4"/>
    </row>
    <row r="117" spans="1:5" ht="15.75" customHeight="1" x14ac:dyDescent="0.25">
      <c r="A117" s="4"/>
      <c r="B117" s="4"/>
      <c r="C117" s="4"/>
      <c r="D117" s="4"/>
      <c r="E117" s="4"/>
    </row>
    <row r="118" spans="1:5" ht="15.75" customHeight="1" x14ac:dyDescent="0.25">
      <c r="A118" s="4"/>
      <c r="B118" s="4"/>
      <c r="C118" s="4"/>
      <c r="D118" s="4"/>
      <c r="E118" s="4"/>
    </row>
    <row r="119" spans="1:5" ht="15.75" customHeight="1" x14ac:dyDescent="0.25">
      <c r="A119" s="4"/>
      <c r="B119" s="4"/>
      <c r="C119" s="4"/>
      <c r="D119" s="4"/>
      <c r="E119" s="4"/>
    </row>
    <row r="120" spans="1:5" ht="15.75" customHeight="1" x14ac:dyDescent="0.25">
      <c r="A120" s="4"/>
      <c r="B120" s="4"/>
      <c r="C120" s="4"/>
      <c r="D120" s="4"/>
      <c r="E120" s="4"/>
    </row>
    <row r="121" spans="1:5" ht="15.75" customHeight="1" x14ac:dyDescent="0.25">
      <c r="A121" s="4"/>
      <c r="B121" s="4"/>
      <c r="C121" s="4"/>
      <c r="D121" s="4"/>
      <c r="E121" s="4"/>
    </row>
    <row r="122" spans="1:5" ht="15.75" customHeight="1" x14ac:dyDescent="0.25">
      <c r="A122" s="4"/>
      <c r="B122" s="4"/>
      <c r="C122" s="4"/>
      <c r="D122" s="4"/>
      <c r="E122" s="4"/>
    </row>
    <row r="123" spans="1:5" ht="15.75" customHeight="1" x14ac:dyDescent="0.25">
      <c r="A123" s="4"/>
      <c r="B123" s="4"/>
      <c r="C123" s="4"/>
      <c r="D123" s="4"/>
      <c r="E123" s="4"/>
    </row>
    <row r="124" spans="1:5" ht="15.75" customHeight="1" x14ac:dyDescent="0.25">
      <c r="A124" s="4"/>
      <c r="B124" s="4"/>
      <c r="C124" s="4"/>
      <c r="D124" s="4"/>
      <c r="E124" s="4"/>
    </row>
    <row r="125" spans="1:5" ht="15.75" customHeight="1" x14ac:dyDescent="0.25">
      <c r="A125" s="4"/>
      <c r="B125" s="4"/>
      <c r="C125" s="4"/>
      <c r="D125" s="4"/>
      <c r="E125" s="4"/>
    </row>
    <row r="126" spans="1:5" ht="15.75" customHeight="1" x14ac:dyDescent="0.25">
      <c r="A126" s="4"/>
      <c r="B126" s="4"/>
      <c r="C126" s="4"/>
      <c r="D126" s="4"/>
      <c r="E126" s="4"/>
    </row>
    <row r="127" spans="1:5" ht="15.75" customHeight="1" x14ac:dyDescent="0.25">
      <c r="A127" s="4"/>
      <c r="B127" s="4"/>
      <c r="C127" s="4"/>
      <c r="D127" s="4"/>
      <c r="E127" s="4"/>
    </row>
    <row r="128" spans="1:5" ht="15.75" customHeight="1" x14ac:dyDescent="0.25">
      <c r="A128" s="4"/>
      <c r="B128" s="4"/>
      <c r="C128" s="4"/>
      <c r="D128" s="4"/>
      <c r="E128" s="4"/>
    </row>
    <row r="129" spans="1:5" ht="15.75" customHeight="1" x14ac:dyDescent="0.25">
      <c r="A129" s="4"/>
      <c r="B129" s="4"/>
      <c r="C129" s="4"/>
      <c r="D129" s="4"/>
      <c r="E129" s="4"/>
    </row>
    <row r="130" spans="1:5" ht="15.75" customHeight="1" x14ac:dyDescent="0.25">
      <c r="A130" s="4"/>
      <c r="B130" s="4"/>
      <c r="C130" s="4"/>
      <c r="D130" s="4"/>
      <c r="E130" s="4"/>
    </row>
    <row r="131" spans="1:5" ht="15.75" customHeight="1" x14ac:dyDescent="0.25">
      <c r="A131" s="4"/>
      <c r="B131" s="4"/>
      <c r="C131" s="4"/>
      <c r="D131" s="4"/>
      <c r="E131" s="4"/>
    </row>
    <row r="132" spans="1:5" ht="15.75" customHeight="1" x14ac:dyDescent="0.25">
      <c r="A132" s="4"/>
      <c r="B132" s="4"/>
      <c r="C132" s="4"/>
      <c r="D132" s="4"/>
      <c r="E132" s="4"/>
    </row>
    <row r="133" spans="1:5" ht="15.75" customHeight="1" x14ac:dyDescent="0.25">
      <c r="A133" s="4"/>
      <c r="B133" s="4"/>
      <c r="C133" s="4"/>
      <c r="D133" s="4"/>
      <c r="E133" s="4"/>
    </row>
    <row r="134" spans="1:5" ht="15.75" customHeight="1" x14ac:dyDescent="0.25">
      <c r="A134" s="4"/>
      <c r="B134" s="4"/>
      <c r="C134" s="4"/>
      <c r="D134" s="4"/>
      <c r="E134" s="4"/>
    </row>
    <row r="135" spans="1:5" ht="15.75" customHeight="1" x14ac:dyDescent="0.25">
      <c r="A135" s="4"/>
      <c r="B135" s="4"/>
      <c r="C135" s="4"/>
      <c r="D135" s="4"/>
      <c r="E135" s="4"/>
    </row>
    <row r="136" spans="1:5" ht="15.75" customHeight="1" x14ac:dyDescent="0.25">
      <c r="A136" s="4"/>
      <c r="B136" s="4"/>
      <c r="C136" s="4"/>
      <c r="D136" s="4"/>
      <c r="E136" s="4"/>
    </row>
    <row r="137" spans="1:5" ht="15.75" customHeight="1" x14ac:dyDescent="0.25">
      <c r="A137" s="4"/>
      <c r="B137" s="4"/>
      <c r="C137" s="4"/>
      <c r="D137" s="4"/>
      <c r="E137" s="4"/>
    </row>
    <row r="138" spans="1:5" ht="15.75" customHeight="1" x14ac:dyDescent="0.25">
      <c r="A138" s="4"/>
      <c r="B138" s="4"/>
      <c r="C138" s="4"/>
      <c r="D138" s="4"/>
      <c r="E138" s="4"/>
    </row>
    <row r="139" spans="1:5" ht="15.75" customHeight="1" x14ac:dyDescent="0.25">
      <c r="A139" s="4"/>
      <c r="B139" s="4"/>
      <c r="C139" s="4"/>
      <c r="D139" s="4"/>
      <c r="E139" s="4"/>
    </row>
    <row r="140" spans="1:5" ht="15.75" customHeight="1" x14ac:dyDescent="0.25">
      <c r="A140" s="4"/>
      <c r="B140" s="4"/>
      <c r="C140" s="4"/>
      <c r="D140" s="4"/>
      <c r="E140" s="4"/>
    </row>
    <row r="141" spans="1:5" ht="15.75" customHeight="1" x14ac:dyDescent="0.25">
      <c r="A141" s="4"/>
      <c r="B141" s="4"/>
      <c r="C141" s="4"/>
      <c r="D141" s="4"/>
      <c r="E141" s="4"/>
    </row>
    <row r="142" spans="1:5" ht="15.75" customHeight="1" x14ac:dyDescent="0.25">
      <c r="A142" s="4"/>
      <c r="B142" s="4"/>
      <c r="C142" s="4"/>
      <c r="D142" s="4"/>
      <c r="E142" s="4"/>
    </row>
    <row r="143" spans="1:5" ht="15.75" customHeight="1" x14ac:dyDescent="0.25">
      <c r="A143" s="4"/>
      <c r="B143" s="4"/>
      <c r="C143" s="4"/>
      <c r="D143" s="4"/>
      <c r="E143" s="4"/>
    </row>
    <row r="144" spans="1:5" ht="15.75" customHeight="1" x14ac:dyDescent="0.25">
      <c r="A144" s="4"/>
      <c r="B144" s="4"/>
      <c r="C144" s="4"/>
      <c r="D144" s="4"/>
      <c r="E144" s="4"/>
    </row>
    <row r="145" spans="1:5" ht="15.75" customHeight="1" x14ac:dyDescent="0.25">
      <c r="A145" s="4"/>
      <c r="B145" s="4"/>
      <c r="C145" s="4"/>
      <c r="D145" s="4"/>
      <c r="E145" s="4"/>
    </row>
    <row r="146" spans="1:5" ht="15.75" customHeight="1" x14ac:dyDescent="0.25">
      <c r="A146" s="4"/>
      <c r="B146" s="4"/>
      <c r="C146" s="4"/>
      <c r="D146" s="4"/>
      <c r="E146" s="4"/>
    </row>
    <row r="147" spans="1:5" ht="15.75" customHeight="1" x14ac:dyDescent="0.25">
      <c r="A147" s="4"/>
      <c r="B147" s="4"/>
      <c r="C147" s="4"/>
      <c r="D147" s="4"/>
      <c r="E147" s="4"/>
    </row>
    <row r="148" spans="1:5" ht="15.75" customHeight="1" x14ac:dyDescent="0.25">
      <c r="A148" s="4"/>
      <c r="B148" s="4"/>
      <c r="C148" s="4"/>
      <c r="D148" s="4"/>
      <c r="E148" s="4"/>
    </row>
    <row r="149" spans="1:5" ht="15.75" customHeight="1" x14ac:dyDescent="0.25">
      <c r="A149" s="4"/>
      <c r="B149" s="4"/>
      <c r="C149" s="4"/>
      <c r="D149" s="4"/>
      <c r="E149" s="4"/>
    </row>
    <row r="150" spans="1:5" ht="15.75" customHeight="1" x14ac:dyDescent="0.25">
      <c r="A150" s="4"/>
      <c r="B150" s="4"/>
      <c r="C150" s="4"/>
      <c r="D150" s="4"/>
      <c r="E150" s="4"/>
    </row>
    <row r="151" spans="1:5" ht="15.75" customHeight="1" x14ac:dyDescent="0.25">
      <c r="A151" s="4"/>
      <c r="B151" s="4"/>
      <c r="C151" s="4"/>
      <c r="D151" s="4"/>
      <c r="E151" s="4"/>
    </row>
    <row r="152" spans="1:5" ht="15.75" customHeight="1" x14ac:dyDescent="0.25">
      <c r="A152" s="4"/>
      <c r="B152" s="4"/>
      <c r="C152" s="4"/>
      <c r="D152" s="4"/>
      <c r="E152" s="4"/>
    </row>
    <row r="153" spans="1:5" ht="15.75" customHeight="1" x14ac:dyDescent="0.25">
      <c r="A153" s="4"/>
      <c r="B153" s="4"/>
      <c r="C153" s="4"/>
      <c r="D153" s="4"/>
      <c r="E153" s="4"/>
    </row>
    <row r="154" spans="1:5" ht="15.75" customHeight="1" x14ac:dyDescent="0.25">
      <c r="A154" s="4"/>
      <c r="B154" s="4"/>
      <c r="C154" s="4"/>
      <c r="D154" s="4"/>
      <c r="E154" s="4"/>
    </row>
    <row r="155" spans="1:5" ht="15.75" customHeight="1" x14ac:dyDescent="0.25">
      <c r="A155" s="4"/>
      <c r="B155" s="4"/>
      <c r="C155" s="4"/>
      <c r="D155" s="4"/>
      <c r="E155" s="4"/>
    </row>
    <row r="156" spans="1:5" ht="15.75" customHeight="1" x14ac:dyDescent="0.25">
      <c r="A156" s="4"/>
      <c r="B156" s="4"/>
      <c r="C156" s="4"/>
      <c r="D156" s="4"/>
      <c r="E156" s="4"/>
    </row>
    <row r="157" spans="1:5" ht="15.75" customHeight="1" x14ac:dyDescent="0.25">
      <c r="A157" s="4"/>
      <c r="B157" s="4"/>
      <c r="C157" s="4"/>
      <c r="D157" s="4"/>
      <c r="E157" s="4"/>
    </row>
    <row r="158" spans="1:5" ht="15.75" customHeight="1" x14ac:dyDescent="0.25">
      <c r="A158" s="4"/>
      <c r="B158" s="4"/>
      <c r="C158" s="4"/>
      <c r="D158" s="4"/>
      <c r="E158" s="4"/>
    </row>
    <row r="159" spans="1:5" ht="15.75" customHeight="1" x14ac:dyDescent="0.25">
      <c r="A159" s="4"/>
      <c r="B159" s="4"/>
      <c r="C159" s="4"/>
      <c r="D159" s="4"/>
      <c r="E159" s="4"/>
    </row>
    <row r="160" spans="1:5" ht="15.75" customHeight="1" x14ac:dyDescent="0.25">
      <c r="A160" s="4"/>
      <c r="B160" s="4"/>
      <c r="C160" s="4"/>
      <c r="D160" s="4"/>
      <c r="E160" s="4"/>
    </row>
    <row r="161" spans="1:5" ht="15.75" customHeight="1" x14ac:dyDescent="0.25">
      <c r="A161" s="4"/>
      <c r="B161" s="4"/>
      <c r="C161" s="4"/>
      <c r="D161" s="4"/>
      <c r="E161" s="4"/>
    </row>
    <row r="162" spans="1:5" ht="15.75" customHeight="1" x14ac:dyDescent="0.25">
      <c r="A162" s="4"/>
      <c r="B162" s="4"/>
      <c r="C162" s="4"/>
      <c r="D162" s="4"/>
      <c r="E162" s="4"/>
    </row>
    <row r="163" spans="1:5" ht="15.75" customHeight="1" x14ac:dyDescent="0.25">
      <c r="A163" s="4"/>
      <c r="B163" s="4"/>
      <c r="C163" s="4"/>
      <c r="D163" s="4"/>
      <c r="E163" s="4"/>
    </row>
    <row r="164" spans="1:5" ht="15.75" customHeight="1" x14ac:dyDescent="0.25">
      <c r="A164" s="4"/>
      <c r="B164" s="4"/>
      <c r="C164" s="4"/>
      <c r="D164" s="4"/>
      <c r="E164" s="4"/>
    </row>
    <row r="165" spans="1:5" ht="15.75" customHeight="1" x14ac:dyDescent="0.25">
      <c r="A165" s="4"/>
      <c r="B165" s="4"/>
      <c r="C165" s="4"/>
      <c r="D165" s="4"/>
      <c r="E165" s="4"/>
    </row>
    <row r="166" spans="1:5" ht="15.75" customHeight="1" x14ac:dyDescent="0.25">
      <c r="A166" s="4"/>
      <c r="B166" s="4"/>
      <c r="C166" s="4"/>
      <c r="D166" s="4"/>
      <c r="E166" s="4"/>
    </row>
    <row r="167" spans="1:5" ht="15.75" customHeight="1" x14ac:dyDescent="0.25">
      <c r="A167" s="4"/>
      <c r="B167" s="4"/>
      <c r="C167" s="4"/>
      <c r="D167" s="4"/>
      <c r="E167" s="4"/>
    </row>
    <row r="168" spans="1:5" ht="15.75" customHeight="1" x14ac:dyDescent="0.25">
      <c r="A168" s="4"/>
      <c r="B168" s="4"/>
      <c r="C168" s="4"/>
      <c r="D168" s="4"/>
      <c r="E168" s="4"/>
    </row>
    <row r="169" spans="1:5" ht="15.75" customHeight="1" x14ac:dyDescent="0.25">
      <c r="A169" s="4"/>
      <c r="B169" s="4"/>
      <c r="C169" s="4"/>
      <c r="D169" s="4"/>
      <c r="E169" s="4"/>
    </row>
    <row r="170" spans="1:5" ht="15.75" customHeight="1" x14ac:dyDescent="0.25">
      <c r="A170" s="4"/>
      <c r="B170" s="4"/>
      <c r="C170" s="4"/>
      <c r="D170" s="4"/>
      <c r="E170" s="4"/>
    </row>
    <row r="171" spans="1:5" ht="15.75" customHeight="1" x14ac:dyDescent="0.25">
      <c r="A171" s="4"/>
      <c r="B171" s="4"/>
      <c r="C171" s="4"/>
      <c r="D171" s="4"/>
      <c r="E171" s="4"/>
    </row>
    <row r="172" spans="1:5" ht="15.75" customHeight="1" x14ac:dyDescent="0.25">
      <c r="A172" s="4"/>
      <c r="B172" s="4"/>
      <c r="C172" s="4"/>
      <c r="D172" s="4"/>
      <c r="E172" s="4"/>
    </row>
    <row r="173" spans="1:5" ht="15.75" customHeight="1" x14ac:dyDescent="0.25">
      <c r="A173" s="4"/>
      <c r="B173" s="4"/>
      <c r="C173" s="4"/>
      <c r="D173" s="4"/>
      <c r="E173" s="4"/>
    </row>
    <row r="174" spans="1:5" ht="15.75" customHeight="1" x14ac:dyDescent="0.25">
      <c r="A174" s="4"/>
      <c r="B174" s="4"/>
      <c r="C174" s="4"/>
      <c r="D174" s="4"/>
      <c r="E174" s="4"/>
    </row>
    <row r="175" spans="1:5" ht="15.75" customHeight="1" x14ac:dyDescent="0.25">
      <c r="A175" s="4"/>
      <c r="B175" s="4"/>
      <c r="C175" s="4"/>
      <c r="D175" s="4"/>
      <c r="E175" s="4"/>
    </row>
    <row r="176" spans="1:5" ht="15.75" customHeight="1" x14ac:dyDescent="0.25">
      <c r="A176" s="4"/>
      <c r="B176" s="4"/>
      <c r="C176" s="4"/>
      <c r="D176" s="4"/>
      <c r="E176" s="4"/>
    </row>
    <row r="177" spans="1:5" ht="15.75" customHeight="1" x14ac:dyDescent="0.25">
      <c r="A177" s="4"/>
      <c r="B177" s="4"/>
      <c r="C177" s="4"/>
      <c r="D177" s="4"/>
      <c r="E177" s="4"/>
    </row>
    <row r="178" spans="1:5" ht="15.75" customHeight="1" x14ac:dyDescent="0.25">
      <c r="A178" s="4"/>
      <c r="B178" s="4"/>
      <c r="C178" s="4"/>
      <c r="D178" s="4"/>
      <c r="E178" s="4"/>
    </row>
    <row r="179" spans="1:5" ht="15.75" customHeight="1" x14ac:dyDescent="0.25">
      <c r="A179" s="4"/>
      <c r="B179" s="4"/>
      <c r="C179" s="4"/>
      <c r="D179" s="4"/>
      <c r="E179" s="4"/>
    </row>
    <row r="180" spans="1:5" ht="15.75" customHeight="1" x14ac:dyDescent="0.25">
      <c r="A180" s="4"/>
      <c r="B180" s="4"/>
      <c r="C180" s="4"/>
      <c r="D180" s="4"/>
      <c r="E180" s="4"/>
    </row>
    <row r="181" spans="1:5" ht="15.75" customHeight="1" x14ac:dyDescent="0.25">
      <c r="A181" s="4"/>
      <c r="B181" s="4"/>
      <c r="C181" s="4"/>
      <c r="D181" s="4"/>
      <c r="E181" s="4"/>
    </row>
    <row r="182" spans="1:5" ht="15.75" customHeight="1" x14ac:dyDescent="0.25">
      <c r="A182" s="4"/>
      <c r="B182" s="4"/>
      <c r="C182" s="4"/>
      <c r="D182" s="4"/>
      <c r="E182" s="4"/>
    </row>
    <row r="183" spans="1:5" ht="15.75" customHeight="1" x14ac:dyDescent="0.25">
      <c r="A183" s="4"/>
      <c r="B183" s="4"/>
      <c r="C183" s="4"/>
      <c r="D183" s="4"/>
      <c r="E183" s="4"/>
    </row>
    <row r="184" spans="1:5" ht="15.75" customHeight="1" x14ac:dyDescent="0.25">
      <c r="A184" s="4"/>
      <c r="B184" s="4"/>
      <c r="C184" s="4"/>
      <c r="D184" s="4"/>
      <c r="E184" s="4"/>
    </row>
    <row r="185" spans="1:5" ht="15.75" customHeight="1" x14ac:dyDescent="0.25">
      <c r="A185" s="4"/>
      <c r="B185" s="4"/>
      <c r="C185" s="4"/>
      <c r="D185" s="4"/>
      <c r="E185" s="4"/>
    </row>
    <row r="186" spans="1:5" ht="15.75" customHeight="1" x14ac:dyDescent="0.25">
      <c r="A186" s="4"/>
      <c r="B186" s="4"/>
      <c r="C186" s="4"/>
      <c r="D186" s="4"/>
      <c r="E186" s="4"/>
    </row>
    <row r="187" spans="1:5" ht="15.75" customHeight="1" x14ac:dyDescent="0.25">
      <c r="A187" s="4"/>
      <c r="B187" s="4"/>
      <c r="C187" s="4"/>
      <c r="D187" s="4"/>
      <c r="E187" s="4"/>
    </row>
    <row r="188" spans="1:5" ht="15.75" customHeight="1" x14ac:dyDescent="0.25">
      <c r="A188" s="4"/>
      <c r="B188" s="4"/>
      <c r="C188" s="4"/>
      <c r="D188" s="4"/>
      <c r="E188" s="4"/>
    </row>
    <row r="189" spans="1:5" ht="15.75" customHeight="1" x14ac:dyDescent="0.25">
      <c r="A189" s="4"/>
      <c r="B189" s="4"/>
      <c r="C189" s="4"/>
      <c r="D189" s="4"/>
      <c r="E189" s="4"/>
    </row>
    <row r="190" spans="1:5" ht="15.75" customHeight="1" x14ac:dyDescent="0.25">
      <c r="A190" s="4"/>
      <c r="B190" s="4"/>
      <c r="C190" s="4"/>
      <c r="D190" s="4"/>
      <c r="E190" s="4"/>
    </row>
    <row r="191" spans="1:5" ht="15.75" customHeight="1" x14ac:dyDescent="0.25">
      <c r="A191" s="4"/>
      <c r="B191" s="4"/>
      <c r="C191" s="4"/>
      <c r="D191" s="4"/>
      <c r="E191" s="4"/>
    </row>
    <row r="192" spans="1:5" ht="15.75" customHeight="1" x14ac:dyDescent="0.25">
      <c r="A192" s="4"/>
      <c r="B192" s="4"/>
      <c r="C192" s="4"/>
      <c r="D192" s="4"/>
      <c r="E192" s="4"/>
    </row>
    <row r="193" spans="1:5" ht="15.75" customHeight="1" x14ac:dyDescent="0.25">
      <c r="A193" s="4"/>
      <c r="B193" s="4"/>
      <c r="C193" s="4"/>
      <c r="D193" s="4"/>
      <c r="E193" s="4"/>
    </row>
    <row r="194" spans="1:5" ht="15.75" customHeight="1" x14ac:dyDescent="0.25">
      <c r="A194" s="4"/>
      <c r="B194" s="4"/>
      <c r="C194" s="4"/>
      <c r="D194" s="4"/>
      <c r="E194" s="4"/>
    </row>
    <row r="195" spans="1:5" ht="15.75" customHeight="1" x14ac:dyDescent="0.25">
      <c r="A195" s="4"/>
      <c r="B195" s="4"/>
      <c r="C195" s="4"/>
      <c r="D195" s="4"/>
      <c r="E195" s="4"/>
    </row>
    <row r="196" spans="1:5" ht="15.75" customHeight="1" x14ac:dyDescent="0.25">
      <c r="A196" s="4"/>
      <c r="B196" s="4"/>
      <c r="C196" s="4"/>
      <c r="D196" s="4"/>
      <c r="E196" s="4"/>
    </row>
    <row r="197" spans="1:5" ht="15.75" customHeight="1" x14ac:dyDescent="0.25">
      <c r="A197" s="4"/>
      <c r="B197" s="4"/>
      <c r="C197" s="4"/>
      <c r="D197" s="4"/>
      <c r="E197" s="4"/>
    </row>
    <row r="198" spans="1:5" ht="15.75" customHeight="1" x14ac:dyDescent="0.25">
      <c r="A198" s="4"/>
      <c r="B198" s="4"/>
      <c r="C198" s="4"/>
      <c r="D198" s="4"/>
      <c r="E198" s="4"/>
    </row>
    <row r="199" spans="1:5" ht="15.75" customHeight="1" x14ac:dyDescent="0.25">
      <c r="A199" s="4"/>
      <c r="B199" s="4"/>
      <c r="C199" s="4"/>
      <c r="D199" s="4"/>
      <c r="E199" s="4"/>
    </row>
    <row r="200" spans="1:5" ht="15.75" customHeight="1" x14ac:dyDescent="0.25">
      <c r="A200" s="4"/>
      <c r="B200" s="4"/>
      <c r="C200" s="4"/>
      <c r="D200" s="4"/>
      <c r="E200" s="4"/>
    </row>
    <row r="201" spans="1:5" ht="15.75" customHeight="1" x14ac:dyDescent="0.25">
      <c r="A201" s="4"/>
      <c r="B201" s="4"/>
      <c r="C201" s="4"/>
      <c r="D201" s="4"/>
      <c r="E201" s="4"/>
    </row>
    <row r="202" spans="1:5" ht="15.75" customHeight="1" x14ac:dyDescent="0.25">
      <c r="A202" s="4"/>
      <c r="B202" s="4"/>
      <c r="C202" s="4"/>
      <c r="D202" s="4"/>
      <c r="E202" s="4"/>
    </row>
    <row r="203" spans="1:5" ht="15.75" customHeight="1" x14ac:dyDescent="0.25">
      <c r="A203" s="4"/>
      <c r="B203" s="4"/>
      <c r="C203" s="4"/>
      <c r="D203" s="4"/>
      <c r="E203" s="4"/>
    </row>
    <row r="204" spans="1:5" ht="15.75" customHeight="1" x14ac:dyDescent="0.25">
      <c r="A204" s="4"/>
      <c r="B204" s="4"/>
      <c r="C204" s="4"/>
      <c r="D204" s="4"/>
      <c r="E204" s="4"/>
    </row>
    <row r="205" spans="1:5" ht="15.75" customHeight="1" x14ac:dyDescent="0.25">
      <c r="A205" s="4"/>
      <c r="B205" s="4"/>
      <c r="C205" s="4"/>
      <c r="D205" s="4"/>
      <c r="E205" s="4"/>
    </row>
    <row r="206" spans="1:5" ht="15.75" customHeight="1" x14ac:dyDescent="0.25">
      <c r="A206" s="4"/>
      <c r="B206" s="4"/>
      <c r="C206" s="4"/>
      <c r="D206" s="4"/>
      <c r="E206" s="4"/>
    </row>
    <row r="207" spans="1:5" ht="15.75" customHeight="1" x14ac:dyDescent="0.25">
      <c r="A207" s="4"/>
      <c r="B207" s="4"/>
      <c r="C207" s="4"/>
      <c r="D207" s="4"/>
      <c r="E207" s="4"/>
    </row>
    <row r="208" spans="1:5" ht="15.75" customHeight="1" x14ac:dyDescent="0.25">
      <c r="A208" s="4"/>
      <c r="B208" s="4"/>
      <c r="C208" s="4"/>
      <c r="D208" s="4"/>
      <c r="E208" s="4"/>
    </row>
    <row r="209" spans="1:5" ht="15.75" customHeight="1" x14ac:dyDescent="0.25">
      <c r="A209" s="4"/>
      <c r="B209" s="4"/>
      <c r="C209" s="4"/>
      <c r="D209" s="4"/>
      <c r="E209" s="4"/>
    </row>
    <row r="210" spans="1:5" ht="15.75" customHeight="1" x14ac:dyDescent="0.25">
      <c r="A210" s="4"/>
      <c r="B210" s="4"/>
      <c r="C210" s="4"/>
      <c r="D210" s="4"/>
      <c r="E210" s="4"/>
    </row>
    <row r="211" spans="1:5" ht="15.75" customHeight="1" x14ac:dyDescent="0.25">
      <c r="A211" s="4"/>
      <c r="B211" s="4"/>
      <c r="C211" s="4"/>
      <c r="D211" s="4"/>
      <c r="E211" s="4"/>
    </row>
    <row r="212" spans="1:5" ht="15.75" customHeight="1" x14ac:dyDescent="0.25">
      <c r="A212" s="4"/>
      <c r="B212" s="4"/>
      <c r="C212" s="4"/>
      <c r="D212" s="4"/>
      <c r="E212" s="4"/>
    </row>
    <row r="213" spans="1:5" ht="15.75" customHeight="1" x14ac:dyDescent="0.25">
      <c r="A213" s="4"/>
      <c r="B213" s="4"/>
      <c r="C213" s="4"/>
      <c r="D213" s="4"/>
      <c r="E213" s="4"/>
    </row>
    <row r="214" spans="1:5" ht="15.75" customHeight="1" x14ac:dyDescent="0.25">
      <c r="A214" s="4"/>
      <c r="B214" s="4"/>
      <c r="C214" s="4"/>
      <c r="D214" s="4"/>
      <c r="E214" s="4"/>
    </row>
    <row r="215" spans="1:5" ht="15.75" customHeight="1" x14ac:dyDescent="0.25">
      <c r="A215" s="4"/>
      <c r="B215" s="4"/>
      <c r="C215" s="4"/>
      <c r="D215" s="4"/>
      <c r="E215" s="4"/>
    </row>
    <row r="216" spans="1:5" ht="15.75" customHeight="1" x14ac:dyDescent="0.25">
      <c r="A216" s="4"/>
      <c r="B216" s="4"/>
      <c r="C216" s="4"/>
      <c r="D216" s="4"/>
      <c r="E216" s="4"/>
    </row>
    <row r="217" spans="1:5" ht="15.75" customHeight="1" x14ac:dyDescent="0.25">
      <c r="A217" s="4"/>
      <c r="B217" s="4"/>
      <c r="C217" s="4"/>
      <c r="D217" s="4"/>
      <c r="E217" s="4"/>
    </row>
    <row r="218" spans="1:5" ht="15.75" customHeight="1" x14ac:dyDescent="0.25">
      <c r="A218" s="4"/>
      <c r="B218" s="4"/>
      <c r="C218" s="4"/>
      <c r="D218" s="4"/>
      <c r="E218" s="4"/>
    </row>
    <row r="219" spans="1:5" ht="15.75" customHeight="1" x14ac:dyDescent="0.25">
      <c r="A219" s="4"/>
      <c r="B219" s="4"/>
      <c r="C219" s="4"/>
      <c r="D219" s="4"/>
      <c r="E219" s="4"/>
    </row>
    <row r="220" spans="1:5" ht="15.75" customHeight="1" x14ac:dyDescent="0.25">
      <c r="A220" s="4"/>
      <c r="B220" s="4"/>
      <c r="C220" s="4"/>
      <c r="D220" s="4"/>
      <c r="E220" s="4"/>
    </row>
    <row r="221" spans="1:5" ht="15.75" customHeight="1" x14ac:dyDescent="0.25">
      <c r="A221" s="4"/>
      <c r="B221" s="4"/>
      <c r="C221" s="4"/>
      <c r="D221" s="4"/>
      <c r="E221" s="4"/>
    </row>
    <row r="222" spans="1:5" ht="15.75" customHeight="1" x14ac:dyDescent="0.25">
      <c r="A222" s="4"/>
      <c r="B222" s="4"/>
      <c r="C222" s="4"/>
      <c r="D222" s="4"/>
      <c r="E222" s="4"/>
    </row>
    <row r="223" spans="1:5" ht="15.75" customHeight="1" x14ac:dyDescent="0.25">
      <c r="A223" s="4"/>
      <c r="B223" s="4"/>
      <c r="C223" s="4"/>
      <c r="D223" s="4"/>
      <c r="E223" s="4"/>
    </row>
    <row r="224" spans="1:5" ht="15.75" customHeight="1" x14ac:dyDescent="0.25">
      <c r="A224" s="4"/>
      <c r="B224" s="4"/>
      <c r="C224" s="4"/>
      <c r="D224" s="4"/>
      <c r="E224" s="4"/>
    </row>
    <row r="225" spans="1:5" ht="15.75" customHeight="1" x14ac:dyDescent="0.25">
      <c r="A225" s="4"/>
      <c r="B225" s="4"/>
      <c r="C225" s="4"/>
      <c r="D225" s="4"/>
      <c r="E225" s="4"/>
    </row>
    <row r="226" spans="1:5" ht="15.75" customHeight="1" x14ac:dyDescent="0.25">
      <c r="A226" s="4"/>
      <c r="B226" s="4"/>
      <c r="C226" s="4"/>
      <c r="D226" s="4"/>
      <c r="E226" s="4"/>
    </row>
    <row r="227" spans="1:5" ht="15.75" customHeight="1" x14ac:dyDescent="0.25">
      <c r="A227" s="4"/>
      <c r="B227" s="4"/>
      <c r="C227" s="4"/>
      <c r="D227" s="4"/>
      <c r="E227" s="4"/>
    </row>
    <row r="228" spans="1:5" ht="15.75" customHeight="1" x14ac:dyDescent="0.25">
      <c r="A228" s="4"/>
      <c r="B228" s="4"/>
      <c r="C228" s="4"/>
      <c r="D228" s="4"/>
      <c r="E228" s="4"/>
    </row>
    <row r="229" spans="1:5" ht="15.75" customHeight="1" x14ac:dyDescent="0.25">
      <c r="A229" s="4"/>
      <c r="B229" s="4"/>
      <c r="C229" s="4"/>
      <c r="D229" s="4"/>
      <c r="E229" s="4"/>
    </row>
    <row r="230" spans="1:5" ht="15.75" customHeight="1" x14ac:dyDescent="0.25">
      <c r="A230" s="4"/>
      <c r="B230" s="4"/>
      <c r="C230" s="4"/>
      <c r="D230" s="4"/>
      <c r="E230" s="4"/>
    </row>
    <row r="231" spans="1:5" ht="15.75" customHeight="1" x14ac:dyDescent="0.25">
      <c r="A231" s="4"/>
      <c r="B231" s="4"/>
      <c r="C231" s="4"/>
      <c r="D231" s="4"/>
      <c r="E231" s="4"/>
    </row>
    <row r="232" spans="1:5" ht="15.75" customHeight="1" x14ac:dyDescent="0.25">
      <c r="A232" s="4"/>
      <c r="B232" s="4"/>
      <c r="C232" s="4"/>
      <c r="D232" s="4"/>
      <c r="E232" s="4"/>
    </row>
    <row r="233" spans="1:5" ht="15.75" customHeight="1" x14ac:dyDescent="0.25">
      <c r="A233" s="4"/>
      <c r="B233" s="4"/>
      <c r="C233" s="4"/>
      <c r="D233" s="4"/>
      <c r="E233" s="4"/>
    </row>
    <row r="234" spans="1:5" ht="15.75" customHeight="1" x14ac:dyDescent="0.25">
      <c r="A234" s="4"/>
      <c r="B234" s="4"/>
      <c r="C234" s="4"/>
      <c r="D234" s="4"/>
      <c r="E234" s="4"/>
    </row>
    <row r="235" spans="1:5" ht="15.75" customHeight="1" x14ac:dyDescent="0.25">
      <c r="A235" s="4"/>
      <c r="B235" s="4"/>
      <c r="C235" s="4"/>
      <c r="D235" s="4"/>
      <c r="E235" s="4"/>
    </row>
    <row r="236" spans="1:5" ht="15.75" customHeight="1" x14ac:dyDescent="0.25">
      <c r="A236" s="4"/>
      <c r="B236" s="4"/>
      <c r="C236" s="4"/>
      <c r="D236" s="4"/>
      <c r="E236" s="4"/>
    </row>
    <row r="237" spans="1:5" ht="15.75" customHeight="1" x14ac:dyDescent="0.25">
      <c r="A237" s="4"/>
      <c r="B237" s="4"/>
      <c r="C237" s="4"/>
      <c r="D237" s="4"/>
      <c r="E237" s="4"/>
    </row>
    <row r="238" spans="1:5" ht="15.75" customHeight="1" x14ac:dyDescent="0.25">
      <c r="A238" s="4"/>
      <c r="B238" s="4"/>
      <c r="C238" s="4"/>
      <c r="D238" s="4"/>
      <c r="E238" s="4"/>
    </row>
    <row r="239" spans="1:5" ht="15.75" customHeight="1" x14ac:dyDescent="0.25">
      <c r="A239" s="4"/>
      <c r="B239" s="4"/>
      <c r="C239" s="4"/>
      <c r="D239" s="4"/>
      <c r="E239" s="4"/>
    </row>
    <row r="240" spans="1:5" ht="15.75" customHeight="1" x14ac:dyDescent="0.25">
      <c r="A240" s="4"/>
      <c r="B240" s="4"/>
      <c r="C240" s="4"/>
      <c r="D240" s="4"/>
      <c r="E240" s="4"/>
    </row>
    <row r="241" spans="1:5" ht="15.75" customHeight="1" x14ac:dyDescent="0.25">
      <c r="A241" s="4"/>
      <c r="B241" s="4"/>
      <c r="C241" s="4"/>
      <c r="D241" s="4"/>
      <c r="E241" s="4"/>
    </row>
    <row r="242" spans="1:5" ht="15.75" customHeight="1" x14ac:dyDescent="0.25">
      <c r="A242" s="4"/>
      <c r="B242" s="4"/>
      <c r="C242" s="4"/>
      <c r="D242" s="4"/>
      <c r="E242" s="4"/>
    </row>
    <row r="243" spans="1:5" ht="15.75" customHeight="1" x14ac:dyDescent="0.25">
      <c r="A243" s="4"/>
      <c r="B243" s="4"/>
      <c r="C243" s="4"/>
      <c r="D243" s="4"/>
      <c r="E243" s="4"/>
    </row>
    <row r="244" spans="1:5" ht="15.75" customHeight="1" x14ac:dyDescent="0.25">
      <c r="A244" s="4"/>
      <c r="B244" s="4"/>
      <c r="C244" s="4"/>
      <c r="D244" s="4"/>
      <c r="E244" s="4"/>
    </row>
    <row r="245" spans="1:5" ht="15.75" customHeight="1" x14ac:dyDescent="0.25">
      <c r="A245" s="4"/>
      <c r="B245" s="4"/>
      <c r="C245" s="4"/>
      <c r="D245" s="4"/>
      <c r="E245" s="4"/>
    </row>
    <row r="246" spans="1:5" ht="15.75" customHeight="1" x14ac:dyDescent="0.25">
      <c r="A246" s="4"/>
      <c r="B246" s="4"/>
      <c r="C246" s="4"/>
      <c r="D246" s="4"/>
      <c r="E246" s="4"/>
    </row>
    <row r="247" spans="1:5" ht="15.75" customHeight="1" x14ac:dyDescent="0.25">
      <c r="A247" s="4"/>
      <c r="B247" s="4"/>
      <c r="C247" s="4"/>
      <c r="D247" s="4"/>
      <c r="E247" s="4"/>
    </row>
    <row r="248" spans="1:5" ht="15.75" customHeight="1" x14ac:dyDescent="0.25">
      <c r="A248" s="4"/>
      <c r="B248" s="4"/>
      <c r="C248" s="4"/>
      <c r="D248" s="4"/>
      <c r="E248" s="4"/>
    </row>
    <row r="249" spans="1:5" ht="15.75" customHeight="1" x14ac:dyDescent="0.25">
      <c r="A249" s="4"/>
      <c r="B249" s="4"/>
      <c r="C249" s="4"/>
      <c r="D249" s="4"/>
      <c r="E249" s="4"/>
    </row>
    <row r="250" spans="1:5" ht="15.75" customHeight="1" x14ac:dyDescent="0.25">
      <c r="A250" s="4"/>
      <c r="B250" s="4"/>
      <c r="C250" s="4"/>
      <c r="D250" s="4"/>
      <c r="E250" s="4"/>
    </row>
    <row r="251" spans="1:5" ht="15.75" customHeight="1" x14ac:dyDescent="0.25">
      <c r="A251" s="4"/>
      <c r="B251" s="4"/>
      <c r="C251" s="4"/>
      <c r="D251" s="4"/>
      <c r="E251" s="4"/>
    </row>
    <row r="252" spans="1:5" ht="15.75" customHeight="1" x14ac:dyDescent="0.25">
      <c r="A252" s="4"/>
      <c r="B252" s="4"/>
      <c r="C252" s="4"/>
      <c r="D252" s="4"/>
      <c r="E252" s="4"/>
    </row>
    <row r="253" spans="1:5" ht="15.75" customHeight="1" x14ac:dyDescent="0.25">
      <c r="A253" s="4"/>
      <c r="B253" s="4"/>
      <c r="C253" s="4"/>
      <c r="D253" s="4"/>
      <c r="E253" s="4"/>
    </row>
    <row r="254" spans="1:5" ht="15.75" customHeight="1" x14ac:dyDescent="0.25">
      <c r="A254" s="4"/>
      <c r="B254" s="4"/>
      <c r="C254" s="4"/>
      <c r="D254" s="4"/>
      <c r="E254" s="4"/>
    </row>
    <row r="255" spans="1:5" ht="15.75" customHeight="1" x14ac:dyDescent="0.25">
      <c r="A255" s="4"/>
      <c r="B255" s="4"/>
      <c r="C255" s="4"/>
      <c r="D255" s="4"/>
      <c r="E255" s="4"/>
    </row>
    <row r="256" spans="1:5" ht="15.75" customHeight="1" x14ac:dyDescent="0.25">
      <c r="A256" s="4"/>
      <c r="B256" s="4"/>
      <c r="C256" s="4"/>
      <c r="D256" s="4"/>
      <c r="E256" s="4"/>
    </row>
    <row r="257" spans="1:5" ht="15.75" customHeight="1" x14ac:dyDescent="0.25">
      <c r="A257" s="4"/>
      <c r="B257" s="4"/>
      <c r="C257" s="4"/>
      <c r="D257" s="4"/>
      <c r="E257" s="4"/>
    </row>
    <row r="258" spans="1:5" ht="15.75" customHeight="1" x14ac:dyDescent="0.25">
      <c r="A258" s="4"/>
      <c r="B258" s="4"/>
      <c r="C258" s="4"/>
      <c r="D258" s="4"/>
      <c r="E258" s="4"/>
    </row>
    <row r="259" spans="1:5" ht="15.75" customHeight="1" x14ac:dyDescent="0.25">
      <c r="A259" s="4"/>
      <c r="B259" s="4"/>
      <c r="C259" s="4"/>
      <c r="D259" s="4"/>
      <c r="E259" s="4"/>
    </row>
    <row r="260" spans="1:5" ht="15.75" customHeight="1" x14ac:dyDescent="0.25">
      <c r="A260" s="4"/>
      <c r="B260" s="4"/>
      <c r="C260" s="4"/>
      <c r="D260" s="4"/>
      <c r="E260" s="4"/>
    </row>
    <row r="261" spans="1:5" ht="15.75" customHeight="1" x14ac:dyDescent="0.25">
      <c r="A261" s="4"/>
      <c r="B261" s="4"/>
      <c r="C261" s="4"/>
      <c r="D261" s="4"/>
      <c r="E261" s="4"/>
    </row>
    <row r="262" spans="1:5" ht="15.75" customHeight="1" x14ac:dyDescent="0.25">
      <c r="A262" s="4"/>
      <c r="B262" s="4"/>
      <c r="C262" s="4"/>
      <c r="D262" s="4"/>
      <c r="E262" s="4"/>
    </row>
    <row r="263" spans="1:5" ht="15.75" customHeight="1" x14ac:dyDescent="0.25">
      <c r="A263" s="4"/>
      <c r="B263" s="4"/>
      <c r="C263" s="4"/>
      <c r="D263" s="4"/>
      <c r="E263" s="4"/>
    </row>
    <row r="264" spans="1:5" ht="15.75" customHeight="1" x14ac:dyDescent="0.25">
      <c r="A264" s="4"/>
      <c r="B264" s="4"/>
      <c r="C264" s="4"/>
      <c r="D264" s="4"/>
      <c r="E264" s="4"/>
    </row>
    <row r="265" spans="1:5" ht="15.75" customHeight="1" x14ac:dyDescent="0.25">
      <c r="A265" s="4"/>
      <c r="B265" s="4"/>
      <c r="C265" s="4"/>
      <c r="D265" s="4"/>
      <c r="E265" s="4"/>
    </row>
    <row r="266" spans="1:5" ht="15.75" customHeight="1" x14ac:dyDescent="0.25">
      <c r="A266" s="4"/>
      <c r="B266" s="4"/>
      <c r="C266" s="4"/>
      <c r="D266" s="4"/>
      <c r="E266" s="4"/>
    </row>
    <row r="267" spans="1:5" ht="15.75" customHeight="1" x14ac:dyDescent="0.25">
      <c r="A267" s="4"/>
      <c r="B267" s="4"/>
      <c r="C267" s="4"/>
      <c r="D267" s="4"/>
      <c r="E267" s="4"/>
    </row>
    <row r="268" spans="1:5" ht="15.75" customHeight="1" x14ac:dyDescent="0.25">
      <c r="A268" s="4"/>
      <c r="B268" s="4"/>
      <c r="C268" s="4"/>
      <c r="D268" s="4"/>
      <c r="E268" s="4"/>
    </row>
    <row r="269" spans="1:5" ht="15.75" customHeight="1" x14ac:dyDescent="0.25">
      <c r="A269" s="4"/>
      <c r="B269" s="4"/>
      <c r="C269" s="4"/>
      <c r="D269" s="4"/>
      <c r="E269" s="4"/>
    </row>
    <row r="270" spans="1:5" ht="15.75" customHeight="1" x14ac:dyDescent="0.25">
      <c r="A270" s="4"/>
      <c r="B270" s="4"/>
      <c r="C270" s="4"/>
      <c r="D270" s="4"/>
      <c r="E270" s="4"/>
    </row>
    <row r="271" spans="1:5" ht="15.75" customHeight="1" x14ac:dyDescent="0.25">
      <c r="A271" s="4"/>
      <c r="B271" s="4"/>
      <c r="C271" s="4"/>
      <c r="D271" s="4"/>
      <c r="E271" s="4"/>
    </row>
    <row r="272" spans="1:5" ht="15.75" customHeight="1" x14ac:dyDescent="0.25">
      <c r="A272" s="4"/>
      <c r="B272" s="4"/>
      <c r="C272" s="4"/>
      <c r="D272" s="4"/>
      <c r="E272" s="4"/>
    </row>
    <row r="273" spans="1:5" ht="15.75" customHeight="1" x14ac:dyDescent="0.25">
      <c r="A273" s="4"/>
      <c r="B273" s="4"/>
      <c r="C273" s="4"/>
      <c r="D273" s="4"/>
      <c r="E273" s="4"/>
    </row>
    <row r="274" spans="1:5" ht="15.75" customHeight="1" x14ac:dyDescent="0.25">
      <c r="A274" s="4"/>
      <c r="B274" s="4"/>
      <c r="C274" s="4"/>
      <c r="D274" s="4"/>
      <c r="E274" s="4"/>
    </row>
    <row r="275" spans="1:5" ht="15.75" customHeight="1" x14ac:dyDescent="0.25">
      <c r="A275" s="4"/>
      <c r="B275" s="4"/>
      <c r="C275" s="4"/>
      <c r="D275" s="4"/>
      <c r="E275" s="4"/>
    </row>
    <row r="276" spans="1:5" ht="15.75" customHeight="1" x14ac:dyDescent="0.25">
      <c r="A276" s="4"/>
      <c r="B276" s="4"/>
      <c r="C276" s="4"/>
      <c r="D276" s="4"/>
      <c r="E276" s="4"/>
    </row>
    <row r="277" spans="1:5" ht="15.75" customHeight="1" x14ac:dyDescent="0.25">
      <c r="A277" s="4"/>
      <c r="B277" s="4"/>
      <c r="C277" s="4"/>
      <c r="D277" s="4"/>
      <c r="E277" s="4"/>
    </row>
    <row r="278" spans="1:5" ht="15.75" customHeight="1" x14ac:dyDescent="0.25">
      <c r="A278" s="4"/>
      <c r="B278" s="4"/>
      <c r="C278" s="4"/>
      <c r="D278" s="4"/>
      <c r="E278" s="4"/>
    </row>
    <row r="279" spans="1:5" ht="15.75" customHeight="1" x14ac:dyDescent="0.25">
      <c r="A279" s="4"/>
      <c r="B279" s="4"/>
      <c r="C279" s="4"/>
      <c r="D279" s="4"/>
      <c r="E279" s="4"/>
    </row>
    <row r="280" spans="1:5" ht="15.75" customHeight="1" x14ac:dyDescent="0.25">
      <c r="A280" s="4"/>
      <c r="B280" s="4"/>
      <c r="C280" s="4"/>
      <c r="D280" s="4"/>
      <c r="E280" s="4"/>
    </row>
    <row r="281" spans="1:5" ht="15.75" customHeight="1" x14ac:dyDescent="0.25">
      <c r="A281" s="4"/>
      <c r="B281" s="4"/>
      <c r="C281" s="4"/>
      <c r="D281" s="4"/>
      <c r="E281" s="4"/>
    </row>
    <row r="282" spans="1:5" ht="15.75" customHeight="1" x14ac:dyDescent="0.25">
      <c r="A282" s="4"/>
      <c r="B282" s="4"/>
      <c r="C282" s="4"/>
      <c r="D282" s="4"/>
      <c r="E282" s="4"/>
    </row>
    <row r="283" spans="1:5" ht="15.75" customHeight="1" x14ac:dyDescent="0.25">
      <c r="A283" s="4"/>
      <c r="B283" s="4"/>
      <c r="C283" s="4"/>
      <c r="D283" s="4"/>
      <c r="E283" s="4"/>
    </row>
    <row r="284" spans="1:5" ht="15.75" customHeight="1" x14ac:dyDescent="0.25">
      <c r="A284" s="4"/>
      <c r="B284" s="4"/>
      <c r="C284" s="4"/>
      <c r="D284" s="4"/>
      <c r="E284" s="4"/>
    </row>
    <row r="285" spans="1:5" ht="15.75" customHeight="1" x14ac:dyDescent="0.25">
      <c r="A285" s="4"/>
      <c r="B285" s="4"/>
      <c r="C285" s="4"/>
      <c r="D285" s="4"/>
      <c r="E285" s="4"/>
    </row>
    <row r="286" spans="1:5" ht="15.75" customHeight="1" x14ac:dyDescent="0.25">
      <c r="A286" s="4"/>
      <c r="B286" s="4"/>
      <c r="C286" s="4"/>
      <c r="D286" s="4"/>
      <c r="E286" s="4"/>
    </row>
    <row r="287" spans="1:5" ht="15.75" customHeight="1" x14ac:dyDescent="0.25">
      <c r="A287" s="4"/>
      <c r="B287" s="4"/>
      <c r="C287" s="4"/>
      <c r="D287" s="4"/>
      <c r="E287" s="4"/>
    </row>
    <row r="288" spans="1:5" ht="15.75" customHeight="1" x14ac:dyDescent="0.25">
      <c r="A288" s="4"/>
      <c r="B288" s="4"/>
      <c r="C288" s="4"/>
      <c r="D288" s="4"/>
      <c r="E288" s="4"/>
    </row>
    <row r="289" spans="1:5" ht="15.75" customHeight="1" x14ac:dyDescent="0.25">
      <c r="A289" s="4"/>
      <c r="B289" s="4"/>
      <c r="C289" s="4"/>
      <c r="D289" s="4"/>
      <c r="E289" s="4"/>
    </row>
    <row r="290" spans="1:5" ht="15.75" customHeight="1" x14ac:dyDescent="0.25">
      <c r="A290" s="4"/>
      <c r="B290" s="4"/>
      <c r="C290" s="4"/>
      <c r="D290" s="4"/>
      <c r="E290" s="4"/>
    </row>
    <row r="291" spans="1:5" ht="15.75" customHeight="1" x14ac:dyDescent="0.25">
      <c r="A291" s="4"/>
      <c r="B291" s="4"/>
      <c r="C291" s="4"/>
      <c r="D291" s="4"/>
      <c r="E291" s="4"/>
    </row>
    <row r="292" spans="1:5" ht="15.75" customHeight="1" x14ac:dyDescent="0.25">
      <c r="A292" s="4"/>
      <c r="B292" s="4"/>
      <c r="C292" s="4"/>
      <c r="D292" s="4"/>
      <c r="E292" s="4"/>
    </row>
    <row r="293" spans="1:5" ht="15.75" customHeight="1" x14ac:dyDescent="0.25">
      <c r="A293" s="4"/>
      <c r="B293" s="4"/>
      <c r="C293" s="4"/>
      <c r="D293" s="4"/>
      <c r="E293" s="4"/>
    </row>
    <row r="294" spans="1:5" ht="15.75" customHeight="1" x14ac:dyDescent="0.25">
      <c r="A294" s="4"/>
      <c r="B294" s="4"/>
      <c r="C294" s="4"/>
      <c r="D294" s="4"/>
      <c r="E294" s="4"/>
    </row>
    <row r="295" spans="1:5" ht="15.75" customHeight="1" x14ac:dyDescent="0.25">
      <c r="A295" s="4"/>
      <c r="B295" s="4"/>
      <c r="C295" s="4"/>
      <c r="D295" s="4"/>
      <c r="E295" s="4"/>
    </row>
    <row r="296" spans="1:5" ht="15.75" customHeight="1" x14ac:dyDescent="0.25">
      <c r="A296" s="4"/>
      <c r="B296" s="4"/>
      <c r="C296" s="4"/>
      <c r="D296" s="4"/>
      <c r="E296" s="4"/>
    </row>
    <row r="297" spans="1:5" ht="15.75" customHeight="1" x14ac:dyDescent="0.25">
      <c r="A297" s="4"/>
      <c r="B297" s="4"/>
      <c r="C297" s="4"/>
      <c r="D297" s="4"/>
      <c r="E297" s="4"/>
    </row>
    <row r="298" spans="1:5" ht="15.75" customHeight="1" x14ac:dyDescent="0.25">
      <c r="A298" s="4"/>
      <c r="B298" s="4"/>
      <c r="C298" s="4"/>
      <c r="D298" s="4"/>
      <c r="E298" s="4"/>
    </row>
    <row r="299" spans="1:5" ht="15.75" customHeight="1" x14ac:dyDescent="0.25">
      <c r="A299" s="4"/>
      <c r="B299" s="4"/>
      <c r="C299" s="4"/>
      <c r="D299" s="4"/>
      <c r="E299" s="4"/>
    </row>
    <row r="300" spans="1:5" ht="15.75" customHeight="1" x14ac:dyDescent="0.25">
      <c r="A300" s="4"/>
      <c r="B300" s="4"/>
      <c r="C300" s="4"/>
      <c r="D300" s="4"/>
      <c r="E300" s="4"/>
    </row>
    <row r="301" spans="1:5" ht="15.75" customHeight="1" x14ac:dyDescent="0.25">
      <c r="A301" s="4"/>
      <c r="B301" s="4"/>
      <c r="C301" s="4"/>
      <c r="D301" s="4"/>
      <c r="E301" s="4"/>
    </row>
    <row r="302" spans="1:5" ht="15.75" customHeight="1" x14ac:dyDescent="0.25">
      <c r="A302" s="4"/>
      <c r="B302" s="4"/>
      <c r="C302" s="4"/>
      <c r="D302" s="4"/>
      <c r="E302" s="4"/>
    </row>
    <row r="303" spans="1:5" ht="15.75" customHeight="1" x14ac:dyDescent="0.25">
      <c r="A303" s="4"/>
      <c r="B303" s="4"/>
      <c r="C303" s="4"/>
      <c r="D303" s="4"/>
      <c r="E303" s="4"/>
    </row>
    <row r="304" spans="1:5" ht="15.75" customHeight="1" x14ac:dyDescent="0.25">
      <c r="A304" s="4"/>
      <c r="B304" s="4"/>
      <c r="C304" s="4"/>
      <c r="D304" s="4"/>
      <c r="E304" s="4"/>
    </row>
    <row r="305" spans="1:5" ht="15.75" customHeight="1" x14ac:dyDescent="0.25">
      <c r="A305" s="4"/>
      <c r="B305" s="4"/>
      <c r="C305" s="4"/>
      <c r="D305" s="4"/>
      <c r="E305" s="4"/>
    </row>
    <row r="306" spans="1:5" ht="15.75" customHeight="1" x14ac:dyDescent="0.25">
      <c r="A306" s="4"/>
      <c r="B306" s="4"/>
      <c r="C306" s="4"/>
      <c r="D306" s="4"/>
      <c r="E306" s="4"/>
    </row>
    <row r="307" spans="1:5" ht="15.75" customHeight="1" x14ac:dyDescent="0.25">
      <c r="A307" s="4"/>
      <c r="B307" s="4"/>
      <c r="C307" s="4"/>
      <c r="D307" s="4"/>
      <c r="E307" s="4"/>
    </row>
    <row r="308" spans="1:5" ht="15.75" customHeight="1" x14ac:dyDescent="0.25">
      <c r="A308" s="4"/>
      <c r="B308" s="4"/>
      <c r="C308" s="4"/>
      <c r="D308" s="4"/>
      <c r="E308" s="4"/>
    </row>
    <row r="309" spans="1:5" ht="15.75" customHeight="1" x14ac:dyDescent="0.25">
      <c r="A309" s="4"/>
      <c r="B309" s="4"/>
      <c r="C309" s="4"/>
      <c r="D309" s="4"/>
      <c r="E309" s="4"/>
    </row>
    <row r="310" spans="1:5" ht="15.75" customHeight="1" x14ac:dyDescent="0.25">
      <c r="A310" s="4"/>
      <c r="B310" s="4"/>
      <c r="C310" s="4"/>
      <c r="D310" s="4"/>
      <c r="E310" s="4"/>
    </row>
    <row r="311" spans="1:5" ht="15.75" customHeight="1" x14ac:dyDescent="0.25">
      <c r="A311" s="4"/>
      <c r="B311" s="4"/>
      <c r="C311" s="4"/>
      <c r="D311" s="4"/>
      <c r="E311" s="4"/>
    </row>
    <row r="312" spans="1:5" ht="15.75" customHeight="1" x14ac:dyDescent="0.25">
      <c r="A312" s="4"/>
      <c r="B312" s="4"/>
      <c r="C312" s="4"/>
      <c r="D312" s="4"/>
      <c r="E312" s="4"/>
    </row>
    <row r="313" spans="1:5" ht="15.75" customHeight="1" x14ac:dyDescent="0.25">
      <c r="A313" s="4"/>
      <c r="B313" s="4"/>
      <c r="C313" s="4"/>
      <c r="D313" s="4"/>
      <c r="E313" s="4"/>
    </row>
    <row r="314" spans="1:5" ht="15.75" customHeight="1" x14ac:dyDescent="0.25">
      <c r="A314" s="4"/>
      <c r="B314" s="4"/>
      <c r="C314" s="4"/>
      <c r="D314" s="4"/>
      <c r="E314" s="4"/>
    </row>
    <row r="315" spans="1:5" ht="15.75" customHeight="1" x14ac:dyDescent="0.25">
      <c r="A315" s="4"/>
      <c r="B315" s="4"/>
      <c r="C315" s="4"/>
      <c r="D315" s="4"/>
      <c r="E315" s="4"/>
    </row>
    <row r="316" spans="1:5" ht="15.75" customHeight="1" x14ac:dyDescent="0.25">
      <c r="A316" s="4"/>
      <c r="B316" s="4"/>
      <c r="C316" s="4"/>
      <c r="D316" s="4"/>
      <c r="E316" s="4"/>
    </row>
    <row r="317" spans="1:5" ht="15.75" customHeight="1" x14ac:dyDescent="0.25">
      <c r="A317" s="4"/>
      <c r="B317" s="4"/>
      <c r="C317" s="4"/>
      <c r="D317" s="4"/>
      <c r="E317" s="4"/>
    </row>
    <row r="318" spans="1:5" ht="15.75" customHeight="1" x14ac:dyDescent="0.25">
      <c r="A318" s="4"/>
      <c r="B318" s="4"/>
      <c r="C318" s="4"/>
      <c r="D318" s="4"/>
      <c r="E318" s="4"/>
    </row>
    <row r="319" spans="1:5" ht="15.75" customHeight="1" x14ac:dyDescent="0.25">
      <c r="A319" s="4"/>
      <c r="B319" s="4"/>
      <c r="C319" s="4"/>
      <c r="D319" s="4"/>
      <c r="E319" s="4"/>
    </row>
    <row r="320" spans="1:5" ht="15.75" customHeight="1" x14ac:dyDescent="0.25">
      <c r="A320" s="4"/>
      <c r="B320" s="4"/>
      <c r="C320" s="4"/>
      <c r="D320" s="4"/>
      <c r="E320" s="4"/>
    </row>
    <row r="321" spans="1:5" ht="15.75" customHeight="1" x14ac:dyDescent="0.25">
      <c r="A321" s="4"/>
      <c r="B321" s="4"/>
      <c r="C321" s="4"/>
      <c r="D321" s="4"/>
      <c r="E321" s="4"/>
    </row>
    <row r="322" spans="1:5" ht="15.75" customHeight="1" x14ac:dyDescent="0.25">
      <c r="A322" s="4"/>
      <c r="B322" s="4"/>
      <c r="C322" s="4"/>
      <c r="D322" s="4"/>
      <c r="E322" s="4"/>
    </row>
    <row r="323" spans="1:5" ht="15.75" customHeight="1" x14ac:dyDescent="0.25">
      <c r="A323" s="4"/>
      <c r="B323" s="4"/>
      <c r="C323" s="4"/>
      <c r="D323" s="4"/>
      <c r="E323" s="4"/>
    </row>
    <row r="324" spans="1:5" ht="15.75" customHeight="1" x14ac:dyDescent="0.25">
      <c r="A324" s="4"/>
      <c r="B324" s="4"/>
      <c r="C324" s="4"/>
      <c r="D324" s="4"/>
      <c r="E324" s="4"/>
    </row>
    <row r="325" spans="1:5" ht="15.75" customHeight="1" x14ac:dyDescent="0.25">
      <c r="A325" s="4"/>
      <c r="B325" s="4"/>
      <c r="C325" s="4"/>
      <c r="D325" s="4"/>
      <c r="E325" s="4"/>
    </row>
    <row r="326" spans="1:5" ht="15.75" customHeight="1" x14ac:dyDescent="0.25">
      <c r="A326" s="4"/>
      <c r="B326" s="4"/>
      <c r="C326" s="4"/>
      <c r="D326" s="4"/>
      <c r="E326" s="4"/>
    </row>
    <row r="327" spans="1:5" ht="15.75" customHeight="1" x14ac:dyDescent="0.25">
      <c r="A327" s="4"/>
      <c r="B327" s="4"/>
      <c r="C327" s="4"/>
      <c r="D327" s="4"/>
      <c r="E327" s="4"/>
    </row>
    <row r="328" spans="1:5" ht="15.75" customHeight="1" x14ac:dyDescent="0.25">
      <c r="A328" s="4"/>
      <c r="B328" s="4"/>
      <c r="C328" s="4"/>
      <c r="D328" s="4"/>
      <c r="E328" s="4"/>
    </row>
    <row r="329" spans="1:5" ht="15.75" customHeight="1" x14ac:dyDescent="0.25">
      <c r="A329" s="4"/>
      <c r="B329" s="4"/>
      <c r="C329" s="4"/>
      <c r="D329" s="4"/>
      <c r="E329" s="4"/>
    </row>
    <row r="330" spans="1:5" ht="15.75" customHeight="1" x14ac:dyDescent="0.25">
      <c r="A330" s="4"/>
      <c r="B330" s="4"/>
      <c r="C330" s="4"/>
      <c r="D330" s="4"/>
      <c r="E330" s="4"/>
    </row>
    <row r="331" spans="1:5" ht="15.75" customHeight="1" x14ac:dyDescent="0.25">
      <c r="A331" s="4"/>
      <c r="B331" s="4"/>
      <c r="C331" s="4"/>
      <c r="D331" s="4"/>
      <c r="E331" s="4"/>
    </row>
    <row r="332" spans="1:5" ht="15.75" customHeight="1" x14ac:dyDescent="0.25">
      <c r="A332" s="4"/>
      <c r="B332" s="4"/>
      <c r="C332" s="4"/>
      <c r="D332" s="4"/>
      <c r="E332" s="4"/>
    </row>
    <row r="333" spans="1:5" ht="15.75" customHeight="1" x14ac:dyDescent="0.25">
      <c r="A333" s="4"/>
      <c r="B333" s="4"/>
      <c r="C333" s="4"/>
      <c r="D333" s="4"/>
      <c r="E333" s="4"/>
    </row>
    <row r="334" spans="1:5" ht="15.75" customHeight="1" x14ac:dyDescent="0.25">
      <c r="A334" s="4"/>
      <c r="B334" s="4"/>
      <c r="C334" s="4"/>
      <c r="D334" s="4"/>
      <c r="E334" s="4"/>
    </row>
    <row r="335" spans="1:5" ht="15.75" customHeight="1" x14ac:dyDescent="0.25">
      <c r="A335" s="4"/>
      <c r="B335" s="4"/>
      <c r="C335" s="4"/>
      <c r="D335" s="4"/>
      <c r="E335" s="4"/>
    </row>
    <row r="336" spans="1:5" ht="15.75" customHeight="1" x14ac:dyDescent="0.25">
      <c r="A336" s="4"/>
      <c r="B336" s="4"/>
      <c r="C336" s="4"/>
      <c r="D336" s="4"/>
      <c r="E336" s="4"/>
    </row>
    <row r="337" spans="1:5" ht="15.75" customHeight="1" x14ac:dyDescent="0.25">
      <c r="A337" s="4"/>
      <c r="B337" s="4"/>
      <c r="C337" s="4"/>
      <c r="D337" s="4"/>
      <c r="E337" s="4"/>
    </row>
    <row r="338" spans="1:5" ht="15.75" customHeight="1" x14ac:dyDescent="0.25">
      <c r="A338" s="4"/>
      <c r="B338" s="4"/>
      <c r="C338" s="4"/>
      <c r="D338" s="4"/>
      <c r="E338" s="4"/>
    </row>
    <row r="339" spans="1:5" ht="15.75" customHeight="1" x14ac:dyDescent="0.25">
      <c r="A339" s="4"/>
      <c r="B339" s="4"/>
      <c r="C339" s="4"/>
      <c r="D339" s="4"/>
      <c r="E339" s="4"/>
    </row>
    <row r="340" spans="1:5" ht="15.75" customHeight="1" x14ac:dyDescent="0.25">
      <c r="A340" s="4"/>
      <c r="B340" s="4"/>
      <c r="C340" s="4"/>
      <c r="D340" s="4"/>
      <c r="E340" s="4"/>
    </row>
    <row r="341" spans="1:5" ht="15.75" customHeight="1" x14ac:dyDescent="0.25">
      <c r="A341" s="4"/>
      <c r="B341" s="4"/>
      <c r="C341" s="4"/>
      <c r="D341" s="4"/>
      <c r="E341" s="4"/>
    </row>
    <row r="342" spans="1:5" ht="15.75" customHeight="1" x14ac:dyDescent="0.25">
      <c r="A342" s="4"/>
      <c r="B342" s="4"/>
      <c r="C342" s="4"/>
      <c r="D342" s="4"/>
      <c r="E342" s="4"/>
    </row>
    <row r="343" spans="1:5" ht="15.75" customHeight="1" x14ac:dyDescent="0.25">
      <c r="A343" s="4"/>
      <c r="B343" s="4"/>
      <c r="C343" s="4"/>
      <c r="D343" s="4"/>
      <c r="E343" s="4"/>
    </row>
    <row r="344" spans="1:5" ht="15.75" customHeight="1" x14ac:dyDescent="0.25">
      <c r="A344" s="4"/>
      <c r="B344" s="4"/>
      <c r="C344" s="4"/>
      <c r="D344" s="4"/>
      <c r="E344" s="4"/>
    </row>
    <row r="345" spans="1:5" ht="15.75" customHeight="1" x14ac:dyDescent="0.25">
      <c r="A345" s="4"/>
      <c r="B345" s="4"/>
      <c r="C345" s="4"/>
      <c r="D345" s="4"/>
      <c r="E345" s="4"/>
    </row>
    <row r="346" spans="1:5" ht="15.75" customHeight="1" x14ac:dyDescent="0.25">
      <c r="A346" s="4"/>
      <c r="B346" s="4"/>
      <c r="C346" s="4"/>
      <c r="D346" s="4"/>
      <c r="E346" s="4"/>
    </row>
    <row r="347" spans="1:5" ht="15.75" customHeight="1" x14ac:dyDescent="0.25">
      <c r="A347" s="4"/>
      <c r="B347" s="4"/>
      <c r="C347" s="4"/>
      <c r="D347" s="4"/>
      <c r="E347" s="4"/>
    </row>
    <row r="348" spans="1:5" ht="15.75" customHeight="1" x14ac:dyDescent="0.25">
      <c r="A348" s="4"/>
      <c r="B348" s="4"/>
      <c r="C348" s="4"/>
      <c r="D348" s="4"/>
      <c r="E348" s="4"/>
    </row>
    <row r="349" spans="1:5" ht="15.75" customHeight="1" x14ac:dyDescent="0.25">
      <c r="A349" s="4"/>
      <c r="B349" s="4"/>
      <c r="C349" s="4"/>
      <c r="D349" s="4"/>
      <c r="E349" s="4"/>
    </row>
    <row r="350" spans="1:5" ht="15.75" customHeight="1" x14ac:dyDescent="0.25">
      <c r="A350" s="4"/>
      <c r="B350" s="4"/>
      <c r="C350" s="4"/>
      <c r="D350" s="4"/>
      <c r="E350" s="4"/>
    </row>
    <row r="351" spans="1:5" ht="15.75" customHeight="1" x14ac:dyDescent="0.25">
      <c r="A351" s="4"/>
      <c r="B351" s="4"/>
      <c r="C351" s="4"/>
      <c r="D351" s="4"/>
      <c r="E351" s="4"/>
    </row>
    <row r="352" spans="1:5" ht="15.75" customHeight="1" x14ac:dyDescent="0.25">
      <c r="A352" s="4"/>
      <c r="B352" s="4"/>
      <c r="C352" s="4"/>
      <c r="D352" s="4"/>
      <c r="E352" s="4"/>
    </row>
    <row r="353" spans="1:5" ht="15.75" customHeight="1" x14ac:dyDescent="0.25">
      <c r="A353" s="4"/>
      <c r="B353" s="4"/>
      <c r="C353" s="4"/>
      <c r="D353" s="4"/>
      <c r="E353" s="4"/>
    </row>
    <row r="354" spans="1:5" ht="15.75" customHeight="1" x14ac:dyDescent="0.25">
      <c r="A354" s="4"/>
      <c r="B354" s="4"/>
      <c r="C354" s="4"/>
      <c r="D354" s="4"/>
      <c r="E354" s="4"/>
    </row>
    <row r="355" spans="1:5" ht="15.75" customHeight="1" x14ac:dyDescent="0.25">
      <c r="A355" s="4"/>
      <c r="B355" s="4"/>
      <c r="C355" s="4"/>
      <c r="D355" s="4"/>
      <c r="E355" s="4"/>
    </row>
    <row r="356" spans="1:5" ht="15.75" customHeight="1" x14ac:dyDescent="0.25">
      <c r="A356" s="4"/>
      <c r="B356" s="4"/>
      <c r="C356" s="4"/>
      <c r="D356" s="4"/>
      <c r="E356" s="4"/>
    </row>
    <row r="357" spans="1:5" ht="15.75" customHeight="1" x14ac:dyDescent="0.25">
      <c r="A357" s="4"/>
      <c r="B357" s="4"/>
      <c r="C357" s="4"/>
      <c r="D357" s="4"/>
      <c r="E357" s="4"/>
    </row>
    <row r="358" spans="1:5" ht="15.75" customHeight="1" x14ac:dyDescent="0.25">
      <c r="A358" s="4"/>
      <c r="B358" s="4"/>
      <c r="C358" s="4"/>
      <c r="D358" s="4"/>
      <c r="E358" s="4"/>
    </row>
    <row r="359" spans="1:5" ht="15.75" customHeight="1" x14ac:dyDescent="0.25">
      <c r="A359" s="4"/>
      <c r="B359" s="4"/>
      <c r="C359" s="4"/>
      <c r="D359" s="4"/>
      <c r="E359" s="4"/>
    </row>
    <row r="360" spans="1:5" ht="15.75" customHeight="1" x14ac:dyDescent="0.25">
      <c r="A360" s="4"/>
      <c r="B360" s="4"/>
      <c r="C360" s="4"/>
      <c r="D360" s="4"/>
      <c r="E360" s="4"/>
    </row>
    <row r="361" spans="1:5" ht="15.75" customHeight="1" x14ac:dyDescent="0.25">
      <c r="A361" s="4"/>
      <c r="B361" s="4"/>
      <c r="C361" s="4"/>
      <c r="D361" s="4"/>
      <c r="E361" s="4"/>
    </row>
    <row r="362" spans="1:5" ht="15.75" customHeight="1" x14ac:dyDescent="0.25">
      <c r="A362" s="4"/>
      <c r="B362" s="4"/>
      <c r="C362" s="4"/>
      <c r="D362" s="4"/>
      <c r="E362" s="4"/>
    </row>
    <row r="363" spans="1:5" ht="15.75" customHeight="1" x14ac:dyDescent="0.25">
      <c r="A363" s="4"/>
      <c r="B363" s="4"/>
      <c r="C363" s="4"/>
      <c r="D363" s="4"/>
      <c r="E363" s="4"/>
    </row>
    <row r="364" spans="1:5" ht="15.75" customHeight="1" x14ac:dyDescent="0.25">
      <c r="A364" s="4"/>
      <c r="B364" s="4"/>
      <c r="C364" s="4"/>
      <c r="D364" s="4"/>
      <c r="E364" s="4"/>
    </row>
    <row r="365" spans="1:5" ht="15.75" customHeight="1" x14ac:dyDescent="0.25">
      <c r="A365" s="4"/>
      <c r="B365" s="4"/>
      <c r="C365" s="4"/>
      <c r="D365" s="4"/>
      <c r="E365" s="4"/>
    </row>
    <row r="366" spans="1:5" ht="15.75" customHeight="1" x14ac:dyDescent="0.25">
      <c r="A366" s="4"/>
      <c r="B366" s="4"/>
      <c r="C366" s="4"/>
      <c r="D366" s="4"/>
      <c r="E366" s="4"/>
    </row>
    <row r="367" spans="1:5" ht="15.75" customHeight="1" x14ac:dyDescent="0.25">
      <c r="A367" s="4"/>
      <c r="B367" s="4"/>
      <c r="C367" s="4"/>
      <c r="D367" s="4"/>
      <c r="E367" s="4"/>
    </row>
    <row r="368" spans="1:5" ht="15.75" customHeight="1" x14ac:dyDescent="0.25">
      <c r="A368" s="4"/>
      <c r="B368" s="4"/>
      <c r="C368" s="4"/>
      <c r="D368" s="4"/>
      <c r="E368" s="4"/>
    </row>
    <row r="369" spans="1:5" ht="15.75" customHeight="1" x14ac:dyDescent="0.25">
      <c r="A369" s="4"/>
      <c r="B369" s="4"/>
      <c r="C369" s="4"/>
      <c r="D369" s="4"/>
      <c r="E369" s="4"/>
    </row>
    <row r="370" spans="1:5" ht="15.75" customHeight="1" x14ac:dyDescent="0.25">
      <c r="A370" s="4"/>
      <c r="B370" s="4"/>
      <c r="C370" s="4"/>
      <c r="D370" s="4"/>
      <c r="E370" s="4"/>
    </row>
    <row r="371" spans="1:5" ht="15.75" customHeight="1" x14ac:dyDescent="0.25">
      <c r="A371" s="4"/>
      <c r="B371" s="4"/>
      <c r="C371" s="4"/>
      <c r="D371" s="4"/>
      <c r="E371" s="4"/>
    </row>
    <row r="372" spans="1:5" ht="15.75" customHeight="1" x14ac:dyDescent="0.25">
      <c r="A372" s="4"/>
      <c r="B372" s="4"/>
      <c r="C372" s="4"/>
      <c r="D372" s="4"/>
      <c r="E372" s="4"/>
    </row>
    <row r="373" spans="1:5" ht="15.75" customHeight="1" x14ac:dyDescent="0.25">
      <c r="A373" s="4"/>
      <c r="B373" s="4"/>
      <c r="C373" s="4"/>
      <c r="D373" s="4"/>
      <c r="E373" s="4"/>
    </row>
    <row r="374" spans="1:5" ht="15.75" customHeight="1" x14ac:dyDescent="0.25">
      <c r="A374" s="4"/>
      <c r="B374" s="4"/>
      <c r="C374" s="4"/>
      <c r="D374" s="4"/>
      <c r="E374" s="4"/>
    </row>
    <row r="375" spans="1:5" ht="15.75" customHeight="1" x14ac:dyDescent="0.25">
      <c r="A375" s="4"/>
      <c r="B375" s="4"/>
      <c r="C375" s="4"/>
      <c r="D375" s="4"/>
      <c r="E375" s="4"/>
    </row>
    <row r="376" spans="1:5" ht="15.75" customHeight="1" x14ac:dyDescent="0.25">
      <c r="A376" s="4"/>
      <c r="B376" s="4"/>
      <c r="C376" s="4"/>
      <c r="D376" s="4"/>
      <c r="E376" s="4"/>
    </row>
    <row r="377" spans="1:5" ht="15.75" customHeight="1" x14ac:dyDescent="0.25">
      <c r="A377" s="4"/>
      <c r="B377" s="4"/>
      <c r="C377" s="4"/>
      <c r="D377" s="4"/>
      <c r="E377" s="4"/>
    </row>
    <row r="378" spans="1:5" ht="15.75" customHeight="1" x14ac:dyDescent="0.25">
      <c r="A378" s="4"/>
      <c r="B378" s="4"/>
      <c r="C378" s="4"/>
      <c r="D378" s="4"/>
      <c r="E378" s="4"/>
    </row>
    <row r="379" spans="1:5" ht="15.75" customHeight="1" x14ac:dyDescent="0.25">
      <c r="A379" s="4"/>
      <c r="B379" s="4"/>
      <c r="C379" s="4"/>
      <c r="D379" s="4"/>
      <c r="E379" s="4"/>
    </row>
    <row r="380" spans="1:5" ht="15.75" customHeight="1" x14ac:dyDescent="0.25">
      <c r="A380" s="4"/>
      <c r="B380" s="4"/>
      <c r="C380" s="4"/>
      <c r="D380" s="4"/>
      <c r="E380" s="4"/>
    </row>
    <row r="381" spans="1:5" ht="15.75" customHeight="1" x14ac:dyDescent="0.25">
      <c r="A381" s="4"/>
      <c r="B381" s="4"/>
      <c r="C381" s="4"/>
      <c r="D381" s="4"/>
      <c r="E381" s="4"/>
    </row>
    <row r="382" spans="1:5" ht="15.75" customHeight="1" x14ac:dyDescent="0.25">
      <c r="A382" s="4"/>
      <c r="B382" s="4"/>
      <c r="C382" s="4"/>
      <c r="D382" s="4"/>
      <c r="E382" s="4"/>
    </row>
    <row r="383" spans="1:5" ht="15.75" customHeight="1" x14ac:dyDescent="0.25">
      <c r="A383" s="4"/>
      <c r="B383" s="4"/>
      <c r="C383" s="4"/>
      <c r="D383" s="4"/>
      <c r="E383" s="4"/>
    </row>
    <row r="384" spans="1:5" ht="15.75" customHeight="1" x14ac:dyDescent="0.25">
      <c r="A384" s="4"/>
      <c r="B384" s="4"/>
      <c r="C384" s="4"/>
      <c r="D384" s="4"/>
      <c r="E384" s="4"/>
    </row>
    <row r="385" spans="1:5" ht="15.75" customHeight="1" x14ac:dyDescent="0.25">
      <c r="A385" s="4"/>
      <c r="B385" s="4"/>
      <c r="C385" s="4"/>
      <c r="D385" s="4"/>
      <c r="E385" s="4"/>
    </row>
    <row r="386" spans="1:5" ht="15.75" customHeight="1" x14ac:dyDescent="0.25">
      <c r="A386" s="4"/>
      <c r="B386" s="4"/>
      <c r="C386" s="4"/>
      <c r="D386" s="4"/>
      <c r="E386" s="4"/>
    </row>
    <row r="387" spans="1:5" ht="15.75" customHeight="1" x14ac:dyDescent="0.25">
      <c r="A387" s="4"/>
      <c r="B387" s="4"/>
      <c r="C387" s="4"/>
      <c r="D387" s="4"/>
      <c r="E387" s="4"/>
    </row>
    <row r="388" spans="1:5" ht="15.75" customHeight="1" x14ac:dyDescent="0.25">
      <c r="A388" s="4"/>
      <c r="B388" s="4"/>
      <c r="C388" s="4"/>
      <c r="D388" s="4"/>
      <c r="E388" s="4"/>
    </row>
    <row r="389" spans="1:5" ht="15.75" customHeight="1" x14ac:dyDescent="0.25">
      <c r="A389" s="4"/>
      <c r="B389" s="4"/>
      <c r="C389" s="4"/>
      <c r="D389" s="4"/>
      <c r="E389" s="4"/>
    </row>
    <row r="390" spans="1:5" ht="15.75" customHeight="1" x14ac:dyDescent="0.25">
      <c r="A390" s="4"/>
      <c r="B390" s="4"/>
      <c r="C390" s="4"/>
      <c r="D390" s="4"/>
      <c r="E390" s="4"/>
    </row>
    <row r="391" spans="1:5" ht="15.75" customHeight="1" x14ac:dyDescent="0.25">
      <c r="A391" s="4"/>
      <c r="B391" s="4"/>
      <c r="C391" s="4"/>
      <c r="D391" s="4"/>
      <c r="E391" s="4"/>
    </row>
    <row r="392" spans="1:5" ht="15.75" customHeight="1" x14ac:dyDescent="0.25">
      <c r="A392" s="4"/>
      <c r="B392" s="4"/>
      <c r="C392" s="4"/>
      <c r="D392" s="4"/>
      <c r="E392" s="4"/>
    </row>
    <row r="393" spans="1:5" ht="15.75" customHeight="1" x14ac:dyDescent="0.25">
      <c r="A393" s="4"/>
      <c r="B393" s="4"/>
      <c r="C393" s="4"/>
      <c r="D393" s="4"/>
      <c r="E393" s="4"/>
    </row>
    <row r="394" spans="1:5" ht="15.75" customHeight="1" x14ac:dyDescent="0.25">
      <c r="A394" s="4"/>
      <c r="B394" s="4"/>
      <c r="C394" s="4"/>
      <c r="D394" s="4"/>
      <c r="E394" s="4"/>
    </row>
    <row r="395" spans="1:5" ht="15.75" customHeight="1" x14ac:dyDescent="0.25">
      <c r="A395" s="4"/>
      <c r="B395" s="4"/>
      <c r="C395" s="4"/>
      <c r="D395" s="4"/>
      <c r="E395" s="4"/>
    </row>
    <row r="396" spans="1:5" ht="15.75" customHeight="1" x14ac:dyDescent="0.25">
      <c r="A396" s="4"/>
      <c r="B396" s="4"/>
      <c r="C396" s="4"/>
      <c r="D396" s="4"/>
      <c r="E396" s="4"/>
    </row>
    <row r="397" spans="1:5" ht="15.75" customHeight="1" x14ac:dyDescent="0.25">
      <c r="A397" s="4"/>
      <c r="B397" s="4"/>
      <c r="C397" s="4"/>
      <c r="D397" s="4"/>
      <c r="E397" s="4"/>
    </row>
    <row r="398" spans="1:5" ht="15.75" customHeight="1" x14ac:dyDescent="0.25">
      <c r="A398" s="4"/>
      <c r="B398" s="4"/>
      <c r="C398" s="4"/>
      <c r="D398" s="4"/>
      <c r="E398" s="4"/>
    </row>
    <row r="399" spans="1:5" ht="15.75" customHeight="1" x14ac:dyDescent="0.25">
      <c r="A399" s="4"/>
      <c r="B399" s="4"/>
      <c r="C399" s="4"/>
      <c r="D399" s="4"/>
      <c r="E399" s="4"/>
    </row>
    <row r="400" spans="1:5" ht="15.75" customHeight="1" x14ac:dyDescent="0.25">
      <c r="A400" s="4"/>
      <c r="B400" s="4"/>
      <c r="C400" s="4"/>
      <c r="D400" s="4"/>
      <c r="E400" s="4"/>
    </row>
    <row r="401" spans="1:5" ht="15.75" customHeight="1" x14ac:dyDescent="0.25">
      <c r="A401" s="4"/>
      <c r="B401" s="4"/>
      <c r="C401" s="4"/>
      <c r="D401" s="4"/>
      <c r="E401" s="4"/>
    </row>
    <row r="402" spans="1:5" ht="15.75" customHeight="1" x14ac:dyDescent="0.25">
      <c r="A402" s="4"/>
      <c r="B402" s="4"/>
      <c r="C402" s="4"/>
      <c r="D402" s="4"/>
      <c r="E402" s="4"/>
    </row>
    <row r="403" spans="1:5" ht="15.75" customHeight="1" x14ac:dyDescent="0.25">
      <c r="A403" s="4"/>
      <c r="B403" s="4"/>
      <c r="C403" s="4"/>
      <c r="D403" s="4"/>
      <c r="E403" s="4"/>
    </row>
    <row r="404" spans="1:5" ht="15.75" customHeight="1" x14ac:dyDescent="0.25">
      <c r="A404" s="4"/>
      <c r="B404" s="4"/>
      <c r="C404" s="4"/>
      <c r="D404" s="4"/>
      <c r="E404" s="4"/>
    </row>
    <row r="405" spans="1:5" ht="15.75" customHeight="1" x14ac:dyDescent="0.25">
      <c r="A405" s="4"/>
      <c r="B405" s="4"/>
      <c r="C405" s="4"/>
      <c r="D405" s="4"/>
      <c r="E405" s="4"/>
    </row>
    <row r="406" spans="1:5" ht="15.75" customHeight="1" x14ac:dyDescent="0.25">
      <c r="A406" s="4"/>
      <c r="B406" s="4"/>
      <c r="C406" s="4"/>
      <c r="D406" s="4"/>
      <c r="E406" s="4"/>
    </row>
    <row r="407" spans="1:5" ht="15.75" customHeight="1" x14ac:dyDescent="0.25">
      <c r="A407" s="4"/>
      <c r="B407" s="4"/>
      <c r="C407" s="4"/>
      <c r="D407" s="4"/>
      <c r="E407" s="4"/>
    </row>
    <row r="408" spans="1:5" ht="15.75" customHeight="1" x14ac:dyDescent="0.25">
      <c r="A408" s="4"/>
      <c r="B408" s="4"/>
      <c r="C408" s="4"/>
      <c r="D408" s="4"/>
      <c r="E408" s="4"/>
    </row>
    <row r="409" spans="1:5" ht="15.75" customHeight="1" x14ac:dyDescent="0.25">
      <c r="A409" s="4"/>
      <c r="B409" s="4"/>
      <c r="C409" s="4"/>
      <c r="D409" s="4"/>
      <c r="E409" s="4"/>
    </row>
    <row r="410" spans="1:5" ht="15.75" customHeight="1" x14ac:dyDescent="0.25">
      <c r="A410" s="4"/>
      <c r="B410" s="4"/>
      <c r="C410" s="4"/>
      <c r="D410" s="4"/>
      <c r="E410" s="4"/>
    </row>
    <row r="411" spans="1:5" ht="15.75" customHeight="1" x14ac:dyDescent="0.25">
      <c r="A411" s="4"/>
      <c r="B411" s="4"/>
      <c r="C411" s="4"/>
      <c r="D411" s="4"/>
      <c r="E411" s="4"/>
    </row>
    <row r="412" spans="1:5" ht="15.75" customHeight="1" x14ac:dyDescent="0.25">
      <c r="A412" s="4"/>
      <c r="B412" s="4"/>
      <c r="C412" s="4"/>
      <c r="D412" s="4"/>
      <c r="E412" s="4"/>
    </row>
    <row r="413" spans="1:5" ht="15.75" customHeight="1" x14ac:dyDescent="0.25">
      <c r="A413" s="4"/>
      <c r="B413" s="4"/>
      <c r="C413" s="4"/>
      <c r="D413" s="4"/>
      <c r="E413" s="4"/>
    </row>
    <row r="414" spans="1:5" ht="15.75" customHeight="1" x14ac:dyDescent="0.25">
      <c r="A414" s="4"/>
      <c r="B414" s="4"/>
      <c r="C414" s="4"/>
      <c r="D414" s="4"/>
      <c r="E414" s="4"/>
    </row>
    <row r="415" spans="1:5" ht="15.75" customHeight="1" x14ac:dyDescent="0.25">
      <c r="A415" s="4"/>
      <c r="B415" s="4"/>
      <c r="C415" s="4"/>
      <c r="D415" s="4"/>
      <c r="E415" s="4"/>
    </row>
    <row r="416" spans="1:5" ht="15.75" customHeight="1" x14ac:dyDescent="0.25">
      <c r="A416" s="4"/>
      <c r="B416" s="4"/>
      <c r="C416" s="4"/>
      <c r="D416" s="4"/>
      <c r="E416" s="4"/>
    </row>
    <row r="417" spans="1:5" ht="15.75" customHeight="1" x14ac:dyDescent="0.25">
      <c r="A417" s="4"/>
      <c r="B417" s="4"/>
      <c r="C417" s="4"/>
      <c r="D417" s="4"/>
      <c r="E417" s="4"/>
    </row>
    <row r="418" spans="1:5" ht="15.75" customHeight="1" x14ac:dyDescent="0.25">
      <c r="A418" s="4"/>
      <c r="B418" s="4"/>
      <c r="C418" s="4"/>
      <c r="D418" s="4"/>
      <c r="E418" s="4"/>
    </row>
    <row r="419" spans="1:5" ht="15.75" customHeight="1" x14ac:dyDescent="0.25">
      <c r="A419" s="4"/>
      <c r="B419" s="4"/>
      <c r="C419" s="4"/>
      <c r="D419" s="4"/>
      <c r="E419" s="4"/>
    </row>
    <row r="420" spans="1:5" ht="15.75" customHeight="1" x14ac:dyDescent="0.25">
      <c r="A420" s="4"/>
      <c r="B420" s="4"/>
      <c r="C420" s="4"/>
      <c r="D420" s="4"/>
      <c r="E420" s="4"/>
    </row>
    <row r="421" spans="1:5" ht="15.75" customHeight="1" x14ac:dyDescent="0.25">
      <c r="A421" s="4"/>
      <c r="B421" s="4"/>
      <c r="C421" s="4"/>
      <c r="D421" s="4"/>
      <c r="E421" s="4"/>
    </row>
    <row r="422" spans="1:5" ht="15.75" customHeight="1" x14ac:dyDescent="0.25">
      <c r="A422" s="4"/>
      <c r="B422" s="4"/>
      <c r="C422" s="4"/>
      <c r="D422" s="4"/>
      <c r="E422" s="4"/>
    </row>
    <row r="423" spans="1:5" ht="15.75" customHeight="1" x14ac:dyDescent="0.25">
      <c r="A423" s="4"/>
      <c r="B423" s="4"/>
      <c r="C423" s="4"/>
      <c r="D423" s="4"/>
      <c r="E423" s="4"/>
    </row>
    <row r="424" spans="1:5" ht="15.75" customHeight="1" x14ac:dyDescent="0.25">
      <c r="A424" s="4"/>
      <c r="B424" s="4"/>
      <c r="C424" s="4"/>
      <c r="D424" s="4"/>
      <c r="E424" s="4"/>
    </row>
    <row r="425" spans="1:5" ht="15.75" customHeight="1" x14ac:dyDescent="0.25">
      <c r="A425" s="4"/>
      <c r="B425" s="4"/>
      <c r="C425" s="4"/>
      <c r="D425" s="4"/>
      <c r="E425" s="4"/>
    </row>
    <row r="426" spans="1:5" ht="15.75" customHeight="1" x14ac:dyDescent="0.25">
      <c r="A426" s="4"/>
      <c r="B426" s="4"/>
      <c r="C426" s="4"/>
      <c r="D426" s="4"/>
      <c r="E426" s="4"/>
    </row>
    <row r="427" spans="1:5" ht="15.75" customHeight="1" x14ac:dyDescent="0.25">
      <c r="A427" s="4"/>
      <c r="B427" s="4"/>
      <c r="C427" s="4"/>
      <c r="D427" s="4"/>
      <c r="E427" s="4"/>
    </row>
    <row r="428" spans="1:5" ht="15.75" customHeight="1" x14ac:dyDescent="0.25">
      <c r="A428" s="4"/>
      <c r="B428" s="4"/>
      <c r="C428" s="4"/>
      <c r="D428" s="4"/>
      <c r="E428" s="4"/>
    </row>
    <row r="429" spans="1:5" ht="15.75" customHeight="1" x14ac:dyDescent="0.25">
      <c r="A429" s="4"/>
      <c r="B429" s="4"/>
      <c r="C429" s="4"/>
      <c r="D429" s="4"/>
      <c r="E429" s="4"/>
    </row>
    <row r="430" spans="1:5" ht="15.75" customHeight="1" x14ac:dyDescent="0.25">
      <c r="A430" s="4"/>
      <c r="B430" s="4"/>
      <c r="C430" s="4"/>
      <c r="D430" s="4"/>
      <c r="E430" s="4"/>
    </row>
    <row r="431" spans="1:5" ht="15.75" customHeight="1" x14ac:dyDescent="0.25">
      <c r="A431" s="4"/>
      <c r="B431" s="4"/>
      <c r="C431" s="4"/>
      <c r="D431" s="4"/>
      <c r="E431" s="4"/>
    </row>
    <row r="432" spans="1:5" ht="15.75" customHeight="1" x14ac:dyDescent="0.25">
      <c r="A432" s="4"/>
      <c r="B432" s="4"/>
      <c r="C432" s="4"/>
      <c r="D432" s="4"/>
      <c r="E432" s="4"/>
    </row>
    <row r="433" spans="1:5" ht="15.75" customHeight="1" x14ac:dyDescent="0.25">
      <c r="A433" s="4"/>
      <c r="B433" s="4"/>
      <c r="C433" s="4"/>
      <c r="D433" s="4"/>
      <c r="E433" s="4"/>
    </row>
    <row r="434" spans="1:5" ht="15.75" customHeight="1" x14ac:dyDescent="0.25">
      <c r="A434" s="4"/>
      <c r="B434" s="4"/>
      <c r="C434" s="4"/>
      <c r="D434" s="4"/>
      <c r="E434" s="4"/>
    </row>
    <row r="435" spans="1:5" ht="15.75" customHeight="1" x14ac:dyDescent="0.25">
      <c r="A435" s="4"/>
      <c r="B435" s="4"/>
      <c r="C435" s="4"/>
      <c r="D435" s="4"/>
      <c r="E435" s="4"/>
    </row>
    <row r="436" spans="1:5" ht="15.75" customHeight="1" x14ac:dyDescent="0.25">
      <c r="A436" s="4"/>
      <c r="B436" s="4"/>
      <c r="C436" s="4"/>
      <c r="D436" s="4"/>
      <c r="E436" s="4"/>
    </row>
    <row r="437" spans="1:5" ht="15.75" customHeight="1" x14ac:dyDescent="0.25">
      <c r="A437" s="4"/>
      <c r="B437" s="4"/>
      <c r="C437" s="4"/>
      <c r="D437" s="4"/>
      <c r="E437" s="4"/>
    </row>
    <row r="438" spans="1:5" ht="15.75" customHeight="1" x14ac:dyDescent="0.25">
      <c r="A438" s="4"/>
      <c r="B438" s="4"/>
      <c r="C438" s="4"/>
      <c r="D438" s="4"/>
      <c r="E438" s="4"/>
    </row>
    <row r="439" spans="1:5" ht="15.75" customHeight="1" x14ac:dyDescent="0.25">
      <c r="A439" s="4"/>
      <c r="B439" s="4"/>
      <c r="C439" s="4"/>
      <c r="D439" s="4"/>
      <c r="E439" s="4"/>
    </row>
    <row r="440" spans="1:5" ht="15.75" customHeight="1" x14ac:dyDescent="0.25">
      <c r="A440" s="4"/>
      <c r="B440" s="4"/>
      <c r="C440" s="4"/>
      <c r="D440" s="4"/>
      <c r="E440" s="4"/>
    </row>
    <row r="441" spans="1:5" ht="15.75" customHeight="1" x14ac:dyDescent="0.25">
      <c r="A441" s="4"/>
      <c r="B441" s="4"/>
      <c r="C441" s="4"/>
      <c r="D441" s="4"/>
      <c r="E441" s="4"/>
    </row>
    <row r="442" spans="1:5" ht="15.75" customHeight="1" x14ac:dyDescent="0.25">
      <c r="A442" s="4"/>
      <c r="B442" s="4"/>
      <c r="C442" s="4"/>
      <c r="D442" s="4"/>
      <c r="E442" s="4"/>
    </row>
    <row r="443" spans="1:5" ht="15.75" customHeight="1" x14ac:dyDescent="0.25">
      <c r="A443" s="4"/>
      <c r="B443" s="4"/>
      <c r="C443" s="4"/>
      <c r="D443" s="4"/>
      <c r="E443" s="4"/>
    </row>
    <row r="444" spans="1:5" ht="15.75" customHeight="1" x14ac:dyDescent="0.25">
      <c r="A444" s="4"/>
      <c r="B444" s="4"/>
      <c r="C444" s="4"/>
      <c r="D444" s="4"/>
      <c r="E444" s="4"/>
    </row>
    <row r="445" spans="1:5" ht="15.75" customHeight="1" x14ac:dyDescent="0.25">
      <c r="A445" s="4"/>
      <c r="B445" s="4"/>
      <c r="C445" s="4"/>
      <c r="D445" s="4"/>
      <c r="E445" s="4"/>
    </row>
    <row r="446" spans="1:5" ht="15.75" customHeight="1" x14ac:dyDescent="0.25">
      <c r="A446" s="4"/>
      <c r="B446" s="4"/>
      <c r="C446" s="4"/>
      <c r="D446" s="4"/>
      <c r="E446" s="4"/>
    </row>
    <row r="447" spans="1:5" ht="15.75" customHeight="1" x14ac:dyDescent="0.25">
      <c r="A447" s="4"/>
      <c r="B447" s="4"/>
      <c r="C447" s="4"/>
      <c r="D447" s="4"/>
      <c r="E447" s="4"/>
    </row>
    <row r="448" spans="1:5" ht="15.75" customHeight="1" x14ac:dyDescent="0.25">
      <c r="A448" s="4"/>
      <c r="B448" s="4"/>
      <c r="C448" s="4"/>
      <c r="D448" s="4"/>
      <c r="E448" s="4"/>
    </row>
    <row r="449" spans="1:5" ht="15.75" customHeight="1" x14ac:dyDescent="0.25">
      <c r="A449" s="4"/>
      <c r="B449" s="4"/>
      <c r="C449" s="4"/>
      <c r="D449" s="4"/>
      <c r="E449" s="4"/>
    </row>
    <row r="450" spans="1:5" ht="15.75" customHeight="1" x14ac:dyDescent="0.25">
      <c r="A450" s="4"/>
      <c r="B450" s="4"/>
      <c r="C450" s="4"/>
      <c r="D450" s="4"/>
      <c r="E450" s="4"/>
    </row>
    <row r="451" spans="1:5" ht="15.75" customHeight="1" x14ac:dyDescent="0.25">
      <c r="A451" s="4"/>
      <c r="B451" s="4"/>
      <c r="C451" s="4"/>
      <c r="D451" s="4"/>
      <c r="E451" s="4"/>
    </row>
    <row r="452" spans="1:5" ht="15.75" customHeight="1" x14ac:dyDescent="0.25">
      <c r="A452" s="4"/>
      <c r="B452" s="4"/>
      <c r="C452" s="4"/>
      <c r="D452" s="4"/>
      <c r="E452" s="4"/>
    </row>
    <row r="453" spans="1:5" ht="15.75" customHeight="1" x14ac:dyDescent="0.25">
      <c r="A453" s="4"/>
      <c r="B453" s="4"/>
      <c r="C453" s="4"/>
      <c r="D453" s="4"/>
      <c r="E453" s="4"/>
    </row>
    <row r="454" spans="1:5" ht="15.75" customHeight="1" x14ac:dyDescent="0.25">
      <c r="A454" s="4"/>
      <c r="B454" s="4"/>
      <c r="C454" s="4"/>
      <c r="D454" s="4"/>
      <c r="E454" s="4"/>
    </row>
    <row r="455" spans="1:5" ht="15.75" customHeight="1" x14ac:dyDescent="0.25">
      <c r="A455" s="4"/>
      <c r="B455" s="4"/>
      <c r="C455" s="4"/>
      <c r="D455" s="4"/>
      <c r="E455" s="4"/>
    </row>
    <row r="456" spans="1:5" ht="15.75" customHeight="1" x14ac:dyDescent="0.25">
      <c r="A456" s="4"/>
      <c r="B456" s="4"/>
      <c r="C456" s="4"/>
      <c r="D456" s="4"/>
      <c r="E456" s="4"/>
    </row>
    <row r="457" spans="1:5" ht="15.75" customHeight="1" x14ac:dyDescent="0.25">
      <c r="A457" s="4"/>
      <c r="B457" s="4"/>
      <c r="C457" s="4"/>
      <c r="D457" s="4"/>
      <c r="E457" s="4"/>
    </row>
    <row r="458" spans="1:5" ht="15.75" customHeight="1" x14ac:dyDescent="0.25">
      <c r="A458" s="4"/>
      <c r="B458" s="4"/>
      <c r="C458" s="4"/>
      <c r="D458" s="4"/>
      <c r="E458" s="4"/>
    </row>
    <row r="459" spans="1:5" ht="15.75" customHeight="1" x14ac:dyDescent="0.25">
      <c r="A459" s="4"/>
      <c r="B459" s="4"/>
      <c r="C459" s="4"/>
      <c r="D459" s="4"/>
      <c r="E459" s="4"/>
    </row>
    <row r="460" spans="1:5" ht="15.75" customHeight="1" x14ac:dyDescent="0.25">
      <c r="A460" s="4"/>
      <c r="B460" s="4"/>
      <c r="C460" s="4"/>
      <c r="D460" s="4"/>
      <c r="E460" s="4"/>
    </row>
    <row r="461" spans="1:5" ht="15.75" customHeight="1" x14ac:dyDescent="0.25">
      <c r="A461" s="4"/>
      <c r="B461" s="4"/>
      <c r="C461" s="4"/>
      <c r="D461" s="4"/>
      <c r="E461" s="4"/>
    </row>
    <row r="462" spans="1:5" ht="15.75" customHeight="1" x14ac:dyDescent="0.25">
      <c r="A462" s="4"/>
      <c r="B462" s="4"/>
      <c r="C462" s="4"/>
      <c r="D462" s="4"/>
      <c r="E462" s="4"/>
    </row>
    <row r="463" spans="1:5" ht="15.75" customHeight="1" x14ac:dyDescent="0.25">
      <c r="A463" s="4"/>
      <c r="B463" s="4"/>
      <c r="C463" s="4"/>
      <c r="D463" s="4"/>
      <c r="E463" s="4"/>
    </row>
    <row r="464" spans="1:5" ht="15.75" customHeight="1" x14ac:dyDescent="0.25">
      <c r="A464" s="4"/>
      <c r="B464" s="4"/>
      <c r="C464" s="4"/>
      <c r="D464" s="4"/>
      <c r="E464" s="4"/>
    </row>
    <row r="465" spans="1:5" ht="15.75" customHeight="1" x14ac:dyDescent="0.25">
      <c r="A465" s="4"/>
      <c r="B465" s="4"/>
      <c r="C465" s="4"/>
      <c r="D465" s="4"/>
      <c r="E465" s="4"/>
    </row>
    <row r="466" spans="1:5" ht="15.75" customHeight="1" x14ac:dyDescent="0.25">
      <c r="A466" s="4"/>
      <c r="B466" s="4"/>
      <c r="C466" s="4"/>
      <c r="D466" s="4"/>
      <c r="E466" s="4"/>
    </row>
    <row r="467" spans="1:5" ht="15.75" customHeight="1" x14ac:dyDescent="0.25">
      <c r="A467" s="4"/>
      <c r="B467" s="4"/>
      <c r="C467" s="4"/>
      <c r="D467" s="4"/>
      <c r="E467" s="4"/>
    </row>
    <row r="468" spans="1:5" ht="15.75" customHeight="1" x14ac:dyDescent="0.25">
      <c r="A468" s="4"/>
      <c r="B468" s="4"/>
      <c r="C468" s="4"/>
      <c r="D468" s="4"/>
      <c r="E468" s="4"/>
    </row>
    <row r="469" spans="1:5" ht="15.75" customHeight="1" x14ac:dyDescent="0.25">
      <c r="A469" s="4"/>
      <c r="B469" s="4"/>
      <c r="C469" s="4"/>
      <c r="D469" s="4"/>
      <c r="E469" s="4"/>
    </row>
    <row r="470" spans="1:5" ht="15.75" customHeight="1" x14ac:dyDescent="0.25">
      <c r="A470" s="4"/>
      <c r="B470" s="4"/>
      <c r="C470" s="4"/>
      <c r="D470" s="4"/>
      <c r="E470" s="4"/>
    </row>
    <row r="471" spans="1:5" ht="15.75" customHeight="1" x14ac:dyDescent="0.25">
      <c r="A471" s="4"/>
      <c r="B471" s="4"/>
      <c r="C471" s="4"/>
      <c r="D471" s="4"/>
      <c r="E471" s="4"/>
    </row>
    <row r="472" spans="1:5" ht="15.75" customHeight="1" x14ac:dyDescent="0.25">
      <c r="A472" s="4"/>
      <c r="B472" s="4"/>
      <c r="C472" s="4"/>
      <c r="D472" s="4"/>
      <c r="E472" s="4"/>
    </row>
    <row r="473" spans="1:5" ht="15.75" customHeight="1" x14ac:dyDescent="0.25">
      <c r="A473" s="4"/>
      <c r="B473" s="4"/>
      <c r="C473" s="4"/>
      <c r="D473" s="4"/>
      <c r="E473" s="4"/>
    </row>
    <row r="474" spans="1:5" ht="15.75" customHeight="1" x14ac:dyDescent="0.25">
      <c r="A474" s="4"/>
      <c r="B474" s="4"/>
      <c r="C474" s="4"/>
      <c r="D474" s="4"/>
      <c r="E474" s="4"/>
    </row>
    <row r="475" spans="1:5" ht="15.75" customHeight="1" x14ac:dyDescent="0.25">
      <c r="A475" s="4"/>
      <c r="B475" s="4"/>
      <c r="C475" s="4"/>
      <c r="D475" s="4"/>
      <c r="E475" s="4"/>
    </row>
    <row r="476" spans="1:5" ht="15.75" customHeight="1" x14ac:dyDescent="0.25">
      <c r="A476" s="4"/>
      <c r="B476" s="4"/>
      <c r="C476" s="4"/>
      <c r="D476" s="4"/>
      <c r="E476" s="4"/>
    </row>
    <row r="477" spans="1:5" ht="15.75" customHeight="1" x14ac:dyDescent="0.25">
      <c r="A477" s="4"/>
      <c r="B477" s="4"/>
      <c r="C477" s="4"/>
      <c r="D477" s="4"/>
      <c r="E477" s="4"/>
    </row>
    <row r="478" spans="1:5" ht="15.75" customHeight="1" x14ac:dyDescent="0.25">
      <c r="A478" s="4"/>
      <c r="B478" s="4"/>
      <c r="C478" s="4"/>
      <c r="D478" s="4"/>
      <c r="E478" s="4"/>
    </row>
    <row r="479" spans="1:5" ht="15.75" customHeight="1" x14ac:dyDescent="0.25">
      <c r="A479" s="4"/>
      <c r="B479" s="4"/>
      <c r="C479" s="4"/>
      <c r="D479" s="4"/>
      <c r="E479" s="4"/>
    </row>
    <row r="480" spans="1:5" ht="15.75" customHeight="1" x14ac:dyDescent="0.25">
      <c r="A480" s="4"/>
      <c r="B480" s="4"/>
      <c r="C480" s="4"/>
      <c r="D480" s="4"/>
      <c r="E480" s="4"/>
    </row>
    <row r="481" spans="1:5" ht="15.75" customHeight="1" x14ac:dyDescent="0.25">
      <c r="A481" s="4"/>
      <c r="B481" s="4"/>
      <c r="C481" s="4"/>
      <c r="D481" s="4"/>
      <c r="E481" s="4"/>
    </row>
    <row r="482" spans="1:5" ht="15.75" customHeight="1" x14ac:dyDescent="0.25">
      <c r="A482" s="4"/>
      <c r="B482" s="4"/>
      <c r="C482" s="4"/>
      <c r="D482" s="4"/>
      <c r="E482" s="4"/>
    </row>
    <row r="483" spans="1:5" ht="15.75" customHeight="1" x14ac:dyDescent="0.25">
      <c r="A483" s="4"/>
      <c r="B483" s="4"/>
      <c r="C483" s="4"/>
      <c r="D483" s="4"/>
      <c r="E483" s="4"/>
    </row>
    <row r="484" spans="1:5" ht="15.75" customHeight="1" x14ac:dyDescent="0.25">
      <c r="A484" s="4"/>
      <c r="B484" s="4"/>
      <c r="C484" s="4"/>
      <c r="D484" s="4"/>
      <c r="E484" s="4"/>
    </row>
    <row r="485" spans="1:5" ht="15.75" customHeight="1" x14ac:dyDescent="0.25">
      <c r="A485" s="4"/>
      <c r="B485" s="4"/>
      <c r="C485" s="4"/>
      <c r="D485" s="4"/>
      <c r="E485" s="4"/>
    </row>
    <row r="486" spans="1:5" ht="15.75" customHeight="1" x14ac:dyDescent="0.25">
      <c r="A486" s="4"/>
      <c r="B486" s="4"/>
      <c r="C486" s="4"/>
      <c r="D486" s="4"/>
      <c r="E486" s="4"/>
    </row>
    <row r="487" spans="1:5" ht="15.75" customHeight="1" x14ac:dyDescent="0.25">
      <c r="A487" s="4"/>
      <c r="B487" s="4"/>
      <c r="C487" s="4"/>
      <c r="D487" s="4"/>
      <c r="E487" s="4"/>
    </row>
    <row r="488" spans="1:5" ht="15.75" customHeight="1" x14ac:dyDescent="0.25">
      <c r="A488" s="4"/>
      <c r="B488" s="4"/>
      <c r="C488" s="4"/>
      <c r="D488" s="4"/>
      <c r="E488" s="4"/>
    </row>
    <row r="489" spans="1:5" ht="15.75" customHeight="1" x14ac:dyDescent="0.25">
      <c r="A489" s="4"/>
      <c r="B489" s="4"/>
      <c r="C489" s="4"/>
      <c r="D489" s="4"/>
      <c r="E489" s="4"/>
    </row>
    <row r="490" spans="1:5" ht="15.75" customHeight="1" x14ac:dyDescent="0.25">
      <c r="A490" s="4"/>
      <c r="B490" s="4"/>
      <c r="C490" s="4"/>
      <c r="D490" s="4"/>
      <c r="E490" s="4"/>
    </row>
    <row r="491" spans="1:5" ht="15.75" customHeight="1" x14ac:dyDescent="0.25">
      <c r="A491" s="4"/>
      <c r="B491" s="4"/>
      <c r="C491" s="4"/>
      <c r="D491" s="4"/>
      <c r="E491" s="4"/>
    </row>
    <row r="492" spans="1:5" ht="15.75" customHeight="1" x14ac:dyDescent="0.25">
      <c r="A492" s="4"/>
      <c r="B492" s="4"/>
      <c r="C492" s="4"/>
      <c r="D492" s="4"/>
      <c r="E492" s="4"/>
    </row>
    <row r="493" spans="1:5" ht="15.75" customHeight="1" x14ac:dyDescent="0.25">
      <c r="A493" s="4"/>
      <c r="B493" s="4"/>
      <c r="C493" s="4"/>
      <c r="D493" s="4"/>
      <c r="E493" s="4"/>
    </row>
    <row r="494" spans="1:5" ht="15.75" customHeight="1" x14ac:dyDescent="0.25">
      <c r="A494" s="4"/>
      <c r="B494" s="4"/>
      <c r="C494" s="4"/>
      <c r="D494" s="4"/>
      <c r="E494" s="4"/>
    </row>
    <row r="495" spans="1:5" ht="15.75" customHeight="1" x14ac:dyDescent="0.25">
      <c r="A495" s="4"/>
      <c r="B495" s="4"/>
      <c r="C495" s="4"/>
      <c r="D495" s="4"/>
      <c r="E495" s="4"/>
    </row>
    <row r="496" spans="1:5" ht="15.75" customHeight="1" x14ac:dyDescent="0.25">
      <c r="A496" s="4"/>
      <c r="B496" s="4"/>
      <c r="C496" s="4"/>
      <c r="D496" s="4"/>
      <c r="E496" s="4"/>
    </row>
    <row r="497" spans="1:5" ht="15.75" customHeight="1" x14ac:dyDescent="0.25">
      <c r="A497" s="4"/>
      <c r="B497" s="4"/>
      <c r="C497" s="4"/>
      <c r="D497" s="4"/>
      <c r="E497" s="4"/>
    </row>
    <row r="498" spans="1:5" ht="15.75" customHeight="1" x14ac:dyDescent="0.25">
      <c r="A498" s="4"/>
      <c r="B498" s="4"/>
      <c r="C498" s="4"/>
      <c r="D498" s="4"/>
      <c r="E498" s="4"/>
    </row>
    <row r="499" spans="1:5" ht="15.75" customHeight="1" x14ac:dyDescent="0.25">
      <c r="A499" s="4"/>
      <c r="B499" s="4"/>
      <c r="C499" s="4"/>
      <c r="D499" s="4"/>
      <c r="E499" s="4"/>
    </row>
    <row r="500" spans="1:5" ht="15.75" customHeight="1" x14ac:dyDescent="0.25">
      <c r="A500" s="4"/>
      <c r="B500" s="4"/>
      <c r="C500" s="4"/>
      <c r="D500" s="4"/>
      <c r="E500" s="4"/>
    </row>
    <row r="501" spans="1:5" ht="15.75" customHeight="1" x14ac:dyDescent="0.25">
      <c r="A501" s="4"/>
      <c r="B501" s="4"/>
      <c r="C501" s="4"/>
      <c r="D501" s="4"/>
      <c r="E501" s="4"/>
    </row>
    <row r="502" spans="1:5" ht="15.75" customHeight="1" x14ac:dyDescent="0.25">
      <c r="A502" s="4"/>
      <c r="B502" s="4"/>
      <c r="C502" s="4"/>
      <c r="D502" s="4"/>
      <c r="E502" s="4"/>
    </row>
    <row r="503" spans="1:5" ht="15.75" customHeight="1" x14ac:dyDescent="0.25">
      <c r="A503" s="4"/>
      <c r="B503" s="4"/>
      <c r="C503" s="4"/>
      <c r="D503" s="4"/>
      <c r="E503" s="4"/>
    </row>
    <row r="504" spans="1:5" ht="15.75" customHeight="1" x14ac:dyDescent="0.25">
      <c r="A504" s="4"/>
      <c r="B504" s="4"/>
      <c r="C504" s="4"/>
      <c r="D504" s="4"/>
      <c r="E504" s="4"/>
    </row>
    <row r="505" spans="1:5" ht="15.75" customHeight="1" x14ac:dyDescent="0.25">
      <c r="A505" s="4"/>
      <c r="B505" s="4"/>
      <c r="C505" s="4"/>
      <c r="D505" s="4"/>
      <c r="E505" s="4"/>
    </row>
    <row r="506" spans="1:5" ht="15.75" customHeight="1" x14ac:dyDescent="0.25">
      <c r="A506" s="4"/>
      <c r="B506" s="4"/>
      <c r="C506" s="4"/>
      <c r="D506" s="4"/>
      <c r="E506" s="4"/>
    </row>
    <row r="507" spans="1:5" ht="15.75" customHeight="1" x14ac:dyDescent="0.25">
      <c r="A507" s="4"/>
      <c r="B507" s="4"/>
      <c r="C507" s="4"/>
      <c r="D507" s="4"/>
      <c r="E507" s="4"/>
    </row>
    <row r="508" spans="1:5" ht="15.75" customHeight="1" x14ac:dyDescent="0.25">
      <c r="A508" s="4"/>
      <c r="B508" s="4"/>
      <c r="C508" s="4"/>
      <c r="D508" s="4"/>
      <c r="E508" s="4"/>
    </row>
    <row r="509" spans="1:5" ht="15.75" customHeight="1" x14ac:dyDescent="0.25">
      <c r="A509" s="4"/>
      <c r="B509" s="4"/>
      <c r="C509" s="4"/>
      <c r="D509" s="4"/>
      <c r="E509" s="4"/>
    </row>
    <row r="510" spans="1:5" ht="15.75" customHeight="1" x14ac:dyDescent="0.25">
      <c r="A510" s="4"/>
      <c r="B510" s="4"/>
      <c r="C510" s="4"/>
      <c r="D510" s="4"/>
      <c r="E510" s="4"/>
    </row>
    <row r="511" spans="1:5" ht="15.75" customHeight="1" x14ac:dyDescent="0.25">
      <c r="A511" s="4"/>
      <c r="B511" s="4"/>
      <c r="C511" s="4"/>
      <c r="D511" s="4"/>
      <c r="E511" s="4"/>
    </row>
    <row r="512" spans="1:5" ht="15.75" customHeight="1" x14ac:dyDescent="0.25">
      <c r="A512" s="4"/>
      <c r="B512" s="4"/>
      <c r="C512" s="4"/>
      <c r="D512" s="4"/>
      <c r="E512" s="4"/>
    </row>
    <row r="513" spans="1:5" ht="15.75" customHeight="1" x14ac:dyDescent="0.25">
      <c r="A513" s="4"/>
      <c r="B513" s="4"/>
      <c r="C513" s="4"/>
      <c r="D513" s="4"/>
      <c r="E513" s="4"/>
    </row>
    <row r="514" spans="1:5" ht="15.75" customHeight="1" x14ac:dyDescent="0.25">
      <c r="A514" s="4"/>
      <c r="B514" s="4"/>
      <c r="C514" s="4"/>
      <c r="D514" s="4"/>
      <c r="E514" s="4"/>
    </row>
    <row r="515" spans="1:5" ht="15.75" customHeight="1" x14ac:dyDescent="0.25">
      <c r="A515" s="4"/>
      <c r="B515" s="4"/>
      <c r="C515" s="4"/>
      <c r="D515" s="4"/>
      <c r="E515" s="4"/>
    </row>
    <row r="516" spans="1:5" ht="15.75" customHeight="1" x14ac:dyDescent="0.25">
      <c r="A516" s="4"/>
      <c r="B516" s="4"/>
      <c r="C516" s="4"/>
      <c r="D516" s="4"/>
      <c r="E516" s="4"/>
    </row>
    <row r="517" spans="1:5" ht="15.75" customHeight="1" x14ac:dyDescent="0.25">
      <c r="A517" s="4"/>
      <c r="B517" s="4"/>
      <c r="C517" s="4"/>
      <c r="D517" s="4"/>
      <c r="E517" s="4"/>
    </row>
    <row r="518" spans="1:5" ht="15.75" customHeight="1" x14ac:dyDescent="0.25">
      <c r="A518" s="4"/>
      <c r="B518" s="4"/>
      <c r="C518" s="4"/>
      <c r="D518" s="4"/>
      <c r="E518" s="4"/>
    </row>
    <row r="519" spans="1:5" ht="15.75" customHeight="1" x14ac:dyDescent="0.25">
      <c r="A519" s="4"/>
      <c r="B519" s="4"/>
      <c r="C519" s="4"/>
      <c r="D519" s="4"/>
      <c r="E519" s="4"/>
    </row>
    <row r="520" spans="1:5" ht="15.75" customHeight="1" x14ac:dyDescent="0.25">
      <c r="A520" s="4"/>
      <c r="B520" s="4"/>
      <c r="C520" s="4"/>
      <c r="D520" s="4"/>
      <c r="E520" s="4"/>
    </row>
    <row r="521" spans="1:5" ht="15.75" customHeight="1" x14ac:dyDescent="0.25">
      <c r="A521" s="4"/>
      <c r="B521" s="4"/>
      <c r="C521" s="4"/>
      <c r="D521" s="4"/>
      <c r="E521" s="4"/>
    </row>
    <row r="522" spans="1:5" ht="15.75" customHeight="1" x14ac:dyDescent="0.25">
      <c r="A522" s="4"/>
      <c r="B522" s="4"/>
      <c r="C522" s="4"/>
      <c r="D522" s="4"/>
      <c r="E522" s="4"/>
    </row>
    <row r="523" spans="1:5" ht="15.75" customHeight="1" x14ac:dyDescent="0.25">
      <c r="A523" s="4"/>
      <c r="B523" s="4"/>
      <c r="C523" s="4"/>
      <c r="D523" s="4"/>
      <c r="E523" s="4"/>
    </row>
    <row r="524" spans="1:5" ht="15.75" customHeight="1" x14ac:dyDescent="0.25">
      <c r="A524" s="4"/>
      <c r="B524" s="4"/>
      <c r="C524" s="4"/>
      <c r="D524" s="4"/>
      <c r="E524" s="4"/>
    </row>
    <row r="525" spans="1:5" ht="15.75" customHeight="1" x14ac:dyDescent="0.25">
      <c r="A525" s="4"/>
      <c r="B525" s="4"/>
      <c r="C525" s="4"/>
      <c r="D525" s="4"/>
      <c r="E525" s="4"/>
    </row>
    <row r="526" spans="1:5" ht="15.75" customHeight="1" x14ac:dyDescent="0.25">
      <c r="A526" s="4"/>
      <c r="B526" s="4"/>
      <c r="C526" s="4"/>
      <c r="D526" s="4"/>
      <c r="E526" s="4"/>
    </row>
    <row r="527" spans="1:5" ht="15.75" customHeight="1" x14ac:dyDescent="0.25">
      <c r="A527" s="4"/>
      <c r="B527" s="4"/>
      <c r="C527" s="4"/>
      <c r="D527" s="4"/>
      <c r="E527" s="4"/>
    </row>
    <row r="528" spans="1:5" ht="15.75" customHeight="1" x14ac:dyDescent="0.25">
      <c r="A528" s="4"/>
      <c r="B528" s="4"/>
      <c r="C528" s="4"/>
      <c r="D528" s="4"/>
      <c r="E528" s="4"/>
    </row>
    <row r="529" spans="1:5" ht="15.75" customHeight="1" x14ac:dyDescent="0.25">
      <c r="A529" s="4"/>
      <c r="B529" s="4"/>
      <c r="C529" s="4"/>
      <c r="D529" s="4"/>
      <c r="E529" s="4"/>
    </row>
    <row r="530" spans="1:5" ht="15.75" customHeight="1" x14ac:dyDescent="0.25">
      <c r="A530" s="4"/>
      <c r="B530" s="4"/>
      <c r="C530" s="4"/>
      <c r="D530" s="4"/>
      <c r="E530" s="4"/>
    </row>
    <row r="531" spans="1:5" ht="15.75" customHeight="1" x14ac:dyDescent="0.25">
      <c r="A531" s="4"/>
      <c r="B531" s="4"/>
      <c r="C531" s="4"/>
      <c r="D531" s="4"/>
      <c r="E531" s="4"/>
    </row>
    <row r="532" spans="1:5" ht="15.75" customHeight="1" x14ac:dyDescent="0.25">
      <c r="A532" s="4"/>
      <c r="B532" s="4"/>
      <c r="C532" s="4"/>
      <c r="D532" s="4"/>
      <c r="E532" s="4"/>
    </row>
    <row r="533" spans="1:5" ht="15.75" customHeight="1" x14ac:dyDescent="0.25">
      <c r="A533" s="4"/>
      <c r="B533" s="4"/>
      <c r="C533" s="4"/>
      <c r="D533" s="4"/>
      <c r="E533" s="4"/>
    </row>
    <row r="534" spans="1:5" ht="15.75" customHeight="1" x14ac:dyDescent="0.25">
      <c r="A534" s="4"/>
      <c r="B534" s="4"/>
      <c r="C534" s="4"/>
      <c r="D534" s="4"/>
      <c r="E534" s="4"/>
    </row>
    <row r="535" spans="1:5" ht="15.75" customHeight="1" x14ac:dyDescent="0.25">
      <c r="A535" s="4"/>
      <c r="B535" s="4"/>
      <c r="C535" s="4"/>
      <c r="D535" s="4"/>
      <c r="E535" s="4"/>
    </row>
    <row r="536" spans="1:5" ht="15.75" customHeight="1" x14ac:dyDescent="0.25">
      <c r="A536" s="4"/>
      <c r="B536" s="4"/>
      <c r="C536" s="4"/>
      <c r="D536" s="4"/>
      <c r="E536" s="4"/>
    </row>
    <row r="537" spans="1:5" ht="15.75" customHeight="1" x14ac:dyDescent="0.25">
      <c r="A537" s="4"/>
      <c r="B537" s="4"/>
      <c r="C537" s="4"/>
      <c r="D537" s="4"/>
      <c r="E537" s="4"/>
    </row>
    <row r="538" spans="1:5" ht="15.75" customHeight="1" x14ac:dyDescent="0.25">
      <c r="A538" s="4"/>
      <c r="B538" s="4"/>
      <c r="C538" s="4"/>
      <c r="D538" s="4"/>
      <c r="E538" s="4"/>
    </row>
    <row r="539" spans="1:5" ht="15.75" customHeight="1" x14ac:dyDescent="0.25">
      <c r="A539" s="4"/>
      <c r="B539" s="4"/>
      <c r="C539" s="4"/>
      <c r="D539" s="4"/>
      <c r="E539" s="4"/>
    </row>
    <row r="540" spans="1:5" ht="15.75" customHeight="1" x14ac:dyDescent="0.25">
      <c r="A540" s="4"/>
      <c r="B540" s="4"/>
      <c r="C540" s="4"/>
      <c r="D540" s="4"/>
      <c r="E540" s="4"/>
    </row>
    <row r="541" spans="1:5" ht="15.75" customHeight="1" x14ac:dyDescent="0.25">
      <c r="A541" s="4"/>
      <c r="B541" s="4"/>
      <c r="C541" s="4"/>
      <c r="D541" s="4"/>
      <c r="E541" s="4"/>
    </row>
    <row r="542" spans="1:5" ht="15.75" customHeight="1" x14ac:dyDescent="0.25">
      <c r="A542" s="4"/>
      <c r="B542" s="4"/>
      <c r="C542" s="4"/>
      <c r="D542" s="4"/>
      <c r="E542" s="4"/>
    </row>
    <row r="543" spans="1:5" ht="15.75" customHeight="1" x14ac:dyDescent="0.25">
      <c r="A543" s="4"/>
      <c r="B543" s="4"/>
      <c r="C543" s="4"/>
      <c r="D543" s="4"/>
      <c r="E543" s="4"/>
    </row>
    <row r="544" spans="1:5" ht="15.75" customHeight="1" x14ac:dyDescent="0.25">
      <c r="A544" s="4"/>
      <c r="B544" s="4"/>
      <c r="C544" s="4"/>
      <c r="D544" s="4"/>
      <c r="E544" s="4"/>
    </row>
    <row r="545" spans="1:5" ht="15.75" customHeight="1" x14ac:dyDescent="0.25">
      <c r="A545" s="4"/>
      <c r="B545" s="4"/>
      <c r="C545" s="4"/>
      <c r="D545" s="4"/>
      <c r="E545" s="4"/>
    </row>
    <row r="546" spans="1:5" ht="15.75" customHeight="1" x14ac:dyDescent="0.25">
      <c r="A546" s="4"/>
      <c r="B546" s="4"/>
      <c r="C546" s="4"/>
      <c r="D546" s="4"/>
      <c r="E546" s="4"/>
    </row>
    <row r="547" spans="1:5" ht="15.75" customHeight="1" x14ac:dyDescent="0.25">
      <c r="A547" s="4"/>
      <c r="B547" s="4"/>
      <c r="C547" s="4"/>
      <c r="D547" s="4"/>
      <c r="E547" s="4"/>
    </row>
    <row r="548" spans="1:5" ht="15.75" customHeight="1" x14ac:dyDescent="0.25">
      <c r="A548" s="4"/>
      <c r="B548" s="4"/>
      <c r="C548" s="4"/>
      <c r="D548" s="4"/>
      <c r="E548" s="4"/>
    </row>
    <row r="549" spans="1:5" ht="15.75" customHeight="1" x14ac:dyDescent="0.25">
      <c r="A549" s="4"/>
      <c r="B549" s="4"/>
      <c r="C549" s="4"/>
      <c r="D549" s="4"/>
      <c r="E549" s="4"/>
    </row>
    <row r="550" spans="1:5" ht="15.75" customHeight="1" x14ac:dyDescent="0.25">
      <c r="A550" s="4"/>
      <c r="B550" s="4"/>
      <c r="C550" s="4"/>
      <c r="D550" s="4"/>
      <c r="E550" s="4"/>
    </row>
    <row r="551" spans="1:5" ht="15.75" customHeight="1" x14ac:dyDescent="0.25">
      <c r="A551" s="4"/>
      <c r="B551" s="4"/>
      <c r="C551" s="4"/>
      <c r="D551" s="4"/>
      <c r="E551" s="4"/>
    </row>
    <row r="552" spans="1:5" ht="15.75" customHeight="1" x14ac:dyDescent="0.25">
      <c r="A552" s="4"/>
      <c r="B552" s="4"/>
      <c r="C552" s="4"/>
      <c r="D552" s="4"/>
      <c r="E552" s="4"/>
    </row>
    <row r="553" spans="1:5" ht="15.75" customHeight="1" x14ac:dyDescent="0.25">
      <c r="A553" s="4"/>
      <c r="B553" s="4"/>
      <c r="C553" s="4"/>
      <c r="D553" s="4"/>
      <c r="E553" s="4"/>
    </row>
    <row r="554" spans="1:5" ht="15.75" customHeight="1" x14ac:dyDescent="0.25">
      <c r="A554" s="4"/>
      <c r="B554" s="4"/>
      <c r="C554" s="4"/>
      <c r="D554" s="4"/>
      <c r="E554" s="4"/>
    </row>
    <row r="555" spans="1:5" ht="15.75" customHeight="1" x14ac:dyDescent="0.25">
      <c r="A555" s="4"/>
      <c r="B555" s="4"/>
      <c r="C555" s="4"/>
      <c r="D555" s="4"/>
      <c r="E555" s="4"/>
    </row>
    <row r="556" spans="1:5" ht="15.75" customHeight="1" x14ac:dyDescent="0.25">
      <c r="A556" s="4"/>
      <c r="B556" s="4"/>
      <c r="C556" s="4"/>
      <c r="D556" s="4"/>
      <c r="E556" s="4"/>
    </row>
    <row r="557" spans="1:5" ht="15.75" customHeight="1" x14ac:dyDescent="0.25">
      <c r="A557" s="4"/>
      <c r="B557" s="4"/>
      <c r="C557" s="4"/>
      <c r="D557" s="4"/>
      <c r="E557" s="4"/>
    </row>
    <row r="558" spans="1:5" ht="15.75" customHeight="1" x14ac:dyDescent="0.25">
      <c r="A558" s="4"/>
      <c r="B558" s="4"/>
      <c r="C558" s="4"/>
      <c r="D558" s="4"/>
      <c r="E558" s="4"/>
    </row>
    <row r="559" spans="1:5" ht="15.75" customHeight="1" x14ac:dyDescent="0.25">
      <c r="A559" s="4"/>
      <c r="B559" s="4"/>
      <c r="C559" s="4"/>
      <c r="D559" s="4"/>
      <c r="E559" s="4"/>
    </row>
    <row r="560" spans="1:5" ht="15.75" customHeight="1" x14ac:dyDescent="0.25">
      <c r="A560" s="4"/>
      <c r="B560" s="4"/>
      <c r="C560" s="4"/>
      <c r="D560" s="4"/>
      <c r="E560" s="4"/>
    </row>
    <row r="561" spans="1:5" ht="15.75" customHeight="1" x14ac:dyDescent="0.25">
      <c r="A561" s="4"/>
      <c r="B561" s="4"/>
      <c r="C561" s="4"/>
      <c r="D561" s="4"/>
      <c r="E561" s="4"/>
    </row>
    <row r="562" spans="1:5" ht="15.75" customHeight="1" x14ac:dyDescent="0.25">
      <c r="A562" s="4"/>
      <c r="B562" s="4"/>
      <c r="C562" s="4"/>
      <c r="D562" s="4"/>
      <c r="E562" s="4"/>
    </row>
    <row r="563" spans="1:5" ht="15.75" customHeight="1" x14ac:dyDescent="0.25">
      <c r="A563" s="4"/>
      <c r="B563" s="4"/>
      <c r="C563" s="4"/>
      <c r="D563" s="4"/>
      <c r="E563" s="4"/>
    </row>
    <row r="564" spans="1:5" ht="15.75" customHeight="1" x14ac:dyDescent="0.25">
      <c r="A564" s="4"/>
      <c r="B564" s="4"/>
      <c r="C564" s="4"/>
      <c r="D564" s="4"/>
      <c r="E564" s="4"/>
    </row>
    <row r="565" spans="1:5" ht="15.75" customHeight="1" x14ac:dyDescent="0.25">
      <c r="A565" s="4"/>
      <c r="B565" s="4"/>
      <c r="C565" s="4"/>
      <c r="D565" s="4"/>
      <c r="E565" s="4"/>
    </row>
    <row r="566" spans="1:5" ht="15.75" customHeight="1" x14ac:dyDescent="0.25">
      <c r="A566" s="4"/>
      <c r="B566" s="4"/>
      <c r="C566" s="4"/>
      <c r="D566" s="4"/>
      <c r="E566" s="4"/>
    </row>
    <row r="567" spans="1:5" ht="15.75" customHeight="1" x14ac:dyDescent="0.25">
      <c r="A567" s="4"/>
      <c r="B567" s="4"/>
      <c r="C567" s="4"/>
      <c r="D567" s="4"/>
      <c r="E567" s="4"/>
    </row>
    <row r="568" spans="1:5" ht="15.75" customHeight="1" x14ac:dyDescent="0.25">
      <c r="A568" s="4"/>
      <c r="B568" s="4"/>
      <c r="C568" s="4"/>
      <c r="D568" s="4"/>
      <c r="E568" s="4"/>
    </row>
    <row r="569" spans="1:5" ht="15.75" customHeight="1" x14ac:dyDescent="0.25">
      <c r="A569" s="4"/>
      <c r="B569" s="4"/>
      <c r="C569" s="4"/>
      <c r="D569" s="4"/>
      <c r="E569" s="4"/>
    </row>
    <row r="570" spans="1:5" ht="15.75" customHeight="1" x14ac:dyDescent="0.25">
      <c r="A570" s="4"/>
      <c r="B570" s="4"/>
      <c r="C570" s="4"/>
      <c r="D570" s="4"/>
      <c r="E570" s="4"/>
    </row>
    <row r="571" spans="1:5" ht="15.75" customHeight="1" x14ac:dyDescent="0.25">
      <c r="A571" s="4"/>
      <c r="B571" s="4"/>
      <c r="C571" s="4"/>
      <c r="D571" s="4"/>
      <c r="E571" s="4"/>
    </row>
    <row r="572" spans="1:5" ht="15.75" customHeight="1" x14ac:dyDescent="0.25">
      <c r="A572" s="4"/>
      <c r="B572" s="4"/>
      <c r="C572" s="4"/>
      <c r="D572" s="4"/>
      <c r="E572" s="4"/>
    </row>
    <row r="573" spans="1:5" ht="15.75" customHeight="1" x14ac:dyDescent="0.25">
      <c r="A573" s="4"/>
      <c r="B573" s="4"/>
      <c r="C573" s="4"/>
      <c r="D573" s="4"/>
      <c r="E573" s="4"/>
    </row>
    <row r="574" spans="1:5" ht="15.75" customHeight="1" x14ac:dyDescent="0.25">
      <c r="A574" s="4"/>
      <c r="B574" s="4"/>
      <c r="C574" s="4"/>
      <c r="D574" s="4"/>
      <c r="E574" s="4"/>
    </row>
    <row r="575" spans="1:5" ht="15.75" customHeight="1" x14ac:dyDescent="0.25">
      <c r="A575" s="4"/>
      <c r="B575" s="4"/>
      <c r="C575" s="4"/>
      <c r="D575" s="4"/>
      <c r="E575" s="4"/>
    </row>
    <row r="576" spans="1:5" ht="15.75" customHeight="1" x14ac:dyDescent="0.25">
      <c r="A576" s="4"/>
      <c r="B576" s="4"/>
      <c r="C576" s="4"/>
      <c r="D576" s="4"/>
      <c r="E576" s="4"/>
    </row>
    <row r="577" spans="1:5" ht="15.75" customHeight="1" x14ac:dyDescent="0.25">
      <c r="A577" s="4"/>
      <c r="B577" s="4"/>
      <c r="C577" s="4"/>
      <c r="D577" s="4"/>
      <c r="E577" s="4"/>
    </row>
    <row r="578" spans="1:5" ht="15.75" customHeight="1" x14ac:dyDescent="0.25">
      <c r="A578" s="4"/>
      <c r="B578" s="4"/>
      <c r="C578" s="4"/>
      <c r="D578" s="4"/>
      <c r="E578" s="4"/>
    </row>
    <row r="579" spans="1:5" ht="15.75" customHeight="1" x14ac:dyDescent="0.25">
      <c r="A579" s="4"/>
      <c r="B579" s="4"/>
      <c r="C579" s="4"/>
      <c r="D579" s="4"/>
      <c r="E579" s="4"/>
    </row>
    <row r="580" spans="1:5" ht="15.75" customHeight="1" x14ac:dyDescent="0.25">
      <c r="A580" s="4"/>
      <c r="B580" s="4"/>
      <c r="C580" s="4"/>
      <c r="D580" s="4"/>
      <c r="E580" s="4"/>
    </row>
    <row r="581" spans="1:5" ht="15.75" customHeight="1" x14ac:dyDescent="0.25">
      <c r="A581" s="4"/>
      <c r="B581" s="4"/>
      <c r="C581" s="4"/>
      <c r="D581" s="4"/>
      <c r="E581" s="4"/>
    </row>
    <row r="582" spans="1:5" ht="15.75" customHeight="1" x14ac:dyDescent="0.25">
      <c r="A582" s="4"/>
      <c r="B582" s="4"/>
      <c r="C582" s="4"/>
      <c r="D582" s="4"/>
      <c r="E582" s="4"/>
    </row>
    <row r="583" spans="1:5" ht="15.75" customHeight="1" x14ac:dyDescent="0.25">
      <c r="A583" s="4"/>
      <c r="B583" s="4"/>
      <c r="C583" s="4"/>
      <c r="D583" s="4"/>
      <c r="E583" s="4"/>
    </row>
    <row r="584" spans="1:5" ht="15.75" customHeight="1" x14ac:dyDescent="0.25">
      <c r="A584" s="4"/>
      <c r="B584" s="4"/>
      <c r="C584" s="4"/>
      <c r="D584" s="4"/>
      <c r="E584" s="4"/>
    </row>
    <row r="585" spans="1:5" ht="15.75" customHeight="1" x14ac:dyDescent="0.25">
      <c r="A585" s="4"/>
      <c r="B585" s="4"/>
      <c r="C585" s="4"/>
      <c r="D585" s="4"/>
      <c r="E585" s="4"/>
    </row>
    <row r="586" spans="1:5" ht="15.75" customHeight="1" x14ac:dyDescent="0.25">
      <c r="A586" s="4"/>
      <c r="B586" s="4"/>
      <c r="C586" s="4"/>
      <c r="D586" s="4"/>
      <c r="E586" s="4"/>
    </row>
    <row r="587" spans="1:5" ht="15.75" customHeight="1" x14ac:dyDescent="0.25">
      <c r="A587" s="4"/>
      <c r="B587" s="4"/>
      <c r="C587" s="4"/>
      <c r="D587" s="4"/>
      <c r="E587" s="4"/>
    </row>
    <row r="588" spans="1:5" ht="15.75" customHeight="1" x14ac:dyDescent="0.25">
      <c r="A588" s="4"/>
      <c r="B588" s="4"/>
      <c r="C588" s="4"/>
      <c r="D588" s="4"/>
      <c r="E588" s="4"/>
    </row>
    <row r="589" spans="1:5" ht="15.75" customHeight="1" x14ac:dyDescent="0.25">
      <c r="A589" s="4"/>
      <c r="B589" s="4"/>
      <c r="C589" s="4"/>
      <c r="D589" s="4"/>
      <c r="E589" s="4"/>
    </row>
    <row r="590" spans="1:5" ht="15.75" customHeight="1" x14ac:dyDescent="0.25">
      <c r="A590" s="4"/>
      <c r="B590" s="4"/>
      <c r="C590" s="4"/>
      <c r="D590" s="4"/>
      <c r="E590" s="4"/>
    </row>
    <row r="591" spans="1:5" ht="15.75" customHeight="1" x14ac:dyDescent="0.25">
      <c r="A591" s="4"/>
      <c r="B591" s="4"/>
      <c r="C591" s="4"/>
      <c r="D591" s="4"/>
      <c r="E591" s="4"/>
    </row>
    <row r="592" spans="1:5" ht="15.75" customHeight="1" x14ac:dyDescent="0.25">
      <c r="A592" s="4"/>
      <c r="B592" s="4"/>
      <c r="C592" s="4"/>
      <c r="D592" s="4"/>
      <c r="E592" s="4"/>
    </row>
    <row r="593" spans="1:5" ht="15.75" customHeight="1" x14ac:dyDescent="0.25">
      <c r="A593" s="4"/>
      <c r="B593" s="4"/>
      <c r="C593" s="4"/>
      <c r="D593" s="4"/>
      <c r="E593" s="4"/>
    </row>
    <row r="594" spans="1:5" ht="15.75" customHeight="1" x14ac:dyDescent="0.25">
      <c r="A594" s="4"/>
      <c r="B594" s="4"/>
      <c r="C594" s="4"/>
      <c r="D594" s="4"/>
      <c r="E594" s="4"/>
    </row>
    <row r="595" spans="1:5" ht="15.75" customHeight="1" x14ac:dyDescent="0.25">
      <c r="A595" s="4"/>
      <c r="B595" s="4"/>
      <c r="C595" s="4"/>
      <c r="D595" s="4"/>
      <c r="E595" s="4"/>
    </row>
    <row r="596" spans="1:5" ht="15.75" customHeight="1" x14ac:dyDescent="0.25">
      <c r="A596" s="4"/>
      <c r="B596" s="4"/>
      <c r="C596" s="4"/>
      <c r="D596" s="4"/>
      <c r="E596" s="4"/>
    </row>
    <row r="597" spans="1:5" ht="15.75" customHeight="1" x14ac:dyDescent="0.25">
      <c r="A597" s="4"/>
      <c r="B597" s="4"/>
      <c r="C597" s="4"/>
      <c r="D597" s="4"/>
      <c r="E597" s="4"/>
    </row>
    <row r="598" spans="1:5" ht="15.75" customHeight="1" x14ac:dyDescent="0.25">
      <c r="A598" s="4"/>
      <c r="B598" s="4"/>
      <c r="C598" s="4"/>
      <c r="D598" s="4"/>
      <c r="E598" s="4"/>
    </row>
    <row r="599" spans="1:5" ht="15.75" customHeight="1" x14ac:dyDescent="0.25">
      <c r="A599" s="4"/>
      <c r="B599" s="4"/>
      <c r="C599" s="4"/>
      <c r="D599" s="4"/>
      <c r="E599" s="4"/>
    </row>
    <row r="600" spans="1:5" ht="15.75" customHeight="1" x14ac:dyDescent="0.25">
      <c r="A600" s="4"/>
      <c r="B600" s="4"/>
      <c r="C600" s="4"/>
      <c r="D600" s="4"/>
      <c r="E600" s="4"/>
    </row>
    <row r="601" spans="1:5" ht="15.75" customHeight="1" x14ac:dyDescent="0.25">
      <c r="A601" s="4"/>
      <c r="B601" s="4"/>
      <c r="C601" s="4"/>
      <c r="D601" s="4"/>
      <c r="E601" s="4"/>
    </row>
    <row r="602" spans="1:5" ht="15.75" customHeight="1" x14ac:dyDescent="0.25">
      <c r="A602" s="4"/>
      <c r="B602" s="4"/>
      <c r="C602" s="4"/>
      <c r="D602" s="4"/>
      <c r="E602" s="4"/>
    </row>
    <row r="603" spans="1:5" ht="15.75" customHeight="1" x14ac:dyDescent="0.25">
      <c r="A603" s="4"/>
      <c r="B603" s="4"/>
      <c r="C603" s="4"/>
      <c r="D603" s="4"/>
      <c r="E603" s="4"/>
    </row>
    <row r="604" spans="1:5" ht="15.75" customHeight="1" x14ac:dyDescent="0.25">
      <c r="A604" s="4"/>
      <c r="B604" s="4"/>
      <c r="C604" s="4"/>
      <c r="D604" s="4"/>
      <c r="E604" s="4"/>
    </row>
    <row r="605" spans="1:5" ht="15.75" customHeight="1" x14ac:dyDescent="0.25">
      <c r="A605" s="4"/>
      <c r="B605" s="4"/>
      <c r="C605" s="4"/>
      <c r="D605" s="4"/>
      <c r="E605" s="4"/>
    </row>
    <row r="606" spans="1:5" ht="15.75" customHeight="1" x14ac:dyDescent="0.25">
      <c r="A606" s="4"/>
      <c r="B606" s="4"/>
      <c r="C606" s="4"/>
      <c r="D606" s="4"/>
      <c r="E606" s="4"/>
    </row>
    <row r="607" spans="1:5" ht="15.75" customHeight="1" x14ac:dyDescent="0.25">
      <c r="A607" s="4"/>
      <c r="B607" s="4"/>
      <c r="C607" s="4"/>
      <c r="D607" s="4"/>
      <c r="E607" s="4"/>
    </row>
    <row r="608" spans="1:5" ht="15.75" customHeight="1" x14ac:dyDescent="0.25">
      <c r="A608" s="4"/>
      <c r="B608" s="4"/>
      <c r="C608" s="4"/>
      <c r="D608" s="4"/>
      <c r="E608" s="4"/>
    </row>
    <row r="609" spans="1:5" ht="15.75" customHeight="1" x14ac:dyDescent="0.25">
      <c r="A609" s="4"/>
      <c r="B609" s="4"/>
      <c r="C609" s="4"/>
      <c r="D609" s="4"/>
      <c r="E609" s="4"/>
    </row>
    <row r="610" spans="1:5" ht="15.75" customHeight="1" x14ac:dyDescent="0.25">
      <c r="A610" s="4"/>
      <c r="B610" s="4"/>
      <c r="C610" s="4"/>
      <c r="D610" s="4"/>
      <c r="E610" s="4"/>
    </row>
    <row r="611" spans="1:5" ht="15.75" customHeight="1" x14ac:dyDescent="0.25">
      <c r="A611" s="4"/>
      <c r="B611" s="4"/>
      <c r="C611" s="4"/>
      <c r="D611" s="4"/>
      <c r="E611" s="4"/>
    </row>
    <row r="612" spans="1:5" ht="15.75" customHeight="1" x14ac:dyDescent="0.25">
      <c r="A612" s="4"/>
      <c r="B612" s="4"/>
      <c r="C612" s="4"/>
      <c r="D612" s="4"/>
      <c r="E612" s="4"/>
    </row>
    <row r="613" spans="1:5" ht="15.75" customHeight="1" x14ac:dyDescent="0.25">
      <c r="A613" s="4"/>
      <c r="B613" s="4"/>
      <c r="C613" s="4"/>
      <c r="D613" s="4"/>
      <c r="E613" s="4"/>
    </row>
    <row r="614" spans="1:5" ht="15.75" customHeight="1" x14ac:dyDescent="0.25">
      <c r="A614" s="4"/>
      <c r="B614" s="4"/>
      <c r="C614" s="4"/>
      <c r="D614" s="4"/>
      <c r="E614" s="4"/>
    </row>
    <row r="615" spans="1:5" ht="15.75" customHeight="1" x14ac:dyDescent="0.25">
      <c r="A615" s="4"/>
      <c r="B615" s="4"/>
      <c r="C615" s="4"/>
      <c r="D615" s="4"/>
      <c r="E615" s="4"/>
    </row>
    <row r="616" spans="1:5" ht="15.75" customHeight="1" x14ac:dyDescent="0.25">
      <c r="A616" s="4"/>
      <c r="B616" s="4"/>
      <c r="C616" s="4"/>
      <c r="D616" s="4"/>
      <c r="E616" s="4"/>
    </row>
    <row r="617" spans="1:5" ht="15.75" customHeight="1" x14ac:dyDescent="0.25">
      <c r="A617" s="4"/>
      <c r="B617" s="4"/>
      <c r="C617" s="4"/>
      <c r="D617" s="4"/>
      <c r="E617" s="4"/>
    </row>
    <row r="618" spans="1:5" ht="15.75" customHeight="1" x14ac:dyDescent="0.25">
      <c r="A618" s="4"/>
      <c r="B618" s="4"/>
      <c r="C618" s="4"/>
      <c r="D618" s="4"/>
      <c r="E618" s="4"/>
    </row>
    <row r="619" spans="1:5" ht="15.75" customHeight="1" x14ac:dyDescent="0.25">
      <c r="A619" s="4"/>
      <c r="B619" s="4"/>
      <c r="C619" s="4"/>
      <c r="D619" s="4"/>
      <c r="E619" s="4"/>
    </row>
    <row r="620" spans="1:5" ht="15.75" customHeight="1" x14ac:dyDescent="0.25">
      <c r="A620" s="4"/>
      <c r="B620" s="4"/>
      <c r="C620" s="4"/>
      <c r="D620" s="4"/>
      <c r="E620" s="4"/>
    </row>
    <row r="621" spans="1:5" ht="15.75" customHeight="1" x14ac:dyDescent="0.25">
      <c r="A621" s="4"/>
      <c r="B621" s="4"/>
      <c r="C621" s="4"/>
      <c r="D621" s="4"/>
      <c r="E621" s="4"/>
    </row>
    <row r="622" spans="1:5" ht="15.75" customHeight="1" x14ac:dyDescent="0.25">
      <c r="A622" s="4"/>
      <c r="B622" s="4"/>
      <c r="C622" s="4"/>
      <c r="D622" s="4"/>
      <c r="E622" s="4"/>
    </row>
    <row r="623" spans="1:5" ht="15.75" customHeight="1" x14ac:dyDescent="0.25">
      <c r="A623" s="4"/>
      <c r="B623" s="4"/>
      <c r="C623" s="4"/>
      <c r="D623" s="4"/>
      <c r="E623" s="4"/>
    </row>
    <row r="624" spans="1:5" ht="15.75" customHeight="1" x14ac:dyDescent="0.25">
      <c r="A624" s="4"/>
      <c r="B624" s="4"/>
      <c r="C624" s="4"/>
      <c r="D624" s="4"/>
      <c r="E624" s="4"/>
    </row>
    <row r="625" spans="1:5" ht="15.75" customHeight="1" x14ac:dyDescent="0.25">
      <c r="A625" s="4"/>
      <c r="B625" s="4"/>
      <c r="C625" s="4"/>
      <c r="D625" s="4"/>
      <c r="E625" s="4"/>
    </row>
    <row r="626" spans="1:5" ht="15.75" customHeight="1" x14ac:dyDescent="0.25">
      <c r="A626" s="4"/>
      <c r="B626" s="4"/>
      <c r="C626" s="4"/>
      <c r="D626" s="4"/>
      <c r="E626" s="4"/>
    </row>
    <row r="627" spans="1:5" ht="15.75" customHeight="1" x14ac:dyDescent="0.25">
      <c r="A627" s="4"/>
      <c r="B627" s="4"/>
      <c r="C627" s="4"/>
      <c r="D627" s="4"/>
      <c r="E627" s="4"/>
    </row>
    <row r="628" spans="1:5" ht="15.75" customHeight="1" x14ac:dyDescent="0.25">
      <c r="A628" s="4"/>
      <c r="B628" s="4"/>
      <c r="C628" s="4"/>
      <c r="D628" s="4"/>
      <c r="E628" s="4"/>
    </row>
    <row r="629" spans="1:5" ht="15.75" customHeight="1" x14ac:dyDescent="0.25">
      <c r="A629" s="4"/>
      <c r="B629" s="4"/>
      <c r="C629" s="4"/>
      <c r="D629" s="4"/>
      <c r="E629" s="4"/>
    </row>
    <row r="630" spans="1:5" ht="15.75" customHeight="1" x14ac:dyDescent="0.25">
      <c r="A630" s="4"/>
      <c r="B630" s="4"/>
      <c r="C630" s="4"/>
      <c r="D630" s="4"/>
      <c r="E630" s="4"/>
    </row>
    <row r="631" spans="1:5" ht="15.75" customHeight="1" x14ac:dyDescent="0.25">
      <c r="A631" s="4"/>
      <c r="B631" s="4"/>
      <c r="C631" s="4"/>
      <c r="D631" s="4"/>
      <c r="E631" s="4"/>
    </row>
    <row r="632" spans="1:5" ht="15.75" customHeight="1" x14ac:dyDescent="0.25">
      <c r="A632" s="4"/>
      <c r="B632" s="4"/>
      <c r="C632" s="4"/>
      <c r="D632" s="4"/>
      <c r="E632" s="4"/>
    </row>
    <row r="633" spans="1:5" ht="15.75" customHeight="1" x14ac:dyDescent="0.25">
      <c r="A633" s="4"/>
      <c r="B633" s="4"/>
      <c r="C633" s="4"/>
      <c r="D633" s="4"/>
      <c r="E633" s="4"/>
    </row>
    <row r="634" spans="1:5" ht="15.75" customHeight="1" x14ac:dyDescent="0.25">
      <c r="A634" s="4"/>
      <c r="B634" s="4"/>
      <c r="C634" s="4"/>
      <c r="D634" s="4"/>
      <c r="E634" s="4"/>
    </row>
    <row r="635" spans="1:5" ht="15.75" customHeight="1" x14ac:dyDescent="0.25">
      <c r="A635" s="4"/>
      <c r="B635" s="4"/>
      <c r="C635" s="4"/>
      <c r="D635" s="4"/>
      <c r="E635" s="4"/>
    </row>
    <row r="636" spans="1:5" ht="15.75" customHeight="1" x14ac:dyDescent="0.25">
      <c r="A636" s="4"/>
      <c r="B636" s="4"/>
      <c r="C636" s="4"/>
      <c r="D636" s="4"/>
      <c r="E636" s="4"/>
    </row>
    <row r="637" spans="1:5" ht="15.75" customHeight="1" x14ac:dyDescent="0.25">
      <c r="A637" s="4"/>
      <c r="B637" s="4"/>
      <c r="C637" s="4"/>
      <c r="D637" s="4"/>
      <c r="E637" s="4"/>
    </row>
    <row r="638" spans="1:5" ht="15.75" customHeight="1" x14ac:dyDescent="0.25">
      <c r="A638" s="4"/>
      <c r="B638" s="4"/>
      <c r="C638" s="4"/>
      <c r="D638" s="4"/>
      <c r="E638" s="4"/>
    </row>
    <row r="639" spans="1:5" ht="15.75" customHeight="1" x14ac:dyDescent="0.25">
      <c r="A639" s="4"/>
      <c r="B639" s="4"/>
      <c r="C639" s="4"/>
      <c r="D639" s="4"/>
      <c r="E639" s="4"/>
    </row>
    <row r="640" spans="1:5" ht="15.75" customHeight="1" x14ac:dyDescent="0.25">
      <c r="A640" s="4"/>
      <c r="B640" s="4"/>
      <c r="C640" s="4"/>
      <c r="D640" s="4"/>
      <c r="E640" s="4"/>
    </row>
    <row r="641" spans="1:5" ht="15.75" customHeight="1" x14ac:dyDescent="0.25">
      <c r="A641" s="4"/>
      <c r="B641" s="4"/>
      <c r="C641" s="4"/>
      <c r="D641" s="4"/>
      <c r="E641" s="4"/>
    </row>
    <row r="642" spans="1:5" ht="15.75" customHeight="1" x14ac:dyDescent="0.25">
      <c r="A642" s="4"/>
      <c r="B642" s="4"/>
      <c r="C642" s="4"/>
      <c r="D642" s="4"/>
      <c r="E642" s="4"/>
    </row>
    <row r="643" spans="1:5" ht="15.75" customHeight="1" x14ac:dyDescent="0.25">
      <c r="A643" s="4"/>
      <c r="B643" s="4"/>
      <c r="C643" s="4"/>
      <c r="D643" s="4"/>
      <c r="E643" s="4"/>
    </row>
    <row r="644" spans="1:5" ht="15.75" customHeight="1" x14ac:dyDescent="0.25">
      <c r="A644" s="4"/>
      <c r="B644" s="4"/>
      <c r="C644" s="4"/>
      <c r="D644" s="4"/>
      <c r="E644" s="4"/>
    </row>
    <row r="645" spans="1:5" ht="15.75" customHeight="1" x14ac:dyDescent="0.25">
      <c r="A645" s="4"/>
      <c r="B645" s="4"/>
      <c r="C645" s="4"/>
      <c r="D645" s="4"/>
      <c r="E645" s="4"/>
    </row>
    <row r="646" spans="1:5" ht="15.75" customHeight="1" x14ac:dyDescent="0.25">
      <c r="A646" s="4"/>
      <c r="B646" s="4"/>
      <c r="C646" s="4"/>
      <c r="D646" s="4"/>
      <c r="E646" s="4"/>
    </row>
    <row r="647" spans="1:5" ht="15.75" customHeight="1" x14ac:dyDescent="0.25">
      <c r="A647" s="4"/>
      <c r="B647" s="4"/>
      <c r="C647" s="4"/>
      <c r="D647" s="4"/>
      <c r="E647" s="4"/>
    </row>
    <row r="648" spans="1:5" ht="15.75" customHeight="1" x14ac:dyDescent="0.25">
      <c r="A648" s="4"/>
      <c r="B648" s="4"/>
      <c r="C648" s="4"/>
      <c r="D648" s="4"/>
      <c r="E648" s="4"/>
    </row>
    <row r="649" spans="1:5" ht="15.75" customHeight="1" x14ac:dyDescent="0.25">
      <c r="A649" s="4"/>
      <c r="B649" s="4"/>
      <c r="C649" s="4"/>
      <c r="D649" s="4"/>
      <c r="E649" s="4"/>
    </row>
    <row r="650" spans="1:5" ht="15.75" customHeight="1" x14ac:dyDescent="0.25">
      <c r="A650" s="4"/>
      <c r="B650" s="4"/>
      <c r="C650" s="4"/>
      <c r="D650" s="4"/>
      <c r="E650" s="4"/>
    </row>
    <row r="651" spans="1:5" ht="15.75" customHeight="1" x14ac:dyDescent="0.25">
      <c r="A651" s="4"/>
      <c r="B651" s="4"/>
      <c r="C651" s="4"/>
      <c r="D651" s="4"/>
      <c r="E651" s="4"/>
    </row>
    <row r="652" spans="1:5" ht="15.75" customHeight="1" x14ac:dyDescent="0.25">
      <c r="A652" s="4"/>
      <c r="B652" s="4"/>
      <c r="C652" s="4"/>
      <c r="D652" s="4"/>
      <c r="E652" s="4"/>
    </row>
    <row r="653" spans="1:5" ht="15.75" customHeight="1" x14ac:dyDescent="0.25">
      <c r="A653" s="4"/>
      <c r="B653" s="4"/>
      <c r="C653" s="4"/>
      <c r="D653" s="4"/>
      <c r="E653" s="4"/>
    </row>
    <row r="654" spans="1:5" ht="15.75" customHeight="1" x14ac:dyDescent="0.25">
      <c r="A654" s="4"/>
      <c r="B654" s="4"/>
      <c r="C654" s="4"/>
      <c r="D654" s="4"/>
      <c r="E654" s="4"/>
    </row>
    <row r="655" spans="1:5" ht="15.75" customHeight="1" x14ac:dyDescent="0.25">
      <c r="A655" s="4"/>
      <c r="B655" s="4"/>
      <c r="C655" s="4"/>
      <c r="D655" s="4"/>
      <c r="E655" s="4"/>
    </row>
    <row r="656" spans="1:5" ht="15.75" customHeight="1" x14ac:dyDescent="0.25">
      <c r="A656" s="4"/>
      <c r="B656" s="4"/>
      <c r="C656" s="4"/>
      <c r="D656" s="4"/>
      <c r="E656" s="4"/>
    </row>
    <row r="657" spans="1:5" ht="15.75" customHeight="1" x14ac:dyDescent="0.25">
      <c r="A657" s="4"/>
      <c r="B657" s="4"/>
      <c r="C657" s="4"/>
      <c r="D657" s="4"/>
      <c r="E657" s="4"/>
    </row>
    <row r="658" spans="1:5" ht="15.75" customHeight="1" x14ac:dyDescent="0.25">
      <c r="A658" s="4"/>
      <c r="B658" s="4"/>
      <c r="C658" s="4"/>
      <c r="D658" s="4"/>
      <c r="E658" s="4"/>
    </row>
    <row r="659" spans="1:5" ht="15.75" customHeight="1" x14ac:dyDescent="0.25">
      <c r="A659" s="4"/>
      <c r="B659" s="4"/>
      <c r="C659" s="4"/>
      <c r="D659" s="4"/>
      <c r="E659" s="4"/>
    </row>
    <row r="660" spans="1:5" ht="15.75" customHeight="1" x14ac:dyDescent="0.25">
      <c r="A660" s="4"/>
      <c r="B660" s="4"/>
      <c r="C660" s="4"/>
      <c r="D660" s="4"/>
      <c r="E660" s="4"/>
    </row>
    <row r="661" spans="1:5" ht="15.75" customHeight="1" x14ac:dyDescent="0.25">
      <c r="A661" s="4"/>
      <c r="B661" s="4"/>
      <c r="C661" s="4"/>
      <c r="D661" s="4"/>
      <c r="E661" s="4"/>
    </row>
    <row r="662" spans="1:5" ht="15.75" customHeight="1" x14ac:dyDescent="0.25">
      <c r="A662" s="4"/>
      <c r="B662" s="4"/>
      <c r="C662" s="4"/>
      <c r="D662" s="4"/>
      <c r="E662" s="4"/>
    </row>
    <row r="663" spans="1:5" ht="15.75" customHeight="1" x14ac:dyDescent="0.25">
      <c r="A663" s="4"/>
      <c r="B663" s="4"/>
      <c r="C663" s="4"/>
      <c r="D663" s="4"/>
      <c r="E663" s="4"/>
    </row>
    <row r="664" spans="1:5" ht="15.75" customHeight="1" x14ac:dyDescent="0.25">
      <c r="A664" s="4"/>
      <c r="B664" s="4"/>
      <c r="C664" s="4"/>
      <c r="D664" s="4"/>
      <c r="E664" s="4"/>
    </row>
    <row r="665" spans="1:5" ht="15.75" customHeight="1" x14ac:dyDescent="0.25">
      <c r="A665" s="4"/>
      <c r="B665" s="4"/>
      <c r="C665" s="4"/>
      <c r="D665" s="4"/>
      <c r="E665" s="4"/>
    </row>
    <row r="666" spans="1:5" ht="15.75" customHeight="1" x14ac:dyDescent="0.25">
      <c r="A666" s="4"/>
      <c r="B666" s="4"/>
      <c r="C666" s="4"/>
      <c r="D666" s="4"/>
      <c r="E666" s="4"/>
    </row>
    <row r="667" spans="1:5" ht="15.75" customHeight="1" x14ac:dyDescent="0.25">
      <c r="A667" s="4"/>
      <c r="B667" s="4"/>
      <c r="C667" s="4"/>
      <c r="D667" s="4"/>
      <c r="E667" s="4"/>
    </row>
    <row r="668" spans="1:5" ht="15.75" customHeight="1" x14ac:dyDescent="0.25">
      <c r="A668" s="4"/>
      <c r="B668" s="4"/>
      <c r="C668" s="4"/>
      <c r="D668" s="4"/>
      <c r="E668" s="4"/>
    </row>
    <row r="669" spans="1:5" ht="15.75" customHeight="1" x14ac:dyDescent="0.25">
      <c r="A669" s="4"/>
      <c r="B669" s="4"/>
      <c r="C669" s="4"/>
      <c r="D669" s="4"/>
      <c r="E669" s="4"/>
    </row>
    <row r="670" spans="1:5" ht="15.75" customHeight="1" x14ac:dyDescent="0.25">
      <c r="A670" s="4"/>
      <c r="B670" s="4"/>
      <c r="C670" s="4"/>
      <c r="D670" s="4"/>
      <c r="E670" s="4"/>
    </row>
    <row r="671" spans="1:5" ht="15.75" customHeight="1" x14ac:dyDescent="0.25">
      <c r="A671" s="4"/>
      <c r="B671" s="4"/>
      <c r="C671" s="4"/>
      <c r="D671" s="4"/>
      <c r="E671" s="4"/>
    </row>
    <row r="672" spans="1:5" ht="15.75" customHeight="1" x14ac:dyDescent="0.25">
      <c r="A672" s="4"/>
      <c r="B672" s="4"/>
      <c r="C672" s="4"/>
      <c r="D672" s="4"/>
      <c r="E672" s="4"/>
    </row>
    <row r="673" spans="1:5" ht="15.75" customHeight="1" x14ac:dyDescent="0.25">
      <c r="A673" s="4"/>
      <c r="B673" s="4"/>
      <c r="C673" s="4"/>
      <c r="D673" s="4"/>
      <c r="E673" s="4"/>
    </row>
    <row r="674" spans="1:5" ht="15.75" customHeight="1" x14ac:dyDescent="0.25">
      <c r="A674" s="4"/>
      <c r="B674" s="4"/>
      <c r="C674" s="4"/>
      <c r="D674" s="4"/>
      <c r="E674" s="4"/>
    </row>
    <row r="675" spans="1:5" ht="15.75" customHeight="1" x14ac:dyDescent="0.25">
      <c r="A675" s="4"/>
      <c r="B675" s="4"/>
      <c r="C675" s="4"/>
      <c r="D675" s="4"/>
      <c r="E675" s="4"/>
    </row>
    <row r="676" spans="1:5" ht="15.75" customHeight="1" x14ac:dyDescent="0.25">
      <c r="A676" s="4"/>
      <c r="B676" s="4"/>
      <c r="C676" s="4"/>
      <c r="D676" s="4"/>
      <c r="E676" s="4"/>
    </row>
    <row r="677" spans="1:5" ht="15.75" customHeight="1" x14ac:dyDescent="0.25">
      <c r="A677" s="4"/>
      <c r="B677" s="4"/>
      <c r="C677" s="4"/>
      <c r="D677" s="4"/>
      <c r="E677" s="4"/>
    </row>
    <row r="678" spans="1:5" ht="15.75" customHeight="1" x14ac:dyDescent="0.25">
      <c r="A678" s="4"/>
      <c r="B678" s="4"/>
      <c r="C678" s="4"/>
      <c r="D678" s="4"/>
      <c r="E678" s="4"/>
    </row>
    <row r="679" spans="1:5" ht="15.75" customHeight="1" x14ac:dyDescent="0.25">
      <c r="A679" s="4"/>
      <c r="B679" s="4"/>
      <c r="C679" s="4"/>
      <c r="D679" s="4"/>
      <c r="E679" s="4"/>
    </row>
    <row r="680" spans="1:5" ht="15.75" customHeight="1" x14ac:dyDescent="0.25">
      <c r="A680" s="4"/>
      <c r="B680" s="4"/>
      <c r="C680" s="4"/>
      <c r="D680" s="4"/>
      <c r="E680" s="4"/>
    </row>
    <row r="681" spans="1:5" ht="15.75" customHeight="1" x14ac:dyDescent="0.25">
      <c r="A681" s="4"/>
      <c r="B681" s="4"/>
      <c r="C681" s="4"/>
      <c r="D681" s="4"/>
      <c r="E681" s="4"/>
    </row>
    <row r="682" spans="1:5" ht="15.75" customHeight="1" x14ac:dyDescent="0.25">
      <c r="A682" s="4"/>
      <c r="B682" s="4"/>
      <c r="C682" s="4"/>
      <c r="D682" s="4"/>
      <c r="E682" s="4"/>
    </row>
    <row r="683" spans="1:5" ht="15.75" customHeight="1" x14ac:dyDescent="0.25">
      <c r="A683" s="4"/>
      <c r="B683" s="4"/>
      <c r="C683" s="4"/>
      <c r="D683" s="4"/>
      <c r="E683" s="4"/>
    </row>
    <row r="684" spans="1:5" ht="15.75" customHeight="1" x14ac:dyDescent="0.25">
      <c r="A684" s="4"/>
      <c r="B684" s="4"/>
      <c r="C684" s="4"/>
      <c r="D684" s="4"/>
      <c r="E684" s="4"/>
    </row>
    <row r="685" spans="1:5" ht="15.75" customHeight="1" x14ac:dyDescent="0.25">
      <c r="A685" s="4"/>
      <c r="B685" s="4"/>
      <c r="C685" s="4"/>
      <c r="D685" s="4"/>
      <c r="E685" s="4"/>
    </row>
    <row r="686" spans="1:5" ht="15.75" customHeight="1" x14ac:dyDescent="0.25">
      <c r="A686" s="4"/>
      <c r="B686" s="4"/>
      <c r="C686" s="4"/>
      <c r="D686" s="4"/>
      <c r="E686" s="4"/>
    </row>
    <row r="687" spans="1:5" ht="15.75" customHeight="1" x14ac:dyDescent="0.25">
      <c r="A687" s="4"/>
      <c r="B687" s="4"/>
      <c r="C687" s="4"/>
      <c r="D687" s="4"/>
      <c r="E687" s="4"/>
    </row>
    <row r="688" spans="1:5" ht="15.75" customHeight="1" x14ac:dyDescent="0.25">
      <c r="A688" s="4"/>
      <c r="B688" s="4"/>
      <c r="C688" s="4"/>
      <c r="D688" s="4"/>
      <c r="E688" s="4"/>
    </row>
    <row r="689" spans="1:5" ht="15.75" customHeight="1" x14ac:dyDescent="0.25">
      <c r="A689" s="4"/>
      <c r="B689" s="4"/>
      <c r="C689" s="4"/>
      <c r="D689" s="4"/>
      <c r="E689" s="4"/>
    </row>
    <row r="690" spans="1:5" ht="15.75" customHeight="1" x14ac:dyDescent="0.25">
      <c r="A690" s="4"/>
      <c r="B690" s="4"/>
      <c r="C690" s="4"/>
      <c r="D690" s="4"/>
      <c r="E690" s="4"/>
    </row>
    <row r="691" spans="1:5" ht="15.75" customHeight="1" x14ac:dyDescent="0.25">
      <c r="A691" s="4"/>
      <c r="B691" s="4"/>
      <c r="C691" s="4"/>
      <c r="D691" s="4"/>
      <c r="E691" s="4"/>
    </row>
    <row r="692" spans="1:5" ht="15.75" customHeight="1" x14ac:dyDescent="0.25">
      <c r="A692" s="4"/>
      <c r="B692" s="4"/>
      <c r="C692" s="4"/>
      <c r="D692" s="4"/>
      <c r="E692" s="4"/>
    </row>
    <row r="693" spans="1:5" ht="15.75" customHeight="1" x14ac:dyDescent="0.25">
      <c r="A693" s="4"/>
      <c r="B693" s="4"/>
      <c r="C693" s="4"/>
      <c r="D693" s="4"/>
      <c r="E693" s="4"/>
    </row>
    <row r="694" spans="1:5" ht="15.75" customHeight="1" x14ac:dyDescent="0.25">
      <c r="A694" s="4"/>
      <c r="B694" s="4"/>
      <c r="C694" s="4"/>
      <c r="D694" s="4"/>
      <c r="E694" s="4"/>
    </row>
    <row r="695" spans="1:5" ht="15.75" customHeight="1" x14ac:dyDescent="0.25">
      <c r="A695" s="4"/>
      <c r="B695" s="4"/>
      <c r="C695" s="4"/>
      <c r="D695" s="4"/>
      <c r="E695" s="4"/>
    </row>
    <row r="696" spans="1:5" ht="15.75" customHeight="1" x14ac:dyDescent="0.25">
      <c r="A696" s="4"/>
      <c r="B696" s="4"/>
      <c r="C696" s="4"/>
      <c r="D696" s="4"/>
      <c r="E696" s="4"/>
    </row>
    <row r="697" spans="1:5" ht="15.75" customHeight="1" x14ac:dyDescent="0.25">
      <c r="A697" s="4"/>
      <c r="B697" s="4"/>
      <c r="C697" s="4"/>
      <c r="D697" s="4"/>
      <c r="E697" s="4"/>
    </row>
    <row r="698" spans="1:5" ht="15.75" customHeight="1" x14ac:dyDescent="0.25">
      <c r="A698" s="4"/>
      <c r="B698" s="4"/>
      <c r="C698" s="4"/>
      <c r="D698" s="4"/>
      <c r="E698" s="4"/>
    </row>
    <row r="699" spans="1:5" ht="15.75" customHeight="1" x14ac:dyDescent="0.25">
      <c r="A699" s="4"/>
      <c r="B699" s="4"/>
      <c r="C699" s="4"/>
      <c r="D699" s="4"/>
      <c r="E699" s="4"/>
    </row>
    <row r="700" spans="1:5" ht="15.75" customHeight="1" x14ac:dyDescent="0.25">
      <c r="A700" s="4"/>
      <c r="B700" s="4"/>
      <c r="C700" s="4"/>
      <c r="D700" s="4"/>
      <c r="E700" s="4"/>
    </row>
    <row r="701" spans="1:5" ht="15.75" customHeight="1" x14ac:dyDescent="0.25">
      <c r="A701" s="4"/>
      <c r="B701" s="4"/>
      <c r="C701" s="4"/>
      <c r="D701" s="4"/>
      <c r="E701" s="4"/>
    </row>
    <row r="702" spans="1:5" ht="15.75" customHeight="1" x14ac:dyDescent="0.25">
      <c r="A702" s="4"/>
      <c r="B702" s="4"/>
      <c r="C702" s="4"/>
      <c r="D702" s="4"/>
      <c r="E702" s="4"/>
    </row>
    <row r="703" spans="1:5" ht="15.75" customHeight="1" x14ac:dyDescent="0.25">
      <c r="A703" s="4"/>
      <c r="B703" s="4"/>
      <c r="C703" s="4"/>
      <c r="D703" s="4"/>
      <c r="E703" s="4"/>
    </row>
    <row r="704" spans="1:5" ht="15.75" customHeight="1" x14ac:dyDescent="0.25">
      <c r="A704" s="4"/>
      <c r="B704" s="4"/>
      <c r="C704" s="4"/>
      <c r="D704" s="4"/>
      <c r="E704" s="4"/>
    </row>
    <row r="705" spans="1:5" ht="15.75" customHeight="1" x14ac:dyDescent="0.25">
      <c r="A705" s="4"/>
      <c r="B705" s="4"/>
      <c r="C705" s="4"/>
      <c r="D705" s="4"/>
      <c r="E705" s="4"/>
    </row>
    <row r="706" spans="1:5" ht="15.75" customHeight="1" x14ac:dyDescent="0.25">
      <c r="A706" s="4"/>
      <c r="B706" s="4"/>
      <c r="C706" s="4"/>
      <c r="D706" s="4"/>
      <c r="E706" s="4"/>
    </row>
    <row r="707" spans="1:5" ht="15.75" customHeight="1" x14ac:dyDescent="0.25">
      <c r="A707" s="4"/>
      <c r="B707" s="4"/>
      <c r="C707" s="4"/>
      <c r="D707" s="4"/>
      <c r="E707" s="4"/>
    </row>
    <row r="708" spans="1:5" ht="15.75" customHeight="1" x14ac:dyDescent="0.25">
      <c r="A708" s="4"/>
      <c r="B708" s="4"/>
      <c r="C708" s="4"/>
      <c r="D708" s="4"/>
      <c r="E708" s="4"/>
    </row>
    <row r="709" spans="1:5" ht="15.75" customHeight="1" x14ac:dyDescent="0.25">
      <c r="A709" s="4"/>
      <c r="B709" s="4"/>
      <c r="C709" s="4"/>
      <c r="D709" s="4"/>
      <c r="E709" s="4"/>
    </row>
    <row r="710" spans="1:5" ht="15.75" customHeight="1" x14ac:dyDescent="0.25">
      <c r="A710" s="4"/>
      <c r="B710" s="4"/>
      <c r="C710" s="4"/>
      <c r="D710" s="4"/>
      <c r="E710" s="4"/>
    </row>
    <row r="711" spans="1:5" ht="15.75" customHeight="1" x14ac:dyDescent="0.25">
      <c r="A711" s="4"/>
      <c r="B711" s="4"/>
      <c r="C711" s="4"/>
      <c r="D711" s="4"/>
      <c r="E711" s="4"/>
    </row>
    <row r="712" spans="1:5" ht="15.75" customHeight="1" x14ac:dyDescent="0.25">
      <c r="A712" s="4"/>
      <c r="B712" s="4"/>
      <c r="C712" s="4"/>
      <c r="D712" s="4"/>
      <c r="E712" s="4"/>
    </row>
    <row r="713" spans="1:5" ht="15.75" customHeight="1" x14ac:dyDescent="0.25">
      <c r="A713" s="4"/>
      <c r="B713" s="4"/>
      <c r="C713" s="4"/>
      <c r="D713" s="4"/>
      <c r="E713" s="4"/>
    </row>
    <row r="714" spans="1:5" ht="15.75" customHeight="1" x14ac:dyDescent="0.25">
      <c r="A714" s="4"/>
      <c r="B714" s="4"/>
      <c r="C714" s="4"/>
      <c r="D714" s="4"/>
      <c r="E714" s="4"/>
    </row>
    <row r="715" spans="1:5" ht="15.75" customHeight="1" x14ac:dyDescent="0.25">
      <c r="A715" s="4"/>
      <c r="B715" s="4"/>
      <c r="C715" s="4"/>
      <c r="D715" s="4"/>
      <c r="E715" s="4"/>
    </row>
    <row r="716" spans="1:5" ht="15.75" customHeight="1" x14ac:dyDescent="0.25">
      <c r="A716" s="4"/>
      <c r="B716" s="4"/>
      <c r="C716" s="4"/>
      <c r="D716" s="4"/>
      <c r="E716" s="4"/>
    </row>
    <row r="717" spans="1:5" ht="15.75" customHeight="1" x14ac:dyDescent="0.25">
      <c r="A717" s="4"/>
      <c r="B717" s="4"/>
      <c r="C717" s="4"/>
      <c r="D717" s="4"/>
      <c r="E717" s="4"/>
    </row>
    <row r="718" spans="1:5" ht="15.75" customHeight="1" x14ac:dyDescent="0.25">
      <c r="A718" s="4"/>
      <c r="B718" s="4"/>
      <c r="C718" s="4"/>
      <c r="D718" s="4"/>
      <c r="E718" s="4"/>
    </row>
    <row r="719" spans="1:5" ht="15.75" customHeight="1" x14ac:dyDescent="0.25">
      <c r="A719" s="4"/>
      <c r="B719" s="4"/>
      <c r="C719" s="4"/>
      <c r="D719" s="4"/>
      <c r="E719" s="4"/>
    </row>
    <row r="720" spans="1:5" ht="15.75" customHeight="1" x14ac:dyDescent="0.25">
      <c r="A720" s="4"/>
      <c r="B720" s="4"/>
      <c r="C720" s="4"/>
      <c r="D720" s="4"/>
      <c r="E720" s="4"/>
    </row>
    <row r="721" spans="1:5" ht="15.75" customHeight="1" x14ac:dyDescent="0.25">
      <c r="A721" s="4"/>
      <c r="B721" s="4"/>
      <c r="C721" s="4"/>
      <c r="D721" s="4"/>
      <c r="E721" s="4"/>
    </row>
    <row r="722" spans="1:5" ht="15.75" customHeight="1" x14ac:dyDescent="0.25">
      <c r="A722" s="4"/>
      <c r="B722" s="4"/>
      <c r="C722" s="4"/>
      <c r="D722" s="4"/>
      <c r="E722" s="4"/>
    </row>
    <row r="723" spans="1:5" ht="15.75" customHeight="1" x14ac:dyDescent="0.25">
      <c r="A723" s="4"/>
      <c r="B723" s="4"/>
      <c r="C723" s="4"/>
      <c r="D723" s="4"/>
      <c r="E723" s="4"/>
    </row>
    <row r="724" spans="1:5" ht="15.75" customHeight="1" x14ac:dyDescent="0.25">
      <c r="A724" s="4"/>
      <c r="B724" s="4"/>
      <c r="C724" s="4"/>
      <c r="D724" s="4"/>
      <c r="E724" s="4"/>
    </row>
    <row r="725" spans="1:5" ht="15.75" customHeight="1" x14ac:dyDescent="0.25">
      <c r="A725" s="4"/>
      <c r="B725" s="4"/>
      <c r="C725" s="4"/>
      <c r="D725" s="4"/>
      <c r="E725" s="4"/>
    </row>
    <row r="726" spans="1:5" ht="15.75" customHeight="1" x14ac:dyDescent="0.25">
      <c r="A726" s="4"/>
      <c r="B726" s="4"/>
      <c r="C726" s="4"/>
      <c r="D726" s="4"/>
      <c r="E726" s="4"/>
    </row>
    <row r="727" spans="1:5" ht="15.75" customHeight="1" x14ac:dyDescent="0.25">
      <c r="A727" s="4"/>
      <c r="B727" s="4"/>
      <c r="C727" s="4"/>
      <c r="D727" s="4"/>
      <c r="E727" s="4"/>
    </row>
    <row r="728" spans="1:5" ht="15.75" customHeight="1" x14ac:dyDescent="0.25">
      <c r="A728" s="4"/>
      <c r="B728" s="4"/>
      <c r="C728" s="4"/>
      <c r="D728" s="4"/>
      <c r="E728" s="4"/>
    </row>
    <row r="729" spans="1:5" ht="15.75" customHeight="1" x14ac:dyDescent="0.25">
      <c r="A729" s="4"/>
      <c r="B729" s="4"/>
      <c r="C729" s="4"/>
      <c r="D729" s="4"/>
      <c r="E729" s="4"/>
    </row>
    <row r="730" spans="1:5" ht="15.75" customHeight="1" x14ac:dyDescent="0.25">
      <c r="A730" s="4"/>
      <c r="B730" s="4"/>
      <c r="C730" s="4"/>
      <c r="D730" s="4"/>
      <c r="E730" s="4"/>
    </row>
    <row r="731" spans="1:5" ht="15.75" customHeight="1" x14ac:dyDescent="0.25">
      <c r="A731" s="4"/>
      <c r="B731" s="4"/>
      <c r="C731" s="4"/>
      <c r="D731" s="4"/>
      <c r="E731" s="4"/>
    </row>
    <row r="732" spans="1:5" ht="15.75" customHeight="1" x14ac:dyDescent="0.25">
      <c r="A732" s="4"/>
      <c r="B732" s="4"/>
      <c r="C732" s="4"/>
      <c r="D732" s="4"/>
      <c r="E732" s="4"/>
    </row>
    <row r="733" spans="1:5" ht="15.75" customHeight="1" x14ac:dyDescent="0.25">
      <c r="A733" s="4"/>
      <c r="B733" s="4"/>
      <c r="C733" s="4"/>
      <c r="D733" s="4"/>
      <c r="E733" s="4"/>
    </row>
    <row r="734" spans="1:5" ht="15.75" customHeight="1" x14ac:dyDescent="0.25">
      <c r="A734" s="4"/>
      <c r="B734" s="4"/>
      <c r="C734" s="4"/>
      <c r="D734" s="4"/>
      <c r="E734" s="4"/>
    </row>
    <row r="735" spans="1:5" ht="15.75" customHeight="1" x14ac:dyDescent="0.25">
      <c r="A735" s="4"/>
      <c r="B735" s="4"/>
      <c r="C735" s="4"/>
      <c r="D735" s="4"/>
      <c r="E735" s="4"/>
    </row>
    <row r="736" spans="1:5" ht="15.75" customHeight="1" x14ac:dyDescent="0.25">
      <c r="A736" s="4"/>
      <c r="B736" s="4"/>
      <c r="C736" s="4"/>
      <c r="D736" s="4"/>
      <c r="E736" s="4"/>
    </row>
    <row r="737" spans="1:5" ht="15.75" customHeight="1" x14ac:dyDescent="0.25">
      <c r="A737" s="4"/>
      <c r="B737" s="4"/>
      <c r="C737" s="4"/>
      <c r="D737" s="4"/>
      <c r="E737" s="4"/>
    </row>
    <row r="738" spans="1:5" ht="15.75" customHeight="1" x14ac:dyDescent="0.25">
      <c r="A738" s="4"/>
      <c r="B738" s="4"/>
      <c r="C738" s="4"/>
      <c r="D738" s="4"/>
      <c r="E738" s="4"/>
    </row>
    <row r="739" spans="1:5" ht="15.75" customHeight="1" x14ac:dyDescent="0.25">
      <c r="A739" s="4"/>
      <c r="B739" s="4"/>
      <c r="C739" s="4"/>
      <c r="D739" s="4"/>
      <c r="E739" s="4"/>
    </row>
    <row r="740" spans="1:5" ht="15.75" customHeight="1" x14ac:dyDescent="0.25">
      <c r="A740" s="4"/>
      <c r="B740" s="4"/>
      <c r="C740" s="4"/>
      <c r="D740" s="4"/>
      <c r="E740" s="4"/>
    </row>
    <row r="741" spans="1:5" ht="15.75" customHeight="1" x14ac:dyDescent="0.25">
      <c r="A741" s="4"/>
      <c r="B741" s="4"/>
      <c r="C741" s="4"/>
      <c r="D741" s="4"/>
      <c r="E741" s="4"/>
    </row>
    <row r="742" spans="1:5" ht="15.75" customHeight="1" x14ac:dyDescent="0.25">
      <c r="A742" s="4"/>
      <c r="B742" s="4"/>
      <c r="C742" s="4"/>
      <c r="D742" s="4"/>
      <c r="E742" s="4"/>
    </row>
    <row r="743" spans="1:5" ht="15.75" customHeight="1" x14ac:dyDescent="0.25">
      <c r="A743" s="4"/>
      <c r="B743" s="4"/>
      <c r="C743" s="4"/>
      <c r="D743" s="4"/>
      <c r="E743" s="4"/>
    </row>
    <row r="744" spans="1:5" ht="15.75" customHeight="1" x14ac:dyDescent="0.25">
      <c r="A744" s="4"/>
      <c r="B744" s="4"/>
      <c r="C744" s="4"/>
      <c r="D744" s="4"/>
      <c r="E744" s="4"/>
    </row>
    <row r="745" spans="1:5" ht="15.75" customHeight="1" x14ac:dyDescent="0.25">
      <c r="A745" s="4"/>
      <c r="B745" s="4"/>
      <c r="C745" s="4"/>
      <c r="D745" s="4"/>
      <c r="E745" s="4"/>
    </row>
    <row r="746" spans="1:5" ht="15.75" customHeight="1" x14ac:dyDescent="0.25">
      <c r="A746" s="4"/>
      <c r="B746" s="4"/>
      <c r="C746" s="4"/>
      <c r="D746" s="4"/>
      <c r="E746" s="4"/>
    </row>
    <row r="747" spans="1:5" ht="15.75" customHeight="1" x14ac:dyDescent="0.25">
      <c r="A747" s="4"/>
      <c r="B747" s="4"/>
      <c r="C747" s="4"/>
      <c r="D747" s="4"/>
      <c r="E747" s="4"/>
    </row>
    <row r="748" spans="1:5" ht="15.75" customHeight="1" x14ac:dyDescent="0.25">
      <c r="A748" s="4"/>
      <c r="B748" s="4"/>
      <c r="C748" s="4"/>
      <c r="D748" s="4"/>
      <c r="E748" s="4"/>
    </row>
    <row r="749" spans="1:5" ht="15.75" customHeight="1" x14ac:dyDescent="0.25">
      <c r="A749" s="4"/>
      <c r="B749" s="4"/>
      <c r="C749" s="4"/>
      <c r="D749" s="4"/>
      <c r="E749" s="4"/>
    </row>
    <row r="750" spans="1:5" ht="15.75" customHeight="1" x14ac:dyDescent="0.25">
      <c r="A750" s="4"/>
      <c r="B750" s="4"/>
      <c r="C750" s="4"/>
      <c r="D750" s="4"/>
      <c r="E750" s="4"/>
    </row>
    <row r="751" spans="1:5" ht="15.75" customHeight="1" x14ac:dyDescent="0.25">
      <c r="A751" s="4"/>
      <c r="B751" s="4"/>
      <c r="C751" s="4"/>
      <c r="D751" s="4"/>
      <c r="E751" s="4"/>
    </row>
    <row r="752" spans="1:5" ht="15.75" customHeight="1" x14ac:dyDescent="0.25">
      <c r="A752" s="4"/>
      <c r="B752" s="4"/>
      <c r="C752" s="4"/>
      <c r="D752" s="4"/>
      <c r="E752" s="4"/>
    </row>
    <row r="753" spans="1:5" ht="15.75" customHeight="1" x14ac:dyDescent="0.25">
      <c r="A753" s="4"/>
      <c r="B753" s="4"/>
      <c r="C753" s="4"/>
      <c r="D753" s="4"/>
      <c r="E753" s="4"/>
    </row>
    <row r="754" spans="1:5" ht="15.75" customHeight="1" x14ac:dyDescent="0.25">
      <c r="A754" s="4"/>
      <c r="B754" s="4"/>
      <c r="C754" s="4"/>
      <c r="D754" s="4"/>
      <c r="E754" s="4"/>
    </row>
    <row r="755" spans="1:5" ht="15.75" customHeight="1" x14ac:dyDescent="0.25">
      <c r="A755" s="4"/>
      <c r="B755" s="4"/>
      <c r="C755" s="4"/>
      <c r="D755" s="4"/>
      <c r="E755" s="4"/>
    </row>
    <row r="756" spans="1:5" ht="15.75" customHeight="1" x14ac:dyDescent="0.25">
      <c r="A756" s="4"/>
      <c r="B756" s="4"/>
      <c r="C756" s="4"/>
      <c r="D756" s="4"/>
      <c r="E756" s="4"/>
    </row>
    <row r="757" spans="1:5" ht="15.75" customHeight="1" x14ac:dyDescent="0.25">
      <c r="A757" s="4"/>
      <c r="B757" s="4"/>
      <c r="C757" s="4"/>
      <c r="D757" s="4"/>
      <c r="E757" s="4"/>
    </row>
    <row r="758" spans="1:5" ht="15.75" customHeight="1" x14ac:dyDescent="0.25">
      <c r="A758" s="4"/>
      <c r="B758" s="4"/>
      <c r="C758" s="4"/>
      <c r="D758" s="4"/>
      <c r="E758" s="4"/>
    </row>
    <row r="759" spans="1:5" ht="15.75" customHeight="1" x14ac:dyDescent="0.25">
      <c r="A759" s="4"/>
      <c r="B759" s="4"/>
      <c r="C759" s="4"/>
      <c r="D759" s="4"/>
      <c r="E759" s="4"/>
    </row>
    <row r="760" spans="1:5" ht="15.75" customHeight="1" x14ac:dyDescent="0.25">
      <c r="A760" s="4"/>
      <c r="B760" s="4"/>
      <c r="C760" s="4"/>
      <c r="D760" s="4"/>
      <c r="E760" s="4"/>
    </row>
    <row r="761" spans="1:5" ht="15.75" customHeight="1" x14ac:dyDescent="0.25">
      <c r="A761" s="4"/>
      <c r="B761" s="4"/>
      <c r="C761" s="4"/>
      <c r="D761" s="4"/>
      <c r="E761" s="4"/>
    </row>
    <row r="762" spans="1:5" ht="15.75" customHeight="1" x14ac:dyDescent="0.25">
      <c r="A762" s="4"/>
      <c r="B762" s="4"/>
      <c r="C762" s="4"/>
      <c r="D762" s="4"/>
      <c r="E762" s="4"/>
    </row>
    <row r="763" spans="1:5" ht="15.75" customHeight="1" x14ac:dyDescent="0.25">
      <c r="A763" s="4"/>
      <c r="B763" s="4"/>
      <c r="C763" s="4"/>
      <c r="D763" s="4"/>
      <c r="E763" s="4"/>
    </row>
    <row r="764" spans="1:5" ht="15.75" customHeight="1" x14ac:dyDescent="0.25">
      <c r="A764" s="4"/>
      <c r="B764" s="4"/>
      <c r="C764" s="4"/>
      <c r="D764" s="4"/>
      <c r="E764" s="4"/>
    </row>
    <row r="765" spans="1:5" ht="15.75" customHeight="1" x14ac:dyDescent="0.25">
      <c r="A765" s="4"/>
      <c r="B765" s="4"/>
      <c r="C765" s="4"/>
      <c r="D765" s="4"/>
      <c r="E765" s="4"/>
    </row>
    <row r="766" spans="1:5" ht="15.75" customHeight="1" x14ac:dyDescent="0.25">
      <c r="A766" s="4"/>
      <c r="B766" s="4"/>
      <c r="C766" s="4"/>
      <c r="D766" s="4"/>
      <c r="E766" s="4"/>
    </row>
    <row r="767" spans="1:5" ht="15.75" customHeight="1" x14ac:dyDescent="0.25">
      <c r="A767" s="4"/>
      <c r="B767" s="4"/>
      <c r="C767" s="4"/>
      <c r="D767" s="4"/>
      <c r="E767" s="4"/>
    </row>
    <row r="768" spans="1:5" ht="15.75" customHeight="1" x14ac:dyDescent="0.25">
      <c r="A768" s="4"/>
      <c r="B768" s="4"/>
      <c r="C768" s="4"/>
      <c r="D768" s="4"/>
      <c r="E768" s="4"/>
    </row>
    <row r="769" spans="1:5" ht="15.75" customHeight="1" x14ac:dyDescent="0.25">
      <c r="A769" s="4"/>
      <c r="B769" s="4"/>
      <c r="C769" s="4"/>
      <c r="D769" s="4"/>
      <c r="E769" s="4"/>
    </row>
    <row r="770" spans="1:5" ht="15.75" customHeight="1" x14ac:dyDescent="0.25">
      <c r="A770" s="4"/>
      <c r="B770" s="4"/>
      <c r="C770" s="4"/>
      <c r="D770" s="4"/>
      <c r="E770" s="4"/>
    </row>
    <row r="771" spans="1:5" ht="15.75" customHeight="1" x14ac:dyDescent="0.25">
      <c r="A771" s="4"/>
      <c r="B771" s="4"/>
      <c r="C771" s="4"/>
      <c r="D771" s="4"/>
      <c r="E771" s="4"/>
    </row>
    <row r="772" spans="1:5" ht="15.75" customHeight="1" x14ac:dyDescent="0.25">
      <c r="A772" s="4"/>
      <c r="B772" s="4"/>
      <c r="C772" s="4"/>
      <c r="D772" s="4"/>
      <c r="E772" s="4"/>
    </row>
    <row r="773" spans="1:5" ht="15.75" customHeight="1" x14ac:dyDescent="0.25">
      <c r="A773" s="4"/>
      <c r="B773" s="4"/>
      <c r="C773" s="4"/>
      <c r="D773" s="4"/>
      <c r="E773" s="4"/>
    </row>
    <row r="774" spans="1:5" ht="15.75" customHeight="1" x14ac:dyDescent="0.25">
      <c r="A774" s="4"/>
      <c r="B774" s="4"/>
      <c r="C774" s="4"/>
      <c r="D774" s="4"/>
      <c r="E774" s="4"/>
    </row>
    <row r="775" spans="1:5" ht="15.75" customHeight="1" x14ac:dyDescent="0.25">
      <c r="A775" s="4"/>
      <c r="B775" s="4"/>
      <c r="C775" s="4"/>
      <c r="D775" s="4"/>
      <c r="E775" s="4"/>
    </row>
    <row r="776" spans="1:5" ht="15.75" customHeight="1" x14ac:dyDescent="0.25">
      <c r="A776" s="4"/>
      <c r="B776" s="4"/>
      <c r="C776" s="4"/>
      <c r="D776" s="4"/>
      <c r="E776" s="4"/>
    </row>
    <row r="777" spans="1:5" ht="15.75" customHeight="1" x14ac:dyDescent="0.25">
      <c r="A777" s="4"/>
      <c r="B777" s="4"/>
      <c r="C777" s="4"/>
      <c r="D777" s="4"/>
      <c r="E777" s="4"/>
    </row>
    <row r="778" spans="1:5" ht="15.75" customHeight="1" x14ac:dyDescent="0.25">
      <c r="A778" s="4"/>
      <c r="B778" s="4"/>
      <c r="C778" s="4"/>
      <c r="D778" s="4"/>
      <c r="E778" s="4"/>
    </row>
    <row r="779" spans="1:5" ht="15.75" customHeight="1" x14ac:dyDescent="0.25">
      <c r="A779" s="4"/>
      <c r="B779" s="4"/>
      <c r="C779" s="4"/>
      <c r="D779" s="4"/>
      <c r="E779" s="4"/>
    </row>
    <row r="780" spans="1:5" ht="15.75" customHeight="1" x14ac:dyDescent="0.25">
      <c r="A780" s="4"/>
      <c r="B780" s="4"/>
      <c r="C780" s="4"/>
      <c r="D780" s="4"/>
      <c r="E780" s="4"/>
    </row>
    <row r="781" spans="1:5" ht="15.75" customHeight="1" x14ac:dyDescent="0.25">
      <c r="A781" s="4"/>
      <c r="B781" s="4"/>
      <c r="C781" s="4"/>
      <c r="D781" s="4"/>
      <c r="E781" s="4"/>
    </row>
    <row r="782" spans="1:5" ht="15.75" customHeight="1" x14ac:dyDescent="0.25">
      <c r="A782" s="4"/>
      <c r="B782" s="4"/>
      <c r="C782" s="4"/>
      <c r="D782" s="4"/>
      <c r="E782" s="4"/>
    </row>
    <row r="783" spans="1:5" ht="15.75" customHeight="1" x14ac:dyDescent="0.25">
      <c r="A783" s="4"/>
      <c r="B783" s="4"/>
      <c r="C783" s="4"/>
      <c r="D783" s="4"/>
      <c r="E783" s="4"/>
    </row>
    <row r="784" spans="1:5" ht="15.75" customHeight="1" x14ac:dyDescent="0.25">
      <c r="A784" s="4"/>
      <c r="B784" s="4"/>
      <c r="C784" s="4"/>
      <c r="D784" s="4"/>
      <c r="E784" s="4"/>
    </row>
    <row r="785" spans="1:5" ht="15.75" customHeight="1" x14ac:dyDescent="0.25">
      <c r="A785" s="4"/>
      <c r="B785" s="4"/>
      <c r="C785" s="4"/>
      <c r="D785" s="4"/>
      <c r="E785" s="4"/>
    </row>
    <row r="786" spans="1:5" ht="15.75" customHeight="1" x14ac:dyDescent="0.25">
      <c r="A786" s="4"/>
      <c r="B786" s="4"/>
      <c r="C786" s="4"/>
      <c r="D786" s="4"/>
      <c r="E786" s="4"/>
    </row>
    <row r="787" spans="1:5" ht="15.75" customHeight="1" x14ac:dyDescent="0.25">
      <c r="A787" s="4"/>
      <c r="B787" s="4"/>
      <c r="C787" s="4"/>
      <c r="D787" s="4"/>
      <c r="E787" s="4"/>
    </row>
    <row r="788" spans="1:5" ht="15.75" customHeight="1" x14ac:dyDescent="0.25">
      <c r="A788" s="4"/>
      <c r="B788" s="4"/>
      <c r="C788" s="4"/>
      <c r="D788" s="4"/>
      <c r="E788" s="4"/>
    </row>
    <row r="789" spans="1:5" ht="15.75" customHeight="1" x14ac:dyDescent="0.25">
      <c r="A789" s="4"/>
      <c r="B789" s="4"/>
      <c r="C789" s="4"/>
      <c r="D789" s="4"/>
      <c r="E789" s="4"/>
    </row>
    <row r="790" spans="1:5" ht="15.75" customHeight="1" x14ac:dyDescent="0.25">
      <c r="A790" s="4"/>
      <c r="B790" s="4"/>
      <c r="C790" s="4"/>
      <c r="D790" s="4"/>
      <c r="E790" s="4"/>
    </row>
    <row r="791" spans="1:5" ht="15.75" customHeight="1" x14ac:dyDescent="0.25">
      <c r="A791" s="4"/>
      <c r="B791" s="4"/>
      <c r="C791" s="4"/>
      <c r="D791" s="4"/>
      <c r="E791" s="4"/>
    </row>
    <row r="792" spans="1:5" ht="15.75" customHeight="1" x14ac:dyDescent="0.25">
      <c r="A792" s="4"/>
      <c r="B792" s="4"/>
      <c r="C792" s="4"/>
      <c r="D792" s="4"/>
      <c r="E792" s="4"/>
    </row>
    <row r="793" spans="1:5" ht="15.75" customHeight="1" x14ac:dyDescent="0.25">
      <c r="A793" s="4"/>
      <c r="B793" s="4"/>
      <c r="C793" s="4"/>
      <c r="D793" s="4"/>
      <c r="E793" s="4"/>
    </row>
    <row r="794" spans="1:5" ht="15.75" customHeight="1" x14ac:dyDescent="0.25">
      <c r="A794" s="4"/>
      <c r="B794" s="4"/>
      <c r="C794" s="4"/>
      <c r="D794" s="4"/>
      <c r="E794" s="4"/>
    </row>
    <row r="795" spans="1:5" ht="15.75" customHeight="1" x14ac:dyDescent="0.25">
      <c r="A795" s="4"/>
      <c r="B795" s="4"/>
      <c r="C795" s="4"/>
      <c r="D795" s="4"/>
      <c r="E795" s="4"/>
    </row>
    <row r="796" spans="1:5" ht="15.75" customHeight="1" x14ac:dyDescent="0.25">
      <c r="A796" s="4"/>
      <c r="B796" s="4"/>
      <c r="C796" s="4"/>
      <c r="D796" s="4"/>
      <c r="E796" s="4"/>
    </row>
    <row r="797" spans="1:5" ht="15.75" customHeight="1" x14ac:dyDescent="0.25">
      <c r="A797" s="4"/>
      <c r="B797" s="4"/>
      <c r="C797" s="4"/>
      <c r="D797" s="4"/>
      <c r="E797" s="4"/>
    </row>
    <row r="798" spans="1:5" ht="15.75" customHeight="1" x14ac:dyDescent="0.25">
      <c r="A798" s="4"/>
      <c r="B798" s="4"/>
      <c r="C798" s="4"/>
      <c r="D798" s="4"/>
      <c r="E798" s="4"/>
    </row>
    <row r="799" spans="1:5" ht="15.75" customHeight="1" x14ac:dyDescent="0.25">
      <c r="A799" s="4"/>
      <c r="B799" s="4"/>
      <c r="C799" s="4"/>
      <c r="D799" s="4"/>
      <c r="E799" s="4"/>
    </row>
    <row r="800" spans="1:5" ht="15.75" customHeight="1" x14ac:dyDescent="0.25">
      <c r="A800" s="4"/>
      <c r="B800" s="4"/>
      <c r="C800" s="4"/>
      <c r="D800" s="4"/>
      <c r="E800" s="4"/>
    </row>
    <row r="801" spans="1:5" ht="15.75" customHeight="1" x14ac:dyDescent="0.25">
      <c r="A801" s="4"/>
      <c r="B801" s="4"/>
      <c r="C801" s="4"/>
      <c r="D801" s="4"/>
      <c r="E801" s="4"/>
    </row>
    <row r="802" spans="1:5" ht="15.75" customHeight="1" x14ac:dyDescent="0.25">
      <c r="A802" s="4"/>
      <c r="B802" s="4"/>
      <c r="C802" s="4"/>
      <c r="D802" s="4"/>
      <c r="E802" s="4"/>
    </row>
    <row r="803" spans="1:5" ht="15.75" customHeight="1" x14ac:dyDescent="0.25">
      <c r="A803" s="4"/>
      <c r="B803" s="4"/>
      <c r="C803" s="4"/>
      <c r="D803" s="4"/>
      <c r="E803" s="4"/>
    </row>
    <row r="804" spans="1:5" ht="15.75" customHeight="1" x14ac:dyDescent="0.25">
      <c r="A804" s="4"/>
      <c r="B804" s="4"/>
      <c r="C804" s="4"/>
      <c r="D804" s="4"/>
      <c r="E804" s="4"/>
    </row>
    <row r="805" spans="1:5" ht="15.75" customHeight="1" x14ac:dyDescent="0.25">
      <c r="A805" s="4"/>
      <c r="B805" s="4"/>
      <c r="C805" s="4"/>
      <c r="D805" s="4"/>
      <c r="E805" s="4"/>
    </row>
    <row r="806" spans="1:5" ht="15.75" customHeight="1" x14ac:dyDescent="0.25">
      <c r="A806" s="4"/>
      <c r="B806" s="4"/>
      <c r="C806" s="4"/>
      <c r="D806" s="4"/>
      <c r="E806" s="4"/>
    </row>
    <row r="807" spans="1:5" ht="15.75" customHeight="1" x14ac:dyDescent="0.25">
      <c r="A807" s="4"/>
      <c r="B807" s="4"/>
      <c r="C807" s="4"/>
      <c r="D807" s="4"/>
      <c r="E807" s="4"/>
    </row>
    <row r="808" spans="1:5" ht="15.75" customHeight="1" x14ac:dyDescent="0.25">
      <c r="A808" s="4"/>
      <c r="B808" s="4"/>
      <c r="C808" s="4"/>
      <c r="D808" s="4"/>
      <c r="E808" s="4"/>
    </row>
    <row r="809" spans="1:5" ht="15.75" customHeight="1" x14ac:dyDescent="0.25">
      <c r="A809" s="4"/>
      <c r="B809" s="4"/>
      <c r="C809" s="4"/>
      <c r="D809" s="4"/>
      <c r="E809" s="4"/>
    </row>
    <row r="810" spans="1:5" ht="15.75" customHeight="1" x14ac:dyDescent="0.25">
      <c r="A810" s="4"/>
      <c r="B810" s="4"/>
      <c r="C810" s="4"/>
      <c r="D810" s="4"/>
      <c r="E810" s="4"/>
    </row>
    <row r="811" spans="1:5" ht="15.75" customHeight="1" x14ac:dyDescent="0.25">
      <c r="A811" s="4"/>
      <c r="B811" s="4"/>
      <c r="C811" s="4"/>
      <c r="D811" s="4"/>
      <c r="E811" s="4"/>
    </row>
    <row r="812" spans="1:5" ht="15.75" customHeight="1" x14ac:dyDescent="0.25">
      <c r="A812" s="4"/>
      <c r="B812" s="4"/>
      <c r="C812" s="4"/>
      <c r="D812" s="4"/>
      <c r="E812" s="4"/>
    </row>
    <row r="813" spans="1:5" ht="15.75" customHeight="1" x14ac:dyDescent="0.25">
      <c r="A813" s="4"/>
      <c r="B813" s="4"/>
      <c r="C813" s="4"/>
      <c r="D813" s="4"/>
      <c r="E813" s="4"/>
    </row>
    <row r="814" spans="1:5" ht="15.75" customHeight="1" x14ac:dyDescent="0.25">
      <c r="A814" s="4"/>
      <c r="B814" s="4"/>
      <c r="C814" s="4"/>
      <c r="D814" s="4"/>
      <c r="E814" s="4"/>
    </row>
    <row r="815" spans="1:5" ht="15.75" customHeight="1" x14ac:dyDescent="0.25">
      <c r="A815" s="4"/>
      <c r="B815" s="4"/>
      <c r="C815" s="4"/>
      <c r="D815" s="4"/>
      <c r="E815" s="4"/>
    </row>
    <row r="816" spans="1:5" ht="15.75" customHeight="1" x14ac:dyDescent="0.25">
      <c r="A816" s="4"/>
      <c r="B816" s="4"/>
      <c r="C816" s="4"/>
      <c r="D816" s="4"/>
      <c r="E816" s="4"/>
    </row>
    <row r="817" spans="1:5" ht="15.75" customHeight="1" x14ac:dyDescent="0.25">
      <c r="A817" s="4"/>
      <c r="B817" s="4"/>
      <c r="C817" s="4"/>
      <c r="D817" s="4"/>
      <c r="E817" s="4"/>
    </row>
    <row r="818" spans="1:5" ht="15.75" customHeight="1" x14ac:dyDescent="0.25">
      <c r="A818" s="4"/>
      <c r="B818" s="4"/>
      <c r="C818" s="4"/>
      <c r="D818" s="4"/>
      <c r="E818" s="4"/>
    </row>
    <row r="819" spans="1:5" ht="15.75" customHeight="1" x14ac:dyDescent="0.25">
      <c r="A819" s="4"/>
      <c r="B819" s="4"/>
      <c r="C819" s="4"/>
      <c r="D819" s="4"/>
      <c r="E819" s="4"/>
    </row>
    <row r="820" spans="1:5" ht="15.75" customHeight="1" x14ac:dyDescent="0.25">
      <c r="A820" s="4"/>
      <c r="B820" s="4"/>
      <c r="C820" s="4"/>
      <c r="D820" s="4"/>
      <c r="E820" s="4"/>
    </row>
    <row r="821" spans="1:5" ht="15.75" customHeight="1" x14ac:dyDescent="0.25">
      <c r="A821" s="4"/>
      <c r="B821" s="4"/>
      <c r="C821" s="4"/>
      <c r="D821" s="4"/>
      <c r="E821" s="4"/>
    </row>
    <row r="822" spans="1:5" ht="15.75" customHeight="1" x14ac:dyDescent="0.25">
      <c r="A822" s="4"/>
      <c r="B822" s="4"/>
      <c r="C822" s="4"/>
      <c r="D822" s="4"/>
      <c r="E822" s="4"/>
    </row>
    <row r="823" spans="1:5" ht="15.75" customHeight="1" x14ac:dyDescent="0.25">
      <c r="A823" s="4"/>
      <c r="B823" s="4"/>
      <c r="C823" s="4"/>
      <c r="D823" s="4"/>
      <c r="E823" s="4"/>
    </row>
    <row r="824" spans="1:5" ht="15.75" customHeight="1" x14ac:dyDescent="0.25">
      <c r="A824" s="4"/>
      <c r="B824" s="4"/>
      <c r="C824" s="4"/>
      <c r="D824" s="4"/>
      <c r="E824" s="4"/>
    </row>
    <row r="825" spans="1:5" ht="15.75" customHeight="1" x14ac:dyDescent="0.25">
      <c r="A825" s="4"/>
      <c r="B825" s="4"/>
      <c r="C825" s="4"/>
      <c r="D825" s="4"/>
      <c r="E825" s="4"/>
    </row>
    <row r="826" spans="1:5" ht="15.75" customHeight="1" x14ac:dyDescent="0.25">
      <c r="A826" s="4"/>
      <c r="B826" s="4"/>
      <c r="C826" s="4"/>
      <c r="D826" s="4"/>
      <c r="E826" s="4"/>
    </row>
    <row r="827" spans="1:5" ht="15.75" customHeight="1" x14ac:dyDescent="0.25">
      <c r="A827" s="4"/>
      <c r="B827" s="4"/>
      <c r="C827" s="4"/>
      <c r="D827" s="4"/>
      <c r="E827" s="4"/>
    </row>
    <row r="828" spans="1:5" ht="15.75" customHeight="1" x14ac:dyDescent="0.25">
      <c r="A828" s="4"/>
      <c r="B828" s="4"/>
      <c r="C828" s="4"/>
      <c r="D828" s="4"/>
      <c r="E828" s="4"/>
    </row>
    <row r="829" spans="1:5" ht="15.75" customHeight="1" x14ac:dyDescent="0.25">
      <c r="A829" s="4"/>
      <c r="B829" s="4"/>
      <c r="C829" s="4"/>
      <c r="D829" s="4"/>
      <c r="E829" s="4"/>
    </row>
    <row r="830" spans="1:5" ht="15.75" customHeight="1" x14ac:dyDescent="0.25">
      <c r="A830" s="4"/>
      <c r="B830" s="4"/>
      <c r="C830" s="4"/>
      <c r="D830" s="4"/>
      <c r="E830" s="4"/>
    </row>
    <row r="831" spans="1:5" ht="15.75" customHeight="1" x14ac:dyDescent="0.25">
      <c r="A831" s="4"/>
      <c r="B831" s="4"/>
      <c r="C831" s="4"/>
      <c r="D831" s="4"/>
      <c r="E831" s="4"/>
    </row>
    <row r="832" spans="1:5" ht="15.75" customHeight="1" x14ac:dyDescent="0.25">
      <c r="A832" s="4"/>
      <c r="B832" s="4"/>
      <c r="C832" s="4"/>
      <c r="D832" s="4"/>
      <c r="E832" s="4"/>
    </row>
    <row r="833" spans="1:5" ht="15.75" customHeight="1" x14ac:dyDescent="0.25">
      <c r="A833" s="4"/>
      <c r="B833" s="4"/>
      <c r="C833" s="4"/>
      <c r="D833" s="4"/>
      <c r="E833" s="4"/>
    </row>
    <row r="834" spans="1:5" ht="15.75" customHeight="1" x14ac:dyDescent="0.25">
      <c r="A834" s="4"/>
      <c r="B834" s="4"/>
      <c r="C834" s="4"/>
      <c r="D834" s="4"/>
      <c r="E834" s="4"/>
    </row>
    <row r="835" spans="1:5" ht="15.75" customHeight="1" x14ac:dyDescent="0.25">
      <c r="A835" s="4"/>
      <c r="B835" s="4"/>
      <c r="C835" s="4"/>
      <c r="D835" s="4"/>
      <c r="E835" s="4"/>
    </row>
    <row r="836" spans="1:5" ht="15.75" customHeight="1" x14ac:dyDescent="0.25">
      <c r="A836" s="4"/>
      <c r="B836" s="4"/>
      <c r="C836" s="4"/>
      <c r="D836" s="4"/>
      <c r="E836" s="4"/>
    </row>
    <row r="837" spans="1:5" ht="15.75" customHeight="1" x14ac:dyDescent="0.25">
      <c r="A837" s="4"/>
      <c r="B837" s="4"/>
      <c r="C837" s="4"/>
      <c r="D837" s="4"/>
      <c r="E837" s="4"/>
    </row>
    <row r="838" spans="1:5" ht="15.75" customHeight="1" x14ac:dyDescent="0.25">
      <c r="A838" s="4"/>
      <c r="B838" s="4"/>
      <c r="C838" s="4"/>
      <c r="D838" s="4"/>
      <c r="E838" s="4"/>
    </row>
    <row r="839" spans="1:5" ht="15.75" customHeight="1" x14ac:dyDescent="0.25">
      <c r="A839" s="4"/>
      <c r="B839" s="4"/>
      <c r="C839" s="4"/>
      <c r="D839" s="4"/>
      <c r="E839" s="4"/>
    </row>
    <row r="840" spans="1:5" ht="15.75" customHeight="1" x14ac:dyDescent="0.25">
      <c r="A840" s="4"/>
      <c r="B840" s="4"/>
      <c r="C840" s="4"/>
      <c r="D840" s="4"/>
      <c r="E840" s="4"/>
    </row>
    <row r="841" spans="1:5" ht="15.75" customHeight="1" x14ac:dyDescent="0.25">
      <c r="A841" s="4"/>
      <c r="B841" s="4"/>
      <c r="C841" s="4"/>
      <c r="D841" s="4"/>
      <c r="E841" s="4"/>
    </row>
    <row r="842" spans="1:5" ht="15.75" customHeight="1" x14ac:dyDescent="0.25">
      <c r="A842" s="4"/>
      <c r="B842" s="4"/>
      <c r="C842" s="4"/>
      <c r="D842" s="4"/>
      <c r="E842" s="4"/>
    </row>
    <row r="843" spans="1:5" ht="15.75" customHeight="1" x14ac:dyDescent="0.25">
      <c r="A843" s="4"/>
      <c r="B843" s="4"/>
      <c r="C843" s="4"/>
      <c r="D843" s="4"/>
      <c r="E843" s="4"/>
    </row>
    <row r="844" spans="1:5" ht="15.75" customHeight="1" x14ac:dyDescent="0.25">
      <c r="A844" s="4"/>
      <c r="B844" s="4"/>
      <c r="C844" s="4"/>
      <c r="D844" s="4"/>
      <c r="E844" s="4"/>
    </row>
    <row r="845" spans="1:5" ht="15.75" customHeight="1" x14ac:dyDescent="0.25">
      <c r="A845" s="4"/>
      <c r="B845" s="4"/>
      <c r="C845" s="4"/>
      <c r="D845" s="4"/>
      <c r="E845" s="4"/>
    </row>
    <row r="846" spans="1:5" ht="15.75" customHeight="1" x14ac:dyDescent="0.25">
      <c r="A846" s="4"/>
      <c r="B846" s="4"/>
      <c r="C846" s="4"/>
      <c r="D846" s="4"/>
      <c r="E846" s="4"/>
    </row>
    <row r="847" spans="1:5" ht="15.75" customHeight="1" x14ac:dyDescent="0.25">
      <c r="A847" s="4"/>
      <c r="B847" s="4"/>
      <c r="C847" s="4"/>
      <c r="D847" s="4"/>
      <c r="E847" s="4"/>
    </row>
    <row r="848" spans="1:5" ht="15.75" customHeight="1" x14ac:dyDescent="0.25">
      <c r="A848" s="4"/>
      <c r="B848" s="4"/>
      <c r="C848" s="4"/>
      <c r="D848" s="4"/>
      <c r="E848" s="4"/>
    </row>
    <row r="849" spans="1:5" ht="15.75" customHeight="1" x14ac:dyDescent="0.25">
      <c r="A849" s="4"/>
      <c r="B849" s="4"/>
      <c r="C849" s="4"/>
      <c r="D849" s="4"/>
      <c r="E849" s="4"/>
    </row>
    <row r="850" spans="1:5" ht="15.75" customHeight="1" x14ac:dyDescent="0.25">
      <c r="A850" s="4"/>
      <c r="B850" s="4"/>
      <c r="C850" s="4"/>
      <c r="D850" s="4"/>
      <c r="E850" s="4"/>
    </row>
    <row r="851" spans="1:5" ht="15.75" customHeight="1" x14ac:dyDescent="0.25">
      <c r="A851" s="4"/>
      <c r="B851" s="4"/>
      <c r="C851" s="4"/>
      <c r="D851" s="4"/>
      <c r="E851" s="4"/>
    </row>
    <row r="852" spans="1:5" ht="15.75" customHeight="1" x14ac:dyDescent="0.25">
      <c r="A852" s="4"/>
      <c r="B852" s="4"/>
      <c r="C852" s="4"/>
      <c r="D852" s="4"/>
      <c r="E852" s="4"/>
    </row>
    <row r="853" spans="1:5" ht="15.75" customHeight="1" x14ac:dyDescent="0.25">
      <c r="A853" s="4"/>
      <c r="B853" s="4"/>
      <c r="C853" s="4"/>
      <c r="D853" s="4"/>
      <c r="E853" s="4"/>
    </row>
    <row r="854" spans="1:5" ht="15.75" customHeight="1" x14ac:dyDescent="0.25">
      <c r="A854" s="4"/>
      <c r="B854" s="4"/>
      <c r="C854" s="4"/>
      <c r="D854" s="4"/>
      <c r="E854" s="4"/>
    </row>
    <row r="855" spans="1:5" ht="15.75" customHeight="1" x14ac:dyDescent="0.25">
      <c r="A855" s="4"/>
      <c r="B855" s="4"/>
      <c r="C855" s="4"/>
      <c r="D855" s="4"/>
      <c r="E855" s="4"/>
    </row>
    <row r="856" spans="1:5" ht="15.75" customHeight="1" x14ac:dyDescent="0.25">
      <c r="A856" s="4"/>
      <c r="B856" s="4"/>
      <c r="C856" s="4"/>
      <c r="D856" s="4"/>
      <c r="E856" s="4"/>
    </row>
    <row r="857" spans="1:5" ht="15.75" customHeight="1" x14ac:dyDescent="0.25">
      <c r="A857" s="4"/>
      <c r="B857" s="4"/>
      <c r="C857" s="4"/>
      <c r="D857" s="4"/>
      <c r="E857" s="4"/>
    </row>
    <row r="858" spans="1:5" ht="15.75" customHeight="1" x14ac:dyDescent="0.25">
      <c r="A858" s="4"/>
      <c r="B858" s="4"/>
      <c r="C858" s="4"/>
      <c r="D858" s="4"/>
      <c r="E858" s="4"/>
    </row>
    <row r="859" spans="1:5" ht="15.75" customHeight="1" x14ac:dyDescent="0.25">
      <c r="A859" s="4"/>
      <c r="B859" s="4"/>
      <c r="C859" s="4"/>
      <c r="D859" s="4"/>
      <c r="E859" s="4"/>
    </row>
    <row r="860" spans="1:5" ht="15.75" customHeight="1" x14ac:dyDescent="0.25">
      <c r="A860" s="4"/>
      <c r="B860" s="4"/>
      <c r="C860" s="4"/>
      <c r="D860" s="4"/>
      <c r="E860" s="4"/>
    </row>
    <row r="861" spans="1:5" ht="15.75" customHeight="1" x14ac:dyDescent="0.25">
      <c r="A861" s="4"/>
      <c r="B861" s="4"/>
      <c r="C861" s="4"/>
      <c r="D861" s="4"/>
      <c r="E861" s="4"/>
    </row>
    <row r="862" spans="1:5" ht="15.75" customHeight="1" x14ac:dyDescent="0.25">
      <c r="A862" s="4"/>
      <c r="B862" s="4"/>
      <c r="C862" s="4"/>
      <c r="D862" s="4"/>
      <c r="E862" s="4"/>
    </row>
    <row r="863" spans="1:5" ht="15.75" customHeight="1" x14ac:dyDescent="0.25">
      <c r="A863" s="4"/>
      <c r="B863" s="4"/>
      <c r="C863" s="4"/>
      <c r="D863" s="4"/>
      <c r="E863" s="4"/>
    </row>
    <row r="864" spans="1:5" ht="15.75" customHeight="1" x14ac:dyDescent="0.25">
      <c r="A864" s="4"/>
      <c r="B864" s="4"/>
      <c r="C864" s="4"/>
      <c r="D864" s="4"/>
      <c r="E864" s="4"/>
    </row>
    <row r="865" spans="1:5" ht="15.75" customHeight="1" x14ac:dyDescent="0.25">
      <c r="A865" s="4"/>
      <c r="B865" s="4"/>
      <c r="C865" s="4"/>
      <c r="D865" s="4"/>
      <c r="E865" s="4"/>
    </row>
    <row r="866" spans="1:5" ht="15.75" customHeight="1" x14ac:dyDescent="0.25">
      <c r="A866" s="4"/>
      <c r="B866" s="4"/>
      <c r="C866" s="4"/>
      <c r="D866" s="4"/>
      <c r="E866" s="4"/>
    </row>
    <row r="867" spans="1:5" ht="15.75" customHeight="1" x14ac:dyDescent="0.25">
      <c r="A867" s="4"/>
      <c r="B867" s="4"/>
      <c r="C867" s="4"/>
      <c r="D867" s="4"/>
      <c r="E867" s="4"/>
    </row>
    <row r="868" spans="1:5" ht="15.75" customHeight="1" x14ac:dyDescent="0.25">
      <c r="A868" s="4"/>
      <c r="B868" s="4"/>
      <c r="C868" s="4"/>
      <c r="D868" s="4"/>
      <c r="E868" s="4"/>
    </row>
    <row r="869" spans="1:5" ht="15.75" customHeight="1" x14ac:dyDescent="0.25">
      <c r="A869" s="4"/>
      <c r="B869" s="4"/>
      <c r="C869" s="4"/>
      <c r="D869" s="4"/>
      <c r="E869" s="4"/>
    </row>
    <row r="870" spans="1:5" ht="15.75" customHeight="1" x14ac:dyDescent="0.25">
      <c r="A870" s="4"/>
      <c r="B870" s="4"/>
      <c r="C870" s="4"/>
      <c r="D870" s="4"/>
      <c r="E870" s="4"/>
    </row>
    <row r="871" spans="1:5" ht="15.75" customHeight="1" x14ac:dyDescent="0.25">
      <c r="A871" s="4"/>
      <c r="B871" s="4"/>
      <c r="C871" s="4"/>
      <c r="D871" s="4"/>
      <c r="E871" s="4"/>
    </row>
    <row r="872" spans="1:5" ht="15.75" customHeight="1" x14ac:dyDescent="0.25">
      <c r="A872" s="4"/>
      <c r="B872" s="4"/>
      <c r="C872" s="4"/>
      <c r="D872" s="4"/>
      <c r="E872" s="4"/>
    </row>
    <row r="873" spans="1:5" ht="15.75" customHeight="1" x14ac:dyDescent="0.25">
      <c r="A873" s="4"/>
      <c r="B873" s="4"/>
      <c r="C873" s="4"/>
      <c r="D873" s="4"/>
      <c r="E873" s="4"/>
    </row>
    <row r="874" spans="1:5" ht="15.75" customHeight="1" x14ac:dyDescent="0.25">
      <c r="A874" s="4"/>
      <c r="B874" s="4"/>
      <c r="C874" s="4"/>
      <c r="D874" s="4"/>
      <c r="E874" s="4"/>
    </row>
    <row r="875" spans="1:5" ht="15.75" customHeight="1" x14ac:dyDescent="0.25">
      <c r="A875" s="4"/>
      <c r="B875" s="4"/>
      <c r="C875" s="4"/>
      <c r="D875" s="4"/>
      <c r="E875" s="4"/>
    </row>
    <row r="876" spans="1:5" ht="15.75" customHeight="1" x14ac:dyDescent="0.25">
      <c r="A876" s="4"/>
      <c r="B876" s="4"/>
      <c r="C876" s="4"/>
      <c r="D876" s="4"/>
      <c r="E876" s="4"/>
    </row>
    <row r="877" spans="1:5" ht="15.75" customHeight="1" x14ac:dyDescent="0.25">
      <c r="A877" s="4"/>
      <c r="B877" s="4"/>
      <c r="C877" s="4"/>
      <c r="D877" s="4"/>
      <c r="E877" s="4"/>
    </row>
    <row r="878" spans="1:5" ht="15.75" customHeight="1" x14ac:dyDescent="0.25">
      <c r="A878" s="4"/>
      <c r="B878" s="4"/>
      <c r="C878" s="4"/>
      <c r="D878" s="4"/>
      <c r="E878" s="4"/>
    </row>
    <row r="879" spans="1:5" ht="15.75" customHeight="1" x14ac:dyDescent="0.25">
      <c r="A879" s="4"/>
      <c r="B879" s="4"/>
      <c r="C879" s="4"/>
      <c r="D879" s="4"/>
      <c r="E879" s="4"/>
    </row>
    <row r="880" spans="1:5" ht="15.75" customHeight="1" x14ac:dyDescent="0.25">
      <c r="A880" s="4"/>
      <c r="B880" s="4"/>
      <c r="C880" s="4"/>
      <c r="D880" s="4"/>
      <c r="E880" s="4"/>
    </row>
    <row r="881" spans="1:5" ht="15.75" customHeight="1" x14ac:dyDescent="0.25">
      <c r="A881" s="4"/>
      <c r="B881" s="4"/>
      <c r="C881" s="4"/>
      <c r="D881" s="4"/>
      <c r="E881" s="4"/>
    </row>
    <row r="882" spans="1:5" ht="15.75" customHeight="1" x14ac:dyDescent="0.25">
      <c r="A882" s="4"/>
      <c r="B882" s="4"/>
      <c r="C882" s="4"/>
      <c r="D882" s="4"/>
      <c r="E882" s="4"/>
    </row>
    <row r="883" spans="1:5" ht="15.75" customHeight="1" x14ac:dyDescent="0.25">
      <c r="A883" s="4"/>
      <c r="B883" s="4"/>
      <c r="C883" s="4"/>
      <c r="D883" s="4"/>
      <c r="E883" s="4"/>
    </row>
    <row r="884" spans="1:5" ht="15.75" customHeight="1" x14ac:dyDescent="0.25">
      <c r="A884" s="4"/>
      <c r="B884" s="4"/>
      <c r="C884" s="4"/>
      <c r="D884" s="4"/>
      <c r="E884" s="4"/>
    </row>
    <row r="885" spans="1:5" ht="15.75" customHeight="1" x14ac:dyDescent="0.25">
      <c r="A885" s="4"/>
      <c r="B885" s="4"/>
      <c r="C885" s="4"/>
      <c r="D885" s="4"/>
      <c r="E885" s="4"/>
    </row>
    <row r="886" spans="1:5" ht="15.75" customHeight="1" x14ac:dyDescent="0.25">
      <c r="A886" s="4"/>
      <c r="B886" s="4"/>
      <c r="C886" s="4"/>
      <c r="D886" s="4"/>
      <c r="E886" s="4"/>
    </row>
    <row r="887" spans="1:5" ht="15.75" customHeight="1" x14ac:dyDescent="0.25">
      <c r="A887" s="4"/>
      <c r="B887" s="4"/>
      <c r="C887" s="4"/>
      <c r="D887" s="4"/>
      <c r="E887" s="4"/>
    </row>
    <row r="888" spans="1:5" ht="15.75" customHeight="1" x14ac:dyDescent="0.25">
      <c r="A888" s="4"/>
      <c r="B888" s="4"/>
      <c r="C888" s="4"/>
      <c r="D888" s="4"/>
      <c r="E888" s="4"/>
    </row>
    <row r="889" spans="1:5" ht="15.75" customHeight="1" x14ac:dyDescent="0.25">
      <c r="A889" s="4"/>
      <c r="B889" s="4"/>
      <c r="C889" s="4"/>
      <c r="D889" s="4"/>
      <c r="E889" s="4"/>
    </row>
    <row r="890" spans="1:5" ht="15.75" customHeight="1" x14ac:dyDescent="0.25">
      <c r="A890" s="4"/>
      <c r="B890" s="4"/>
      <c r="C890" s="4"/>
      <c r="D890" s="4"/>
      <c r="E890" s="4"/>
    </row>
    <row r="891" spans="1:5" ht="15.75" customHeight="1" x14ac:dyDescent="0.25">
      <c r="A891" s="4"/>
      <c r="B891" s="4"/>
      <c r="C891" s="4"/>
      <c r="D891" s="4"/>
      <c r="E891" s="4"/>
    </row>
    <row r="892" spans="1:5" ht="15.75" customHeight="1" x14ac:dyDescent="0.25">
      <c r="A892" s="4"/>
      <c r="B892" s="4"/>
      <c r="C892" s="4"/>
      <c r="D892" s="4"/>
      <c r="E892" s="4"/>
    </row>
    <row r="893" spans="1:5" ht="15.75" customHeight="1" x14ac:dyDescent="0.25">
      <c r="A893" s="4"/>
      <c r="B893" s="4"/>
      <c r="C893" s="4"/>
      <c r="D893" s="4"/>
      <c r="E893" s="4"/>
    </row>
    <row r="894" spans="1:5" ht="15.75" customHeight="1" x14ac:dyDescent="0.25">
      <c r="A894" s="4"/>
      <c r="B894" s="4"/>
      <c r="C894" s="4"/>
      <c r="D894" s="4"/>
      <c r="E894" s="4"/>
    </row>
    <row r="895" spans="1:5" ht="15.75" customHeight="1" x14ac:dyDescent="0.25">
      <c r="A895" s="4"/>
      <c r="B895" s="4"/>
      <c r="C895" s="4"/>
      <c r="D895" s="4"/>
      <c r="E895" s="4"/>
    </row>
    <row r="896" spans="1:5" ht="15.75" customHeight="1" x14ac:dyDescent="0.25">
      <c r="A896" s="4"/>
      <c r="B896" s="4"/>
      <c r="C896" s="4"/>
      <c r="D896" s="4"/>
      <c r="E896" s="4"/>
    </row>
    <row r="897" spans="1:5" ht="15.75" customHeight="1" x14ac:dyDescent="0.25">
      <c r="A897" s="4"/>
      <c r="B897" s="4"/>
      <c r="C897" s="4"/>
      <c r="D897" s="4"/>
      <c r="E897" s="4"/>
    </row>
    <row r="898" spans="1:5" ht="15.75" customHeight="1" x14ac:dyDescent="0.25">
      <c r="A898" s="4"/>
      <c r="B898" s="4"/>
      <c r="C898" s="4"/>
      <c r="D898" s="4"/>
      <c r="E898" s="4"/>
    </row>
    <row r="899" spans="1:5" ht="15.75" customHeight="1" x14ac:dyDescent="0.25">
      <c r="A899" s="4"/>
      <c r="B899" s="4"/>
      <c r="C899" s="4"/>
      <c r="D899" s="4"/>
      <c r="E899" s="4"/>
    </row>
    <row r="900" spans="1:5" ht="15.75" customHeight="1" x14ac:dyDescent="0.25">
      <c r="A900" s="4"/>
      <c r="B900" s="4"/>
      <c r="C900" s="4"/>
      <c r="D900" s="4"/>
      <c r="E900" s="4"/>
    </row>
    <row r="901" spans="1:5" ht="15.75" customHeight="1" x14ac:dyDescent="0.25">
      <c r="A901" s="4"/>
      <c r="B901" s="4"/>
      <c r="C901" s="4"/>
      <c r="D901" s="4"/>
      <c r="E901" s="4"/>
    </row>
    <row r="902" spans="1:5" ht="15.75" customHeight="1" x14ac:dyDescent="0.25">
      <c r="A902" s="4"/>
      <c r="B902" s="4"/>
      <c r="C902" s="4"/>
      <c r="D902" s="4"/>
      <c r="E902" s="4"/>
    </row>
    <row r="903" spans="1:5" ht="15.75" customHeight="1" x14ac:dyDescent="0.25">
      <c r="A903" s="4"/>
      <c r="B903" s="4"/>
      <c r="C903" s="4"/>
      <c r="D903" s="4"/>
      <c r="E903" s="4"/>
    </row>
    <row r="904" spans="1:5" ht="15.75" customHeight="1" x14ac:dyDescent="0.25">
      <c r="A904" s="4"/>
      <c r="B904" s="4"/>
      <c r="C904" s="4"/>
      <c r="D904" s="4"/>
      <c r="E904" s="4"/>
    </row>
    <row r="905" spans="1:5" ht="15.75" customHeight="1" x14ac:dyDescent="0.25">
      <c r="A905" s="4"/>
      <c r="B905" s="4"/>
      <c r="C905" s="4"/>
      <c r="D905" s="4"/>
      <c r="E905" s="4"/>
    </row>
    <row r="906" spans="1:5" ht="15.75" customHeight="1" x14ac:dyDescent="0.25">
      <c r="A906" s="4"/>
      <c r="B906" s="4"/>
      <c r="C906" s="4"/>
      <c r="D906" s="4"/>
      <c r="E906" s="4"/>
    </row>
    <row r="907" spans="1:5" ht="15.75" customHeight="1" x14ac:dyDescent="0.25">
      <c r="A907" s="4"/>
      <c r="B907" s="4"/>
      <c r="C907" s="4"/>
      <c r="D907" s="4"/>
      <c r="E907" s="4"/>
    </row>
    <row r="908" spans="1:5" ht="15.75" customHeight="1" x14ac:dyDescent="0.25">
      <c r="A908" s="4"/>
      <c r="B908" s="4"/>
      <c r="C908" s="4"/>
      <c r="D908" s="4"/>
      <c r="E908" s="4"/>
    </row>
    <row r="909" spans="1:5" ht="15.75" customHeight="1" x14ac:dyDescent="0.25">
      <c r="A909" s="4"/>
      <c r="B909" s="4"/>
      <c r="C909" s="4"/>
      <c r="D909" s="4"/>
      <c r="E909" s="4"/>
    </row>
    <row r="910" spans="1:5" ht="15.75" customHeight="1" x14ac:dyDescent="0.25">
      <c r="A910" s="4"/>
      <c r="B910" s="4"/>
      <c r="C910" s="4"/>
      <c r="D910" s="4"/>
      <c r="E910" s="4"/>
    </row>
    <row r="911" spans="1:5" ht="15.75" customHeight="1" x14ac:dyDescent="0.25">
      <c r="A911" s="4"/>
      <c r="B911" s="4"/>
      <c r="C911" s="4"/>
      <c r="D911" s="4"/>
      <c r="E911" s="4"/>
    </row>
    <row r="912" spans="1:5" ht="15.75" customHeight="1" x14ac:dyDescent="0.25">
      <c r="A912" s="4"/>
      <c r="B912" s="4"/>
      <c r="C912" s="4"/>
      <c r="D912" s="4"/>
      <c r="E912" s="4"/>
    </row>
    <row r="913" spans="1:5" ht="15.75" customHeight="1" x14ac:dyDescent="0.25">
      <c r="A913" s="4"/>
      <c r="B913" s="4"/>
      <c r="C913" s="4"/>
      <c r="D913" s="4"/>
      <c r="E913" s="4"/>
    </row>
    <row r="914" spans="1:5" ht="15.75" customHeight="1" x14ac:dyDescent="0.25">
      <c r="A914" s="4"/>
      <c r="B914" s="4"/>
      <c r="C914" s="4"/>
      <c r="D914" s="4"/>
      <c r="E914" s="4"/>
    </row>
    <row r="915" spans="1:5" ht="15.75" customHeight="1" x14ac:dyDescent="0.25">
      <c r="A915" s="4"/>
      <c r="B915" s="4"/>
      <c r="C915" s="4"/>
      <c r="D915" s="4"/>
      <c r="E915" s="4"/>
    </row>
    <row r="916" spans="1:5" ht="15.75" customHeight="1" x14ac:dyDescent="0.25">
      <c r="A916" s="4"/>
      <c r="B916" s="4"/>
      <c r="C916" s="4"/>
      <c r="D916" s="4"/>
      <c r="E916" s="4"/>
    </row>
    <row r="917" spans="1:5" ht="15.75" customHeight="1" x14ac:dyDescent="0.25">
      <c r="A917" s="4"/>
      <c r="B917" s="4"/>
      <c r="C917" s="4"/>
      <c r="D917" s="4"/>
      <c r="E917" s="4"/>
    </row>
    <row r="918" spans="1:5" ht="15.75" customHeight="1" x14ac:dyDescent="0.25">
      <c r="A918" s="4"/>
      <c r="B918" s="4"/>
      <c r="C918" s="4"/>
      <c r="D918" s="4"/>
      <c r="E918" s="4"/>
    </row>
    <row r="919" spans="1:5" ht="15.75" customHeight="1" x14ac:dyDescent="0.25">
      <c r="A919" s="4"/>
      <c r="B919" s="4"/>
      <c r="C919" s="4"/>
      <c r="D919" s="4"/>
      <c r="E919" s="4"/>
    </row>
    <row r="920" spans="1:5" ht="15.75" customHeight="1" x14ac:dyDescent="0.25">
      <c r="A920" s="4"/>
      <c r="B920" s="4"/>
      <c r="C920" s="4"/>
      <c r="D920" s="4"/>
      <c r="E920" s="4"/>
    </row>
    <row r="921" spans="1:5" ht="15.75" customHeight="1" x14ac:dyDescent="0.25">
      <c r="A921" s="4"/>
      <c r="B921" s="4"/>
      <c r="C921" s="4"/>
      <c r="D921" s="4"/>
      <c r="E921" s="4"/>
    </row>
    <row r="922" spans="1:5" ht="15.75" customHeight="1" x14ac:dyDescent="0.25">
      <c r="A922" s="4"/>
      <c r="B922" s="4"/>
      <c r="C922" s="4"/>
      <c r="D922" s="4"/>
      <c r="E922" s="4"/>
    </row>
    <row r="923" spans="1:5" ht="15.75" customHeight="1" x14ac:dyDescent="0.25">
      <c r="A923" s="4"/>
      <c r="B923" s="4"/>
      <c r="C923" s="4"/>
      <c r="D923" s="4"/>
      <c r="E923" s="4"/>
    </row>
    <row r="924" spans="1:5" ht="15.75" customHeight="1" x14ac:dyDescent="0.25">
      <c r="A924" s="4"/>
      <c r="B924" s="4"/>
      <c r="C924" s="4"/>
      <c r="D924" s="4"/>
      <c r="E924" s="4"/>
    </row>
    <row r="925" spans="1:5" ht="15.75" customHeight="1" x14ac:dyDescent="0.25">
      <c r="A925" s="4"/>
      <c r="B925" s="4"/>
      <c r="C925" s="4"/>
      <c r="D925" s="4"/>
      <c r="E925" s="4"/>
    </row>
    <row r="926" spans="1:5" ht="15.75" customHeight="1" x14ac:dyDescent="0.25">
      <c r="A926" s="4"/>
      <c r="B926" s="4"/>
      <c r="C926" s="4"/>
      <c r="D926" s="4"/>
      <c r="E926" s="4"/>
    </row>
    <row r="927" spans="1:5" ht="15.75" customHeight="1" x14ac:dyDescent="0.25">
      <c r="A927" s="4"/>
      <c r="B927" s="4"/>
      <c r="C927" s="4"/>
      <c r="D927" s="4"/>
      <c r="E927" s="4"/>
    </row>
    <row r="928" spans="1:5" ht="15.75" customHeight="1" x14ac:dyDescent="0.25">
      <c r="A928" s="4"/>
      <c r="B928" s="4"/>
      <c r="C928" s="4"/>
      <c r="D928" s="4"/>
      <c r="E928" s="4"/>
    </row>
    <row r="929" spans="1:5" ht="15.75" customHeight="1" x14ac:dyDescent="0.25">
      <c r="A929" s="4"/>
      <c r="B929" s="4"/>
      <c r="C929" s="4"/>
      <c r="D929" s="4"/>
      <c r="E929" s="4"/>
    </row>
    <row r="930" spans="1:5" ht="15.75" customHeight="1" x14ac:dyDescent="0.25">
      <c r="A930" s="4"/>
      <c r="B930" s="4"/>
      <c r="C930" s="4"/>
      <c r="D930" s="4"/>
      <c r="E930" s="4"/>
    </row>
    <row r="931" spans="1:5" ht="15.75" customHeight="1" x14ac:dyDescent="0.25">
      <c r="A931" s="4"/>
      <c r="B931" s="4"/>
      <c r="C931" s="4"/>
      <c r="D931" s="4"/>
      <c r="E931" s="4"/>
    </row>
    <row r="932" spans="1:5" ht="15.75" customHeight="1" x14ac:dyDescent="0.25">
      <c r="A932" s="4"/>
      <c r="B932" s="4"/>
      <c r="C932" s="4"/>
      <c r="D932" s="4"/>
      <c r="E932" s="4"/>
    </row>
    <row r="933" spans="1:5" ht="15.75" customHeight="1" x14ac:dyDescent="0.25">
      <c r="A933" s="4"/>
      <c r="B933" s="4"/>
      <c r="C933" s="4"/>
      <c r="D933" s="4"/>
      <c r="E933" s="4"/>
    </row>
    <row r="934" spans="1:5" ht="15.75" customHeight="1" x14ac:dyDescent="0.25">
      <c r="A934" s="4"/>
      <c r="B934" s="4"/>
      <c r="C934" s="4"/>
      <c r="D934" s="4"/>
      <c r="E934" s="4"/>
    </row>
    <row r="935" spans="1:5" ht="15.75" customHeight="1" x14ac:dyDescent="0.25">
      <c r="A935" s="4"/>
      <c r="B935" s="4"/>
      <c r="C935" s="4"/>
      <c r="D935" s="4"/>
      <c r="E935" s="4"/>
    </row>
    <row r="936" spans="1:5" ht="15.75" customHeight="1" x14ac:dyDescent="0.25">
      <c r="A936" s="4"/>
      <c r="B936" s="4"/>
      <c r="C936" s="4"/>
      <c r="D936" s="4"/>
      <c r="E936" s="4"/>
    </row>
    <row r="937" spans="1:5" ht="15.75" customHeight="1" x14ac:dyDescent="0.25">
      <c r="A937" s="4"/>
      <c r="B937" s="4"/>
      <c r="C937" s="4"/>
      <c r="D937" s="4"/>
      <c r="E937" s="4"/>
    </row>
    <row r="938" spans="1:5" ht="15.75" customHeight="1" x14ac:dyDescent="0.25">
      <c r="A938" s="4"/>
      <c r="B938" s="4"/>
      <c r="C938" s="4"/>
      <c r="D938" s="4"/>
      <c r="E938" s="4"/>
    </row>
    <row r="939" spans="1:5" ht="15.75" customHeight="1" x14ac:dyDescent="0.25">
      <c r="A939" s="4"/>
      <c r="B939" s="4"/>
      <c r="C939" s="4"/>
      <c r="D939" s="4"/>
      <c r="E939" s="4"/>
    </row>
    <row r="940" spans="1:5" ht="15.75" customHeight="1" x14ac:dyDescent="0.25">
      <c r="A940" s="4"/>
      <c r="B940" s="4"/>
      <c r="C940" s="4"/>
      <c r="D940" s="4"/>
      <c r="E940" s="4"/>
    </row>
    <row r="941" spans="1:5" ht="15.75" customHeight="1" x14ac:dyDescent="0.25">
      <c r="A941" s="4"/>
      <c r="B941" s="4"/>
      <c r="C941" s="4"/>
      <c r="D941" s="4"/>
      <c r="E941" s="4"/>
    </row>
    <row r="942" spans="1:5" ht="15.75" customHeight="1" x14ac:dyDescent="0.25">
      <c r="A942" s="4"/>
      <c r="B942" s="4"/>
      <c r="C942" s="4"/>
      <c r="D942" s="4"/>
      <c r="E942" s="4"/>
    </row>
    <row r="943" spans="1:5" ht="15.75" customHeight="1" x14ac:dyDescent="0.25">
      <c r="A943" s="4"/>
      <c r="B943" s="4"/>
      <c r="C943" s="4"/>
      <c r="D943" s="4"/>
      <c r="E943" s="4"/>
    </row>
    <row r="944" spans="1:5" ht="15.75" customHeight="1" x14ac:dyDescent="0.25">
      <c r="A944" s="4"/>
      <c r="B944" s="4"/>
      <c r="C944" s="4"/>
      <c r="D944" s="4"/>
      <c r="E944" s="4"/>
    </row>
    <row r="945" spans="1:5" ht="15.75" customHeight="1" x14ac:dyDescent="0.25">
      <c r="A945" s="4"/>
      <c r="B945" s="4"/>
      <c r="C945" s="4"/>
      <c r="D945" s="4"/>
      <c r="E945" s="4"/>
    </row>
    <row r="946" spans="1:5" ht="15.75" customHeight="1" x14ac:dyDescent="0.25">
      <c r="A946" s="4"/>
      <c r="B946" s="4"/>
      <c r="C946" s="4"/>
      <c r="D946" s="4"/>
      <c r="E946" s="4"/>
    </row>
    <row r="947" spans="1:5" ht="15.75" customHeight="1" x14ac:dyDescent="0.25">
      <c r="A947" s="4"/>
      <c r="B947" s="4"/>
      <c r="C947" s="4"/>
      <c r="D947" s="4"/>
      <c r="E947" s="4"/>
    </row>
    <row r="948" spans="1:5" ht="15.75" customHeight="1" x14ac:dyDescent="0.25">
      <c r="A948" s="4"/>
      <c r="B948" s="4"/>
      <c r="C948" s="4"/>
      <c r="D948" s="4"/>
      <c r="E948" s="4"/>
    </row>
    <row r="949" spans="1:5" ht="15.75" customHeight="1" x14ac:dyDescent="0.25">
      <c r="A949" s="4"/>
      <c r="B949" s="4"/>
      <c r="C949" s="4"/>
      <c r="D949" s="4"/>
      <c r="E949" s="4"/>
    </row>
    <row r="950" spans="1:5" ht="15.75" customHeight="1" x14ac:dyDescent="0.25">
      <c r="A950" s="4"/>
      <c r="B950" s="4"/>
      <c r="C950" s="4"/>
      <c r="D950" s="4"/>
      <c r="E950" s="4"/>
    </row>
    <row r="951" spans="1:5" ht="15.75" customHeight="1" x14ac:dyDescent="0.25">
      <c r="A951" s="4"/>
      <c r="B951" s="4"/>
      <c r="C951" s="4"/>
      <c r="D951" s="4"/>
      <c r="E951" s="4"/>
    </row>
    <row r="952" spans="1:5" ht="15.75" customHeight="1" x14ac:dyDescent="0.25">
      <c r="A952" s="4"/>
      <c r="B952" s="4"/>
      <c r="C952" s="4"/>
      <c r="D952" s="4"/>
      <c r="E952" s="4"/>
    </row>
    <row r="953" spans="1:5" ht="15.75" customHeight="1" x14ac:dyDescent="0.25">
      <c r="A953" s="4"/>
      <c r="B953" s="4"/>
      <c r="C953" s="4"/>
      <c r="D953" s="4"/>
      <c r="E953" s="4"/>
    </row>
    <row r="954" spans="1:5" ht="15.75" customHeight="1" x14ac:dyDescent="0.25">
      <c r="A954" s="4"/>
      <c r="B954" s="4"/>
      <c r="C954" s="4"/>
      <c r="D954" s="4"/>
      <c r="E954" s="4"/>
    </row>
    <row r="955" spans="1:5" ht="15.75" customHeight="1" x14ac:dyDescent="0.25">
      <c r="A955" s="4"/>
      <c r="B955" s="4"/>
      <c r="C955" s="4"/>
      <c r="D955" s="4"/>
      <c r="E955" s="4"/>
    </row>
    <row r="956" spans="1:5" ht="15.75" customHeight="1" x14ac:dyDescent="0.25">
      <c r="A956" s="4"/>
      <c r="B956" s="4"/>
      <c r="C956" s="4"/>
      <c r="D956" s="4"/>
      <c r="E956" s="4"/>
    </row>
    <row r="957" spans="1:5" ht="15.75" customHeight="1" x14ac:dyDescent="0.25">
      <c r="A957" s="4"/>
      <c r="B957" s="4"/>
      <c r="C957" s="4"/>
      <c r="D957" s="4"/>
      <c r="E957" s="4"/>
    </row>
    <row r="958" spans="1:5" ht="15.75" customHeight="1" x14ac:dyDescent="0.25">
      <c r="A958" s="4"/>
      <c r="B958" s="4"/>
      <c r="C958" s="4"/>
      <c r="D958" s="4"/>
      <c r="E958" s="4"/>
    </row>
    <row r="959" spans="1:5" ht="15.75" customHeight="1" x14ac:dyDescent="0.25">
      <c r="A959" s="4"/>
      <c r="B959" s="4"/>
      <c r="C959" s="4"/>
      <c r="D959" s="4"/>
      <c r="E959" s="4"/>
    </row>
    <row r="960" spans="1:5" ht="15.75" customHeight="1" x14ac:dyDescent="0.25">
      <c r="A960" s="4"/>
      <c r="B960" s="4"/>
      <c r="C960" s="4"/>
      <c r="D960" s="4"/>
      <c r="E960" s="4"/>
    </row>
    <row r="961" spans="1:5" ht="15.75" customHeight="1" x14ac:dyDescent="0.25">
      <c r="A961" s="4"/>
      <c r="B961" s="4"/>
      <c r="C961" s="4"/>
      <c r="D961" s="4"/>
      <c r="E961" s="4"/>
    </row>
    <row r="962" spans="1:5" ht="15.75" customHeight="1" x14ac:dyDescent="0.25">
      <c r="A962" s="4"/>
      <c r="B962" s="4"/>
      <c r="C962" s="4"/>
      <c r="D962" s="4"/>
      <c r="E962" s="4"/>
    </row>
    <row r="963" spans="1:5" ht="15.75" customHeight="1" x14ac:dyDescent="0.25">
      <c r="A963" s="4"/>
      <c r="B963" s="4"/>
      <c r="C963" s="4"/>
      <c r="D963" s="4"/>
      <c r="E963" s="4"/>
    </row>
    <row r="964" spans="1:5" ht="15.75" customHeight="1" x14ac:dyDescent="0.25">
      <c r="A964" s="4"/>
      <c r="B964" s="4"/>
      <c r="C964" s="4"/>
      <c r="D964" s="4"/>
      <c r="E964" s="4"/>
    </row>
    <row r="965" spans="1:5" ht="15.75" customHeight="1" x14ac:dyDescent="0.25">
      <c r="A965" s="4"/>
      <c r="B965" s="4"/>
      <c r="C965" s="4"/>
      <c r="D965" s="4"/>
      <c r="E965" s="4"/>
    </row>
    <row r="966" spans="1:5" ht="15.75" customHeight="1" x14ac:dyDescent="0.25">
      <c r="A966" s="4"/>
      <c r="B966" s="4"/>
      <c r="C966" s="4"/>
      <c r="D966" s="4"/>
      <c r="E966" s="4"/>
    </row>
    <row r="967" spans="1:5" ht="15.75" customHeight="1" x14ac:dyDescent="0.25">
      <c r="A967" s="4"/>
      <c r="B967" s="4"/>
      <c r="C967" s="4"/>
      <c r="D967" s="4"/>
      <c r="E967" s="4"/>
    </row>
    <row r="968" spans="1:5" ht="15.75" customHeight="1" x14ac:dyDescent="0.25">
      <c r="A968" s="4"/>
      <c r="B968" s="4"/>
      <c r="C968" s="4"/>
      <c r="D968" s="4"/>
      <c r="E968" s="4"/>
    </row>
    <row r="969" spans="1:5" ht="15.75" customHeight="1" x14ac:dyDescent="0.25">
      <c r="A969" s="4"/>
      <c r="B969" s="4"/>
      <c r="C969" s="4"/>
      <c r="D969" s="4"/>
      <c r="E969" s="4"/>
    </row>
    <row r="970" spans="1:5" ht="15.75" customHeight="1" x14ac:dyDescent="0.25">
      <c r="A970" s="4"/>
      <c r="B970" s="4"/>
      <c r="C970" s="4"/>
      <c r="D970" s="4"/>
      <c r="E970" s="4"/>
    </row>
    <row r="971" spans="1:5" ht="15.75" customHeight="1" x14ac:dyDescent="0.25">
      <c r="A971" s="4"/>
      <c r="B971" s="4"/>
      <c r="C971" s="4"/>
      <c r="D971" s="4"/>
      <c r="E971" s="4"/>
    </row>
    <row r="972" spans="1:5" ht="15.75" customHeight="1" x14ac:dyDescent="0.25">
      <c r="A972" s="4"/>
      <c r="B972" s="4"/>
      <c r="C972" s="4"/>
      <c r="D972" s="4"/>
      <c r="E972" s="4"/>
    </row>
    <row r="973" spans="1:5" ht="15.75" customHeight="1" x14ac:dyDescent="0.25">
      <c r="A973" s="4"/>
      <c r="B973" s="4"/>
      <c r="C973" s="4"/>
      <c r="D973" s="4"/>
      <c r="E973" s="4"/>
    </row>
    <row r="974" spans="1:5" ht="15.75" customHeight="1" x14ac:dyDescent="0.25">
      <c r="A974" s="4"/>
      <c r="B974" s="4"/>
      <c r="C974" s="4"/>
      <c r="D974" s="4"/>
      <c r="E974" s="4"/>
    </row>
    <row r="975" spans="1:5" ht="15.75" customHeight="1" x14ac:dyDescent="0.25">
      <c r="A975" s="4"/>
      <c r="B975" s="4"/>
      <c r="C975" s="4"/>
      <c r="D975" s="4"/>
      <c r="E975" s="4"/>
    </row>
    <row r="976" spans="1:5" ht="15.75" customHeight="1" x14ac:dyDescent="0.25">
      <c r="A976" s="4"/>
      <c r="B976" s="4"/>
      <c r="C976" s="4"/>
      <c r="D976" s="4"/>
      <c r="E976" s="4"/>
    </row>
    <row r="977" spans="1:5" ht="15.75" customHeight="1" x14ac:dyDescent="0.25">
      <c r="A977" s="4"/>
      <c r="B977" s="4"/>
      <c r="C977" s="4"/>
      <c r="D977" s="4"/>
      <c r="E977" s="4"/>
    </row>
    <row r="978" spans="1:5" ht="15.75" customHeight="1" x14ac:dyDescent="0.25">
      <c r="A978" s="4"/>
      <c r="B978" s="4"/>
      <c r="C978" s="4"/>
      <c r="D978" s="4"/>
      <c r="E978" s="4"/>
    </row>
    <row r="979" spans="1:5" ht="15.75" customHeight="1" x14ac:dyDescent="0.25">
      <c r="A979" s="4"/>
      <c r="B979" s="4"/>
      <c r="C979" s="4"/>
      <c r="D979" s="4"/>
      <c r="E979" s="4"/>
    </row>
    <row r="980" spans="1:5" ht="15.75" customHeight="1" x14ac:dyDescent="0.25">
      <c r="A980" s="4"/>
      <c r="B980" s="4"/>
      <c r="C980" s="4"/>
      <c r="D980" s="4"/>
      <c r="E980" s="4"/>
    </row>
    <row r="981" spans="1:5" ht="15.75" customHeight="1" x14ac:dyDescent="0.25">
      <c r="A981" s="4"/>
      <c r="B981" s="4"/>
      <c r="C981" s="4"/>
      <c r="D981" s="4"/>
      <c r="E981" s="4"/>
    </row>
    <row r="982" spans="1:5" ht="15.75" customHeight="1" x14ac:dyDescent="0.25">
      <c r="A982" s="4"/>
      <c r="B982" s="4"/>
      <c r="C982" s="4"/>
      <c r="D982" s="4"/>
      <c r="E982" s="4"/>
    </row>
    <row r="983" spans="1:5" ht="15.75" customHeight="1" x14ac:dyDescent="0.25">
      <c r="A983" s="4"/>
      <c r="B983" s="4"/>
      <c r="C983" s="4"/>
      <c r="D983" s="4"/>
      <c r="E983" s="4"/>
    </row>
    <row r="984" spans="1:5" ht="15.75" customHeight="1" x14ac:dyDescent="0.25">
      <c r="A984" s="4"/>
      <c r="B984" s="4"/>
      <c r="C984" s="4"/>
      <c r="D984" s="4"/>
      <c r="E984" s="4"/>
    </row>
    <row r="985" spans="1:5" ht="15.75" customHeight="1" x14ac:dyDescent="0.25">
      <c r="A985" s="4"/>
      <c r="B985" s="4"/>
      <c r="C985" s="4"/>
      <c r="D985" s="4"/>
      <c r="E985" s="4"/>
    </row>
    <row r="986" spans="1:5" ht="15.75" customHeight="1" x14ac:dyDescent="0.25">
      <c r="A986" s="4"/>
      <c r="B986" s="4"/>
      <c r="C986" s="4"/>
      <c r="D986" s="4"/>
      <c r="E986" s="4"/>
    </row>
    <row r="987" spans="1:5" ht="15.75" customHeight="1" x14ac:dyDescent="0.25">
      <c r="A987" s="4"/>
      <c r="B987" s="4"/>
      <c r="C987" s="4"/>
      <c r="D987" s="4"/>
      <c r="E987" s="4"/>
    </row>
    <row r="988" spans="1:5" ht="15.75" customHeight="1" x14ac:dyDescent="0.25">
      <c r="A988" s="4"/>
      <c r="B988" s="4"/>
      <c r="C988" s="4"/>
      <c r="D988" s="4"/>
      <c r="E988" s="4"/>
    </row>
    <row r="989" spans="1:5" ht="15.75" customHeight="1" x14ac:dyDescent="0.25">
      <c r="A989" s="4"/>
      <c r="B989" s="4"/>
      <c r="C989" s="4"/>
      <c r="D989" s="4"/>
      <c r="E989" s="4"/>
    </row>
    <row r="990" spans="1:5" ht="15.75" customHeight="1" x14ac:dyDescent="0.25">
      <c r="A990" s="4"/>
      <c r="B990" s="4"/>
      <c r="C990" s="4"/>
      <c r="D990" s="4"/>
      <c r="E990" s="4"/>
    </row>
    <row r="991" spans="1:5" ht="15.75" customHeight="1" x14ac:dyDescent="0.25">
      <c r="A991" s="4"/>
      <c r="B991" s="4"/>
      <c r="C991" s="4"/>
      <c r="D991" s="4"/>
      <c r="E991" s="4"/>
    </row>
    <row r="992" spans="1:5" ht="15.75" customHeight="1" x14ac:dyDescent="0.25">
      <c r="A992" s="4"/>
      <c r="B992" s="4"/>
      <c r="C992" s="4"/>
      <c r="D992" s="4"/>
      <c r="E992" s="4"/>
    </row>
    <row r="993" spans="1:5" ht="15.75" customHeight="1" x14ac:dyDescent="0.25">
      <c r="A993" s="4"/>
      <c r="B993" s="4"/>
      <c r="C993" s="4"/>
      <c r="D993" s="4"/>
      <c r="E993" s="4"/>
    </row>
    <row r="994" spans="1:5" ht="15.75" customHeight="1" x14ac:dyDescent="0.25">
      <c r="A994" s="4"/>
      <c r="B994" s="4"/>
      <c r="C994" s="4"/>
      <c r="D994" s="4"/>
      <c r="E994" s="4"/>
    </row>
    <row r="995" spans="1:5" ht="15.75" customHeight="1" x14ac:dyDescent="0.25">
      <c r="A995" s="4"/>
      <c r="B995" s="4"/>
      <c r="C995" s="4"/>
      <c r="D995" s="4"/>
      <c r="E995" s="4"/>
    </row>
    <row r="996" spans="1:5" ht="15.75" customHeight="1" x14ac:dyDescent="0.25">
      <c r="A996" s="4"/>
      <c r="B996" s="4"/>
      <c r="C996" s="4"/>
      <c r="D996" s="4"/>
      <c r="E996" s="4"/>
    </row>
    <row r="997" spans="1:5" ht="15.75" customHeight="1" x14ac:dyDescent="0.25">
      <c r="A997" s="4"/>
      <c r="B997" s="4"/>
      <c r="C997" s="4"/>
      <c r="D997" s="4"/>
      <c r="E997" s="4"/>
    </row>
    <row r="998" spans="1:5" ht="15.75" customHeight="1" x14ac:dyDescent="0.25">
      <c r="A998" s="4"/>
      <c r="B998" s="4"/>
      <c r="C998" s="4"/>
      <c r="D998" s="4"/>
      <c r="E998" s="4"/>
    </row>
    <row r="999" spans="1:5" ht="15.75" customHeight="1" x14ac:dyDescent="0.25">
      <c r="A999" s="4"/>
      <c r="B999" s="4"/>
      <c r="C999" s="4"/>
      <c r="D999" s="4"/>
      <c r="E999" s="4"/>
    </row>
    <row r="1000" spans="1:5" ht="15.75" customHeight="1" x14ac:dyDescent="0.25">
      <c r="A1000" s="4"/>
      <c r="B1000" s="4"/>
      <c r="C1000" s="4"/>
      <c r="D1000" s="4"/>
      <c r="E1000" s="4"/>
    </row>
  </sheetData>
  <mergeCells count="8">
    <mergeCell ref="B26:E26"/>
    <mergeCell ref="B27:E27"/>
    <mergeCell ref="B28:E28"/>
    <mergeCell ref="B19:E19"/>
    <mergeCell ref="B20:E20"/>
    <mergeCell ref="B21:E21"/>
    <mergeCell ref="B24:E24"/>
    <mergeCell ref="B25:E25"/>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12</vt:i4>
      </vt:variant>
    </vt:vector>
  </HeadingPairs>
  <TitlesOfParts>
    <vt:vector size="12" baseType="lpstr">
      <vt:lpstr>0_Hướng dẫn</vt:lpstr>
      <vt:lpstr>0_Đầu vào</vt:lpstr>
      <vt:lpstr>A_Tài chính căn bản</vt:lpstr>
      <vt:lpstr>1_Chi phí mỗi việc</vt:lpstr>
      <vt:lpstr>2_Định giá</vt:lpstr>
      <vt:lpstr>3_Giả định</vt:lpstr>
      <vt:lpstr>4_Chỉ số mỗi khách</vt:lpstr>
      <vt:lpstr>5_Dòng tiền &amp; hiệu quả</vt:lpstr>
      <vt:lpstr>6_Hiệu quả nội bộ</vt:lpstr>
      <vt:lpstr>7_Quyết định</vt:lpstr>
      <vt:lpstr>8_Thang điểm</vt:lpstr>
      <vt:lpstr>9_Số tham khảo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Mạnh Hùng Lưu</cp:lastModifiedBy>
  <dcterms:created xsi:type="dcterms:W3CDTF">2026-10-04T05:18:06Z</dcterms:created>
  <dcterms:modified xsi:type="dcterms:W3CDTF">2026-10-12T07:29:41Z</dcterms:modified>
</cp:coreProperties>
</file>